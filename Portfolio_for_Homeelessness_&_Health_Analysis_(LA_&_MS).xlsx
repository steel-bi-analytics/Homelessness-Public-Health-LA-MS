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Steel Analytics\01_Portfolio Projects\Homelessness\09_Presentations\Homelessness_Portfolio\"/>
    </mc:Choice>
  </mc:AlternateContent>
  <xr:revisionPtr revIDLastSave="0" documentId="13_ncr:1_{D10DA42C-B918-4413-9FE9-D557AF1F9279}" xr6:coauthVersionLast="47" xr6:coauthVersionMax="47" xr10:uidLastSave="{00000000-0000-0000-0000-000000000000}"/>
  <workbookProtection lockStructure="1"/>
  <bookViews>
    <workbookView xWindow="-28920" yWindow="-120" windowWidth="29040" windowHeight="15720" tabRatio="779" xr2:uid="{00000000-000D-0000-FFFF-FFFF00000000}"/>
  </bookViews>
  <sheets>
    <sheet name="EXECUTIVE SUMMARY" sheetId="10" r:id="rId1"/>
    <sheet name="GEOGRAPHICS REFERENCE" sheetId="12" r:id="rId2"/>
    <sheet name="PYTHON CODE for GEOGRAPHICS" sheetId="27" r:id="rId3"/>
    <sheet name="GEO-MAPPING" sheetId="28" r:id="rId4"/>
    <sheet name="RAW SHELTERED UNSHELTERED" sheetId="1" r:id="rId5"/>
    <sheet name="SQL SHELTERED UNSHELTERED" sheetId="37" r:id="rId6"/>
    <sheet name="RAW TOTAL BEDS" sheetId="4" r:id="rId7"/>
    <sheet name="SQL TOTAL BEDS" sheetId="38" r:id="rId8"/>
    <sheet name="OUTPUT" sheetId="3" r:id="rId9"/>
    <sheet name="RESOURCES" sheetId="35" r:id="rId10"/>
    <sheet name="SQL RESOURCES DEVELOPMENT" sheetId="39" r:id="rId11"/>
    <sheet name="RESOURCES VALIDATION &amp; QUALITY" sheetId="40" r:id="rId12"/>
    <sheet name="CDC OPIOID DISPENSING PER 100" sheetId="31" r:id="rId13"/>
    <sheet name="AMA TOTAL DISPENSED NALOXONE" sheetId="25" r:id="rId14"/>
    <sheet name="RAW CHRONIC KIDNEY DISEASE" sheetId="21" r:id="rId15"/>
    <sheet name="RAW CHRONIC LIVER DISEASE" sheetId="22" r:id="rId16"/>
    <sheet name="RAW DRUG MORTALITY" sheetId="23" r:id="rId17"/>
    <sheet name="RAW DIABETES UNDERLYING CAUSE" sheetId="24" r:id="rId18"/>
    <sheet name="RAW PYTHON BRFSS (Survey Data)" sheetId="32" r:id="rId19"/>
    <sheet name="HEALTH METRICS" sheetId="6" r:id="rId20"/>
    <sheet name="SQL HEALTH METRICS" sheetId="33" r:id="rId21"/>
    <sheet name="PYTHON COUNTY LEVEL HEALTH" sheetId="42" r:id="rId22"/>
    <sheet name="COUNTY LEVEL VALIDATION" sheetId="43" r:id="rId23"/>
    <sheet name="HEALTH METRICS VALIDATION LOG" sheetId="20" r:id="rId24"/>
    <sheet name="STATISTICAL_ANALYSIS" sheetId="26" r:id="rId25"/>
    <sheet name="PYTHON" sheetId="18" r:id="rId26"/>
    <sheet name="DAX" sheetId="44" r:id="rId27"/>
    <sheet name="POWER BI" sheetId="5" r:id="rId28"/>
    <sheet name="TABLEAU" sheetId="48" r:id="rId29"/>
    <sheet name="LITERATURE_LOG" sheetId="29" r:id="rId30"/>
    <sheet name="CLEAN UP" sheetId="7" r:id="rId31"/>
    <sheet name="DASHBOARD LAYOUT" sheetId="8" r:id="rId32"/>
    <sheet name="PROJECT STRUCTURE" sheetId="9" r:id="rId33"/>
    <sheet name="SCOPE" sheetId="11" r:id="rId34"/>
    <sheet name="PORTFOLIO GUIDE" sheetId="45" r:id="rId35"/>
  </sheets>
  <definedNames>
    <definedName name="ExternalData_2" localSheetId="13" hidden="1">'AMA TOTAL DISPENSED NALOXONE'!$A$3:$Q$57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5" l="1"/>
  <c r="B8" i="45"/>
  <c r="B7" i="45"/>
  <c r="B6" i="45"/>
  <c r="B5" i="45"/>
</calcChain>
</file>

<file path=xl/sharedStrings.xml><?xml version="1.0" encoding="utf-8"?>
<sst xmlns="http://schemas.openxmlformats.org/spreadsheetml/2006/main" count="11358" uniqueCount="4539">
  <si>
    <t>Project Overview</t>
  </si>
  <si>
    <t>I analyzed homelessness, housing capacity, public health, and community resources across Louisiana and Mississippi from 2007–2024.</t>
  </si>
  <si>
    <t>Key Analytical Findings</t>
  </si>
  <si>
    <t>3. Geographic Distribution: Across 2007–2024 HUD Point-in-Time surveys, cumulative recorded homelessness counts totaled 31,986 in Louisiana and 30,907 in Mississippi. Chronic homelessness represented more than 14% of the cumulative recorded count.</t>
  </si>
  <si>
    <t>4. Planning Implication: These findings can help regional CoCs examine healthcare access and mental health needs alongside housing capacity and service availability.</t>
  </si>
  <si>
    <t>Methodology &amp; Data Pipeline</t>
  </si>
  <si>
    <t>Data Ingestion &amp; Transformation: I parsed and cleaned raw fixed-width NVSS mortality records, BRFSS survey XPT files, and HUD PIT datasets using Python scripts and MySQL queries. The full 2007–2024 NVSS extraction remains in progress.</t>
  </si>
  <si>
    <t>Why I Built This Project</t>
  </si>
  <si>
    <t>Project Scope &amp; Documentation Framework</t>
  </si>
  <si>
    <t>What is Included vs. Out of Scope</t>
  </si>
  <si>
    <t>Included:</t>
  </si>
  <si>
    <t>• 2007–2024 Analysis: Analyzed Point-in-Time homelessness counts and Housing Inventory Count data across Louisiana and Mississippi from 2007–2024, using the years available for each measure.</t>
  </si>
  <si>
    <t>State-level public health indicators cover different periods of availability. The project also includes a directory of community service locations.</t>
  </si>
  <si>
    <t>• Geographic Alignment: The FIPS-to-CoC bridge maps locations; health indicators used in the longitudinal comparison are evaluated at the state level.</t>
  </si>
  <si>
    <t>• Full Analytical Suite: SQL data extraction, Python data cleaning and statistical validation, Pearson correlation analysis, dynamic DAX measures, and interactive dashboard design.</t>
  </si>
  <si>
    <t>Out of Scope / Intentional Exclusions:</t>
  </si>
  <si>
    <t>• Individual-Level Client Data: HMIS personally identifiable information is excluded to protect confidentiality and keep the analysis focused on aggregate trends.</t>
  </si>
  <si>
    <t>• Causation Claims: Statistical findings are presented as correlations (r), not direct causal effects.</t>
  </si>
  <si>
    <t>• County-Level Health Continuity: Because consistent annual county-level public health coverage is unavailable across 2007–2024, health indicators are evaluated at the state level to preserve longitudinal comparability.</t>
  </si>
  <si>
    <t>Key Sections Checklist</t>
  </si>
  <si>
    <t>1. Executive Summary</t>
  </si>
  <si>
    <t>2. Project Purpose</t>
  </si>
  <si>
    <t>4. Core Analytical &amp; Policy Questions</t>
  </si>
  <si>
    <t>5.  Data Sources &amp; Governance</t>
  </si>
  <si>
    <t>9. Key Analytical Findings</t>
  </si>
  <si>
    <t>10. Strategic Recommendations</t>
  </si>
  <si>
    <t>11. Limitations &amp; Data Nuances</t>
  </si>
  <si>
    <t>12. Future Enhancements &amp; Scalability</t>
  </si>
  <si>
    <t>Data Governance &amp; Harmonization Checklist</t>
  </si>
  <si>
    <t>•     Source Trustworthiness: Validate source authority using official government databases, published datasets, and documented APIs.</t>
  </si>
  <si>
    <t>•     Temporal Range Alignment: Establish coverage across 2007–2024 and document each measure’s available years.</t>
  </si>
  <si>
    <t>•     Metric Matching: Standardize variable definitions across collection periods, including age categories and demographic definitions.</t>
  </si>
  <si>
    <t>•     Unit Standardization: Distinguish snapshot counts (such as PIT totals) from population-based rates (such as rates per 100,000 or percentages).</t>
  </si>
  <si>
    <t>•     Data Transformation Rules: Apply consistent ETL rules for missing values, FIPS zero-padding, naming conventions, and crosswalk joins.</t>
  </si>
  <si>
    <t>•     Comparative Validity: Compare metrics only when their geographic and temporal coverage is sufficiently aligned.</t>
  </si>
  <si>
    <t>State</t>
  </si>
  <si>
    <t>CoC_Code</t>
  </si>
  <si>
    <t>CoC_Name</t>
  </si>
  <si>
    <t>Region</t>
  </si>
  <si>
    <t>Primary City</t>
  </si>
  <si>
    <t>Latitude</t>
  </si>
  <si>
    <t>Longitude</t>
  </si>
  <si>
    <t>Notes</t>
  </si>
  <si>
    <t>Field</t>
  </si>
  <si>
    <t>Description</t>
  </si>
  <si>
    <t>LA</t>
  </si>
  <si>
    <t>LA-502</t>
  </si>
  <si>
    <t>Shreveport, Bossier/Northwest Louisiana CoC</t>
  </si>
  <si>
    <t>Northwest</t>
  </si>
  <si>
    <t>Shreveport</t>
  </si>
  <si>
    <t>32.5237° N</t>
  </si>
  <si>
    <t>-93.7635° W</t>
  </si>
  <si>
    <t>State abbreviation</t>
  </si>
  <si>
    <t>LA-507</t>
  </si>
  <si>
    <t>Alexandria/Central Louisiana CoC</t>
  </si>
  <si>
    <t>Central</t>
  </si>
  <si>
    <t>Alexandria</t>
  </si>
  <si>
    <t>31.29167° N</t>
  </si>
  <si>
    <t>-92.47000° W</t>
  </si>
  <si>
    <t>HUD Continuum of Care identifier</t>
  </si>
  <si>
    <t>LA-509</t>
  </si>
  <si>
    <t>Louisiana Balance of State CoC</t>
  </si>
  <si>
    <t>South</t>
  </si>
  <si>
    <t>Baton Rouge</t>
  </si>
  <si>
    <t>30.4515° N</t>
  </si>
  <si>
    <t>-91.1872° W</t>
  </si>
  <si>
    <t>Formerly 504&amp; 508</t>
  </si>
  <si>
    <t>Official HUD Continuum name</t>
  </si>
  <si>
    <t>MS</t>
  </si>
  <si>
    <t>MS-500</t>
  </si>
  <si>
    <t>Jackson/Rankin, Madison Counties CoC</t>
  </si>
  <si>
    <t>Jackson</t>
  </si>
  <si>
    <t>32.2988° N</t>
  </si>
  <si>
    <t>-90.1848° W</t>
  </si>
  <si>
    <t>Analyst - defined reporting region</t>
  </si>
  <si>
    <t>MS-501</t>
  </si>
  <si>
    <t>Mississippi Balance of State CoC</t>
  </si>
  <si>
    <t>Hattiesburg</t>
  </si>
  <si>
    <t>31.3271° N</t>
  </si>
  <si>
    <t>-89.2903° W</t>
  </si>
  <si>
    <t>Main reporting city</t>
  </si>
  <si>
    <t>MS-503</t>
  </si>
  <si>
    <t>Gulf Port/Gulf Coast Regional CoC</t>
  </si>
  <si>
    <t>Gulfcoast</t>
  </si>
  <si>
    <t>Gulfport</t>
  </si>
  <si>
    <t>30.3674° N</t>
  </si>
  <si>
    <t>-89.0928° W</t>
  </si>
  <si>
    <t>Ocean Springs area</t>
  </si>
  <si>
    <t>Map coordinate</t>
  </si>
  <si>
    <t xml:space="preserve">Geographic Reference stopped here Python Code for Geographic  not ran or tweaked, Geo-Mapping page </t>
  </si>
  <si>
    <t xml:space="preserve"> HUD CoC to FIPS Comprehensive Dataset</t>
  </si>
  <si>
    <t>Historical changes, mergers, comments</t>
  </si>
  <si>
    <t>County/Parish Name</t>
  </si>
  <si>
    <t>FIPS Code</t>
  </si>
  <si>
    <t>HUD CoC ID</t>
  </si>
  <si>
    <t>FIPS</t>
  </si>
  <si>
    <t>County_Name</t>
  </si>
  <si>
    <t>Population_2010</t>
  </si>
  <si>
    <t>RUCC_2013</t>
  </si>
  <si>
    <t>Louisiana</t>
  </si>
  <si>
    <t>Caddo Parish</t>
  </si>
  <si>
    <t>22001</t>
  </si>
  <si>
    <t>Acadia Parish</t>
  </si>
  <si>
    <t xml:space="preserve">Metro - Counties in metro areas of 250,000 to 1 million population                                                                                                                                      </t>
  </si>
  <si>
    <t>Bossier Parish</t>
  </si>
  <si>
    <t>22003</t>
  </si>
  <si>
    <t>Allen Parish</t>
  </si>
  <si>
    <t xml:space="preserve">Nonmetro - Urban population of 2,500 to 19,999, adjacent to a metro area                                                                                                                                </t>
  </si>
  <si>
    <t>Webster Parish</t>
  </si>
  <si>
    <t>22005</t>
  </si>
  <si>
    <t>Ascension Parish</t>
  </si>
  <si>
    <t>Claiborne Parish</t>
  </si>
  <si>
    <t>22007</t>
  </si>
  <si>
    <t>Assumption Parish</t>
  </si>
  <si>
    <t>Bienville Parish</t>
  </si>
  <si>
    <t>22009</t>
  </si>
  <si>
    <t>Avoyelles Parish</t>
  </si>
  <si>
    <t>Red River Parish</t>
  </si>
  <si>
    <t>22011</t>
  </si>
  <si>
    <t>Beauregard Parish</t>
  </si>
  <si>
    <t>De Soto Parish</t>
  </si>
  <si>
    <t>22013</t>
  </si>
  <si>
    <t>Rapides Parish</t>
  </si>
  <si>
    <t>22015</t>
  </si>
  <si>
    <t>Grant Parish</t>
  </si>
  <si>
    <t>22017</t>
  </si>
  <si>
    <t>22019</t>
  </si>
  <si>
    <t>Calcasieu Parish</t>
  </si>
  <si>
    <t xml:space="preserve">Metro - Counties in metro areas of fewer than 250,000 population                                                                                                                                        </t>
  </si>
  <si>
    <t>Catahoula Parish</t>
  </si>
  <si>
    <t>22023</t>
  </si>
  <si>
    <t>Cameron Parish</t>
  </si>
  <si>
    <t>Concordia Parish</t>
  </si>
  <si>
    <t>22025</t>
  </si>
  <si>
    <t xml:space="preserve">Nonmetro - Completely rural or less than 2,500 urban population, not adjacent to a metro area                                                                                                           </t>
  </si>
  <si>
    <t>LaSalle Parish</t>
  </si>
  <si>
    <t>22027</t>
  </si>
  <si>
    <t>Vernon Parish</t>
  </si>
  <si>
    <t>22029</t>
  </si>
  <si>
    <t xml:space="preserve">Nonmetro - Urban population of 2,500 to 19,999, not adjacent to a metro area                                                                                                                            </t>
  </si>
  <si>
    <t>Winn Parish</t>
  </si>
  <si>
    <t>22031</t>
  </si>
  <si>
    <t>22033</t>
  </si>
  <si>
    <t>East Baton Rouge Parish</t>
  </si>
  <si>
    <t>22037</t>
  </si>
  <si>
    <t>East Feliciana Parish</t>
  </si>
  <si>
    <t>22043</t>
  </si>
  <si>
    <t>22047</t>
  </si>
  <si>
    <t>Iberville Parish</t>
  </si>
  <si>
    <t>22053</t>
  </si>
  <si>
    <t>Jefferson Davis Parish</t>
  </si>
  <si>
    <t>22057</t>
  </si>
  <si>
    <t>Lafourche Parish</t>
  </si>
  <si>
    <t>22059</t>
  </si>
  <si>
    <t>La Salle Parish</t>
  </si>
  <si>
    <t>22069</t>
  </si>
  <si>
    <t>Natchitoches Parish</t>
  </si>
  <si>
    <t>22075</t>
  </si>
  <si>
    <t>Plaquemines Parish</t>
  </si>
  <si>
    <t xml:space="preserve">Metro - Counties in metro areas of 1 million population or more                                                                                                                                         </t>
  </si>
  <si>
    <t>22077</t>
  </si>
  <si>
    <t>Pointe Coupee Parish</t>
  </si>
  <si>
    <t>22079</t>
  </si>
  <si>
    <t>22081</t>
  </si>
  <si>
    <t xml:space="preserve">Nonmetro - Completely rural or less than 2,500 urban population, adjacent to a metro area                                                                                                               </t>
  </si>
  <si>
    <t>22085</t>
  </si>
  <si>
    <t>Sabine Parish</t>
  </si>
  <si>
    <t>22087</t>
  </si>
  <si>
    <t>St. Bernard Parish</t>
  </si>
  <si>
    <t>22089</t>
  </si>
  <si>
    <t>St. Charles Parish</t>
  </si>
  <si>
    <t>22093</t>
  </si>
  <si>
    <t>St. James Parish</t>
  </si>
  <si>
    <t>22095</t>
  </si>
  <si>
    <t>St. John the Baptist Parish</t>
  </si>
  <si>
    <t>22109</t>
  </si>
  <si>
    <t>Terrebonne Parish</t>
  </si>
  <si>
    <t>22115</t>
  </si>
  <si>
    <t xml:space="preserve">Nonmetro - Urban population of 20,000 or more, not adjacent to a metro area                                                                                                                             </t>
  </si>
  <si>
    <t>22119</t>
  </si>
  <si>
    <t>West Baton Rouge Parish</t>
  </si>
  <si>
    <t>22121</t>
  </si>
  <si>
    <t>West Feliciana Parish</t>
  </si>
  <si>
    <t>22125</t>
  </si>
  <si>
    <t>Mississippi</t>
  </si>
  <si>
    <t>Hinds County</t>
  </si>
  <si>
    <t>22127</t>
  </si>
  <si>
    <t>Rankin County</t>
  </si>
  <si>
    <t>Madison County</t>
  </si>
  <si>
    <t>28001</t>
  </si>
  <si>
    <t>Adams County</t>
  </si>
  <si>
    <t>Warren County</t>
  </si>
  <si>
    <t>28003</t>
  </si>
  <si>
    <t>Alcorn County</t>
  </si>
  <si>
    <t>Copiah County</t>
  </si>
  <si>
    <t>28005</t>
  </si>
  <si>
    <t>Amite County</t>
  </si>
  <si>
    <t>Simpson County</t>
  </si>
  <si>
    <t>28007</t>
  </si>
  <si>
    <t>Attala County</t>
  </si>
  <si>
    <t>Harrison County</t>
  </si>
  <si>
    <t>28009</t>
  </si>
  <si>
    <t>Benton County</t>
  </si>
  <si>
    <t>Hancock County</t>
  </si>
  <si>
    <t>28011</t>
  </si>
  <si>
    <t>Bolivar County</t>
  </si>
  <si>
    <t>Jackson County</t>
  </si>
  <si>
    <t>28013</t>
  </si>
  <si>
    <t>Calhoun County</t>
  </si>
  <si>
    <t>George County</t>
  </si>
  <si>
    <t>28015</t>
  </si>
  <si>
    <t>Carroll County</t>
  </si>
  <si>
    <t>Stone County</t>
  </si>
  <si>
    <t>28017</t>
  </si>
  <si>
    <t>Chickasaw County</t>
  </si>
  <si>
    <t>Pearl River County</t>
  </si>
  <si>
    <t>28019</t>
  </si>
  <si>
    <t>Choctaw County</t>
  </si>
  <si>
    <t>28021</t>
  </si>
  <si>
    <t>Claiborne County</t>
  </si>
  <si>
    <t>28023</t>
  </si>
  <si>
    <t>Clarke County</t>
  </si>
  <si>
    <t>28025</t>
  </si>
  <si>
    <t>Clay County</t>
  </si>
  <si>
    <t>28027</t>
  </si>
  <si>
    <t>Coahoma County</t>
  </si>
  <si>
    <t>28029</t>
  </si>
  <si>
    <t>28033</t>
  </si>
  <si>
    <t>DeSoto County</t>
  </si>
  <si>
    <t>28035</t>
  </si>
  <si>
    <t>Forrest County</t>
  </si>
  <si>
    <t>28037</t>
  </si>
  <si>
    <t>Franklin County</t>
  </si>
  <si>
    <t>28039</t>
  </si>
  <si>
    <t>28041</t>
  </si>
  <si>
    <t>Greene County</t>
  </si>
  <si>
    <t>28043</t>
  </si>
  <si>
    <t>Grenada County</t>
  </si>
  <si>
    <t>28045</t>
  </si>
  <si>
    <t>28047</t>
  </si>
  <si>
    <t>28049</t>
  </si>
  <si>
    <t>Covington County</t>
  </si>
  <si>
    <t>28051</t>
  </si>
  <si>
    <t>Holmes County</t>
  </si>
  <si>
    <t>28053</t>
  </si>
  <si>
    <t>Humphreys County</t>
  </si>
  <si>
    <t>28055</t>
  </si>
  <si>
    <t>Issaquena County</t>
  </si>
  <si>
    <t>28057</t>
  </si>
  <si>
    <t>Itawamba County</t>
  </si>
  <si>
    <t>28059</t>
  </si>
  <si>
    <t>28061</t>
  </si>
  <si>
    <t>Jasper County</t>
  </si>
  <si>
    <t>28063</t>
  </si>
  <si>
    <t>Jefferson County</t>
  </si>
  <si>
    <t>28065</t>
  </si>
  <si>
    <t>Jefferson Davis County</t>
  </si>
  <si>
    <t>28067</t>
  </si>
  <si>
    <t>Jones County</t>
  </si>
  <si>
    <t xml:space="preserve">Nonmetro - Urban population of 20,000 or more, adjacent to a metro area                                                                                                                                 </t>
  </si>
  <si>
    <t>28069</t>
  </si>
  <si>
    <t>Kemper County</t>
  </si>
  <si>
    <t>28071</t>
  </si>
  <si>
    <t>Lafayette County</t>
  </si>
  <si>
    <t>28075</t>
  </si>
  <si>
    <t>Lauderdale County</t>
  </si>
  <si>
    <t>28077</t>
  </si>
  <si>
    <t>Lawrence County</t>
  </si>
  <si>
    <t>28079</t>
  </si>
  <si>
    <t>Leake County</t>
  </si>
  <si>
    <t>28081</t>
  </si>
  <si>
    <t>Lee County</t>
  </si>
  <si>
    <t>28083</t>
  </si>
  <si>
    <t>Leflore County</t>
  </si>
  <si>
    <t>28085</t>
  </si>
  <si>
    <t>Lincoln County</t>
  </si>
  <si>
    <t>28087</t>
  </si>
  <si>
    <t>Lowndes County</t>
  </si>
  <si>
    <t>28089</t>
  </si>
  <si>
    <t>28091</t>
  </si>
  <si>
    <t>Marion County</t>
  </si>
  <si>
    <t>28093</t>
  </si>
  <si>
    <t>Marshall County</t>
  </si>
  <si>
    <t>28095</t>
  </si>
  <si>
    <t>Monroe County</t>
  </si>
  <si>
    <t>28097</t>
  </si>
  <si>
    <t>Montgomery County</t>
  </si>
  <si>
    <t>28099</t>
  </si>
  <si>
    <t>Neshoba County</t>
  </si>
  <si>
    <t>28101</t>
  </si>
  <si>
    <t>Newton County</t>
  </si>
  <si>
    <t>28103</t>
  </si>
  <si>
    <t>Noxubee County</t>
  </si>
  <si>
    <t>28105</t>
  </si>
  <si>
    <t>Oktibbeha County</t>
  </si>
  <si>
    <t>28107</t>
  </si>
  <si>
    <t>Panola County</t>
  </si>
  <si>
    <t>28109</t>
  </si>
  <si>
    <t>28111</t>
  </si>
  <si>
    <t>Perry County</t>
  </si>
  <si>
    <t>28113</t>
  </si>
  <si>
    <t>Pike County</t>
  </si>
  <si>
    <t>28115</t>
  </si>
  <si>
    <t>Pontotoc County</t>
  </si>
  <si>
    <t>28117</t>
  </si>
  <si>
    <t>Prentiss County</t>
  </si>
  <si>
    <t>28119</t>
  </si>
  <si>
    <t>Quitman County</t>
  </si>
  <si>
    <t>28121</t>
  </si>
  <si>
    <t>28123</t>
  </si>
  <si>
    <t>Scott County</t>
  </si>
  <si>
    <t>28125</t>
  </si>
  <si>
    <t>Sharkey County</t>
  </si>
  <si>
    <t>28127</t>
  </si>
  <si>
    <t>28129</t>
  </si>
  <si>
    <t>Smith County</t>
  </si>
  <si>
    <t>28131</t>
  </si>
  <si>
    <t>Sunflower County</t>
  </si>
  <si>
    <t>28133</t>
  </si>
  <si>
    <t>Tallahatchie County</t>
  </si>
  <si>
    <t>28135</t>
  </si>
  <si>
    <t>Tate County</t>
  </si>
  <si>
    <t>28137</t>
  </si>
  <si>
    <t>Tippah County</t>
  </si>
  <si>
    <t>28139</t>
  </si>
  <si>
    <t>Tishomingo County</t>
  </si>
  <si>
    <t>28141</t>
  </si>
  <si>
    <t>Tunica County</t>
  </si>
  <si>
    <t>28143</t>
  </si>
  <si>
    <t>Union County</t>
  </si>
  <si>
    <t>28145</t>
  </si>
  <si>
    <t>Walthall County</t>
  </si>
  <si>
    <t>28147</t>
  </si>
  <si>
    <t>Washington County</t>
  </si>
  <si>
    <t>28149</t>
  </si>
  <si>
    <t>Wayne County</t>
  </si>
  <si>
    <t>28151</t>
  </si>
  <si>
    <t>Webster County</t>
  </si>
  <si>
    <t>28153</t>
  </si>
  <si>
    <t>Wilkinson County</t>
  </si>
  <si>
    <t>28155</t>
  </si>
  <si>
    <t>Winston County</t>
  </si>
  <si>
    <t>28157</t>
  </si>
  <si>
    <t>Yalobusha County</t>
  </si>
  <si>
    <t>28159</t>
  </si>
  <si>
    <t>Yazoo County</t>
  </si>
  <si>
    <t>28161</t>
  </si>
  <si>
    <t>28163</t>
  </si>
  <si>
    <t>Python</t>
  </si>
  <si>
    <t># Since persisting the environment files had an infrastructure issue,  verify if writing to the local workspace directory works perfectly.</t>
  </si>
  <si>
    <t>import pandas as pd</t>
  </si>
  <si>
    <t>import os</t>
  </si>
  <si>
    <t>data = []</t>
  </si>
  <si>
    <t># LA-502</t>
  </si>
  <si>
    <t>for name, fips in [("Caddo Parish", "22017"), ("Bossier Parish", "22015"), ("Webster Parish", "22119"), ("Claiborne Parish", "22027"), ("Bienville Parish", "22013"), ("Red River Parish", "22081"), ("De Soto Parish", "22031")]:</t>
  </si>
  <si>
    <t xml:space="preserve">    data.append(("Louisiana", name, fips, "LA-502"))</t>
  </si>
  <si>
    <t># LA-507</t>
  </si>
  <si>
    <t>for name, fips in [("Rapides Parish", "22079"), ("Grant Parish", "22043"), ("Avoyelles Parish", "22009"), ("Catahoula Parish", "22025"), ("Concordia Parish", "22029"), ("LaSalle Parish", "22059"), ("Vernon Parish", "22115"), ("Winn Parish", "22127")]:</t>
  </si>
  <si>
    <t xml:space="preserve">    data.append(("Louisiana", name, fips, "LA-507"))</t>
  </si>
  <si>
    <t># LA-509</t>
  </si>
  <si>
    <t>la_509 = [("Ascension Parish", "22005"), ("Assumption Parish", "22007"), ("Allen Parish", "22003"), ("Beauregard Parish", "22011"), ("Calcasieu Parish", "22019"), ("Cameron Parish", "22023"), ("East Baton Rouge Parish", "22033"), ("East Feliciana Parish", "22037"), ("Iberville Parish", "22047"), ("Jefferson Davis Parish", "22053"), ("Lafourche Parish", "22057"), ("Natchitoches Parish", "22069"), ("Plaquemines Parish", "22075"), ("Pointe Coupee Parish", "22077"), ("Sabine Parish", "22085"), ("St. Bernard Parish", "22087"), ("St. Charles Parish", "22089"), ("St. James Parish", "22093"), ("St. John the Baptist Parish", "22095"), ("Terrebonne Parish", "22109"), ("West Baton Rouge Parish", "22121"), ("West Feliciana Parish", "22125")]</t>
  </si>
  <si>
    <t>for name, fips in la_509:</t>
  </si>
  <si>
    <t xml:space="preserve">    data.append(("Louisiana", name, fips, "LA-509"))</t>
  </si>
  <si>
    <t># MS-500</t>
  </si>
  <si>
    <t>for name, fips in [("Hinds County", "28049"), ("Rankin County", "28121"), ("Madison County", "28089"), ("Warren County", "28149"), ("Copiah County", "28029"), ("Simpson County", "28127")]:</t>
  </si>
  <si>
    <t xml:space="preserve">    data.append(("Mississippi", name, fips, "MS-500"))</t>
  </si>
  <si>
    <t># MS-503</t>
  </si>
  <si>
    <t>for name, fips in [("Harrison County", "28047"), ("Hancock County", "28045"), ("Jackson County", "28059"), ("George County", "28039"), ("Stone County", "28131"), ("Pearl River County", "28109")]:</t>
  </si>
  <si>
    <t xml:space="preserve">    data.append(("Mississippi", name, fips, "MS-503"))</t>
  </si>
  <si>
    <t># MS-501</t>
  </si>
  <si>
    <t>ms_counties_all = [("Adams", "28001"), ("Alcorn", "28003"), ("Amite", "28005"), ("Attala", "28007"), ("Benton", "28009"), ("Bolivar", "28011"), ("Calhoun", "28013"), ("Carroll", "28015"), ("Chickasaw", "28017"), ("Choctaw", "28019"), ("Claiborne", "28021"), ("Clarke", "28023"), ("Clay", "28025"), ("Coahoma", "28027"), ("Copiah", "28029"), ("Covington", "28031"), ("DeSoto", "28033"), ("Forrest", "28035"), ("Franklin", "28037"), ("George", "28039"), ("Greene", "28041"), ("Grenada", "28043"), ("Hancock", "28045"), ("Harrison", "28047"), ("Hinds", "28049"), ("Holmes", "28051"), ("Humphreys", "28053"), ("Issaquena", "28055"), ("Itawamba", "28057"), ("Jackson", "28059"), ("Jasper", "28061"), ("Jefferson", "28063"), ("Jefferson Davis", "28065"), ("Jones", "28067"), ("Kemper", "28069"), ("Lafayette", "28071"), ("Lauderdale", "28073"), ("Lawrence", "28075"), ("Leake", "28077"), ("Lee", "28079"), ("Leflore", "28081"), ("Lincoln", "28083"), ("Lowndes", "28085"), ("Madison", "28089"), ("Marion", "28091"), ("Marshall", "28093"), ("Monroe", "28095"), ("Montgomery", "28097"), ("Neshoba", "28099"), ("Newton", "28101"), ("Noxubee", "28103"), ("Oktibbeha", "28105"), ("Panola", "28107"), ("Pearl River", "28109"), ("Perry", "28111"), ("Pike", "28113"), ("Pontotoc", "28115"), ("Prentiss", "28117"), ("Quitman", "28119"), ("Rankin", "28121"), ("Scott", "28123"), ("Sharkey", "28125"), ("Simpson", "28127"), ("Smith", "28129"), ("Stone", "28131"), ("Sunflower", "28133"), ("Tallahatchie", "28135"), ("Tate", "28137"), ("Tippah", "28139"), ("Tishomingo", "28141"), ("Tunica", "28143"), ("Union", "28145"), ("Walthall", "28147"), ("Warren", "28149"), ("Washington", "28151"), ("Wayne", "28153"), ("Webster", "28155"), ("Wilkinson", "28157"), ("Winston", "28159"), ("Yalobusha", "28161"), ("Yazoo", "28163")]</t>
  </si>
  <si>
    <t>excluded_fips = {"28049", "28121", "28089", "28149", "28029", "28127", "28047", "28045", "28059", "28039", "28131", "28109"}</t>
  </si>
  <si>
    <t>for name, fips in ms_counties_all:</t>
  </si>
  <si>
    <t xml:space="preserve">    if fips not in excluded_fips:</t>
  </si>
  <si>
    <t xml:space="preserve">        data.append(("Mississippi", f"{name} County", fips, "MS-501"))</t>
  </si>
  <si>
    <t>df = pd.DataFrame(data, columns=["State", "County/Parish Name", "FIPS Code", "HUD CoC ID"])</t>
  </si>
  <si>
    <t>print(df.to_string())</t>
  </si>
  <si>
    <t>import numpy as np</t>
  </si>
  <si>
    <t>file_path = 'Portfolio for Homelessness_Final (version 1).xlsx'</t>
  </si>
  <si>
    <t># Load datasets</t>
  </si>
  <si>
    <t>df_homeless = pd.read_excel(file_path, sheet_name='Sheltered Unsheltered')</t>
  </si>
  <si>
    <t>df_health = pd.read_excel(file_path, sheet_name='Health Metrics')</t>
  </si>
  <si>
    <t># Clean homelessness data</t>
  </si>
  <si>
    <t>df_h = df_homeless.copy()</t>
  </si>
  <si>
    <t>df_h.columns = df_h.iloc[0]</t>
  </si>
  <si>
    <t>df_h = df_h.iloc[1:].reset_index(drop=True)</t>
  </si>
  <si>
    <t>df_h['Year'] = pd.to_numeric(df_h['Year'], errors='coerce')</t>
  </si>
  <si>
    <t>df_h['Overall Homeless'] = pd.to_numeric(df_h['Overall Homeless'], errors='coerce')</t>
  </si>
  <si>
    <t>df_h['Overall Chronically Homeless Individuals'] = pd.to_numeric(df_h['Overall Chronically Homeless Individuals'], errors='coerce')</t>
  </si>
  <si>
    <t>df_h['Unsheltered Homeless Individual'] = pd.to_numeric(df_h['Unsheltered Homeless Individual'], errors='coerce')</t>
  </si>
  <si>
    <t>df_h['Sheltered Total Homeless Individuals'] = pd.to_numeric(df_h['Sheltered Total Homeless Individuals'], errors='coerce')</t>
  </si>
  <si>
    <t># Clean health metrics metric names</t>
  </si>
  <si>
    <t>df_health['Metric_Name_Clean'] = df_health['Metric_Name'].str.strip()</t>
  </si>
  <si>
    <t># Map duplicate metric variations to clean standardized names</t>
  </si>
  <si>
    <t>metric_mapping = {</t>
  </si>
  <si>
    <t xml:space="preserve">    'Frequent Mental Distress (%)': 'Frequent Mental Distress (%)',</t>
  </si>
  <si>
    <t xml:space="preserve">    'Adult Obesity Prevalence (%)': 'Adult Obesity Prevalence (%)',</t>
  </si>
  <si>
    <t xml:space="preserve">    'Uninsured Adults (%)': 'Uninsured Adults (%)',</t>
  </si>
  <si>
    <t xml:space="preserve">    'Binge Drinking Prevalence (%)': 'Binge Drinking Prevalence (%)',</t>
  </si>
  <si>
    <t xml:space="preserve">    'Chronic Kidney Disease Prevalence (%)': 'Chronic Kidney Disease Prevalence (%)',</t>
  </si>
  <si>
    <t xml:space="preserve">    'Opioid Prescriptions (Total Count)': 'Opioid Prescriptions (Total Count)',</t>
  </si>
  <si>
    <t xml:space="preserve">    'Naloxone Prescriptions (Total Count)': 'Naloxone Prescriptions (Total Count)',</t>
  </si>
  <si>
    <t xml:space="preserve">    'Overdose Deaths (Total Count)': 'Overdose Deaths (Total Count)',</t>
  </si>
  <si>
    <t xml:space="preserve">    'Diabetes-Related Death (Total Count)': 'Diabetes-Related Death (Total Count)',</t>
  </si>
  <si>
    <t xml:space="preserve">    'Diabetes-Related Death (Total Count))': 'Diabetes-Related Death (Total Count)',</t>
  </si>
  <si>
    <t xml:space="preserve">    'Diabetes-Related Mortality  (Total Count)': 'Diabetes-Related Death (Total Count)',</t>
  </si>
  <si>
    <t xml:space="preserve">    'Chronic Liver Disease Mortality (Total Count)': 'Chronic Liver Disease Mortality (Total Count)',</t>
  </si>
  <si>
    <t xml:space="preserve">    'Chronic Liver Disease Mortality (TotalCount)': 'Chronic Liver Disease Mortality (Total Count)',</t>
  </si>
  <si>
    <t xml:space="preserve">    'Chronic Liver Disease Mortality Total Count)': 'Chronic Liver Disease Mortality (Total Count)'</t>
  </si>
  <si>
    <t>}</t>
  </si>
  <si>
    <t>df_health['Metric_Name_Clean'] = df_health['Metric_Name_Clean'].map(metric_mapping).fillna(df_health['Metric_Name_Clean'])</t>
  </si>
  <si>
    <t># Aggregate health by State, Year, Metric_Name_Clean</t>
  </si>
  <si>
    <t>df_health_agg = df_health.groupby(['State', 'Year', 'Metric_Name_Clean'])['Metric_Value'].mean().reset_index()</t>
  </si>
  <si>
    <t># Pivot health</t>
  </si>
  <si>
    <t>health_pivot = df_health_agg.pivot_table(index=['State', 'Year'], columns='Metric_Name_Clean', values='Metric_Value').reset_index()</t>
  </si>
  <si>
    <t># Aggregate Homelessness by State and Year</t>
  </si>
  <si>
    <t>homeless_agg = df_h.groupby(['State', 'Year'])[['Overall Homeless', 'Overall Chronically Homeless Individuals', 'Unsheltered Homeless Individual', 'Sheltered Total Homeless Individuals']].sum().reset_index()</t>
  </si>
  <si>
    <t># Merge</t>
  </si>
  <si>
    <t>merged = pd.merge(homeless_agg, health_pivot, on=['State', 'Year'], how='inner')</t>
  </si>
  <si>
    <t># Calculate correlations</t>
  </si>
  <si>
    <t>metrics_to_correlate = [</t>
  </si>
  <si>
    <t xml:space="preserve">    'Frequent Mental Distress (%)',</t>
  </si>
  <si>
    <t xml:space="preserve">    'Adult Obesity Prevalence (%)',</t>
  </si>
  <si>
    <t xml:space="preserve">    'Uninsured Adults (%)',</t>
  </si>
  <si>
    <t xml:space="preserve">    'Binge Drinking Prevalence (%)',</t>
  </si>
  <si>
    <t xml:space="preserve">    'Chronic Kidney Disease Prevalence (%)',</t>
  </si>
  <si>
    <t xml:space="preserve">    'Opioid Prescriptions (Total Count)',</t>
  </si>
  <si>
    <t xml:space="preserve">    'Naloxone Prescriptions (Total Count)',</t>
  </si>
  <si>
    <t xml:space="preserve">    'Overdose Deaths (Total Count)',</t>
  </si>
  <si>
    <t xml:space="preserve">    'Diabetes-Related Death (Total Count)',</t>
  </si>
  <si>
    <t xml:space="preserve">    'Chronic Liver Disease Mortality (Total Count)'</t>
  </si>
  <si>
    <t>]</t>
  </si>
  <si>
    <t>corr_results = []</t>
  </si>
  <si>
    <t>for metric in metrics_to_correlate:</t>
  </si>
  <si>
    <t xml:space="preserve">    if metric in merged.columns:</t>
  </si>
  <si>
    <t xml:space="preserve">        c_overall = merged['Overall Homeless'].corr(merged[metric])</t>
  </si>
  <si>
    <t xml:space="preserve">        c_chronic = merged['Overall Chronically Homeless Individuals'].corr(merged[metric])</t>
  </si>
  <si>
    <t xml:space="preserve">        c_unsheltered = merged['Unsheltered Homeless Individual'].corr(merged[metric])</t>
  </si>
  <si>
    <t xml:space="preserve">        corr_results.append({</t>
  </si>
  <si>
    <t xml:space="preserve">            'Metric': metric,</t>
  </si>
  <si>
    <t xml:space="preserve">            'Correlation with Overall Homeless': round(c_overall, 4),</t>
  </si>
  <si>
    <t xml:space="preserve">            'Correlation with Chronic Homeless': round(c_chronic, 4),</t>
  </si>
  <si>
    <t xml:space="preserve">            'Correlation with Unsheltered Homeless': round(c_unsheltered, 4)</t>
  </si>
  <si>
    <t xml:space="preserve">        })</t>
  </si>
  <si>
    <t>df_corr = pd.DataFrame(corr_results)</t>
  </si>
  <si>
    <t>print("=== CORRELATION ANALYSIS RESULTS ===")</t>
  </si>
  <si>
    <t>print(df_corr.to_string(index=False))</t>
  </si>
  <si>
    <t># Calculate Percentiles (90th percentile high risk cutoff)</t>
  </si>
  <si>
    <t>percentiles = []</t>
  </si>
  <si>
    <t xml:space="preserve">        p90 = np.percentile(merged[metric].dropna(), 90)</t>
  </si>
  <si>
    <t xml:space="preserve">        percentiles.append({</t>
  </si>
  <si>
    <t xml:space="preserve">            '90th Percentile Cutoff (High Risk)': round(p90, 2)</t>
  </si>
  <si>
    <t>df_p90 = pd.DataFrame(percentiles)</t>
  </si>
  <si>
    <t>print("\n=== 90th PERCENTILE BENCHMARKS ===")</t>
  </si>
  <si>
    <t>print(df_p90.to_string(index=False))</t>
  </si>
  <si>
    <t># Generate Executive Summary Stats</t>
  </si>
  <si>
    <t>overall_homeless_total = df_h['Overall Homeless'].sum()</t>
  </si>
  <si>
    <t>chronic_homeless_total = df_h['Overall Chronically Homeless Individuals'].sum()</t>
  </si>
  <si>
    <t>la_homeless = df_h[df_h['State'] == 'LA']['Overall Homeless'].sum()</t>
  </si>
  <si>
    <t>ms_homeless = df_h[df_h['State'] == 'MS']['Overall Homeless'].sum()</t>
  </si>
  <si>
    <t>print("Key Statistics for Executive Summary:")</t>
  </si>
  <si>
    <t>print(f"Total PIT Homeless Recorded (2007-2024 cumulative CoC records): {overall_homeless_total:,.0f}")</t>
  </si>
  <si>
    <t>print(f"Total Chronically Homeless Recorded: {chronic_homeless_total:,.0f}")</t>
  </si>
  <si>
    <t>print(f"Louisiana Total Homeless Count: {la_homeless:,.0f}")</t>
  </si>
  <si>
    <t>print(f"Mississippi Total Homeless Count: {ms_homeless:,.0f}")</t>
  </si>
  <si>
    <t>https://unicede.air-worldwide.com/unicede/unicede_louisiana_fips.html</t>
  </si>
  <si>
    <t>https://unicede.air-worldwide.com/unicede/unicede_mississippi_fips.html</t>
  </si>
  <si>
    <t>Louisiana CoC Regions</t>
  </si>
  <si>
    <t>Mississippi CoC Regions</t>
  </si>
  <si>
    <t>LA-502: Shreveport, Bossier/Northwest Louisiana CoC</t>
  </si>
  <si>
    <t>MS-500: Jackson/Rankin, Madison Counties CoC</t>
  </si>
  <si>
    <t>MS-501: Mississippi Balance of State CoC</t>
  </si>
  <si>
    <t>LA-507: Alexandria/Central Louisiana CoC</t>
  </si>
  <si>
    <t>MS-503: Gulf Port/Gulf Coast Regional CoC</t>
  </si>
  <si>
    <t>LA-509: Louisiana Balance of State CoC</t>
  </si>
  <si>
    <t xml:space="preserve">Continuum of Care: </t>
  </si>
  <si>
    <t>Homelessness ages from 2007 to 2024</t>
  </si>
  <si>
    <t>Year</t>
  </si>
  <si>
    <t>CoC_ID</t>
  </si>
  <si>
    <t>CoC Name</t>
  </si>
  <si>
    <t>CoC Category</t>
  </si>
  <si>
    <t>CoC Types</t>
  </si>
  <si>
    <t>Overall Homeless</t>
  </si>
  <si>
    <t>Overall Homeless Individuals</t>
  </si>
  <si>
    <t>Sheltered Total Homeless Individuals</t>
  </si>
  <si>
    <t>Unsheltered Homeless Individual</t>
  </si>
  <si>
    <t>Overall Homeless Veterans</t>
  </si>
  <si>
    <t>Sheltered Total Homeless Veterans</t>
  </si>
  <si>
    <t>Unsheltered Homeless Veterans</t>
  </si>
  <si>
    <t>Overall Homeless Under 18</t>
  </si>
  <si>
    <t>Overall Homeless 18 - 24</t>
  </si>
  <si>
    <t>Overall Homeless Over 24</t>
  </si>
  <si>
    <t>Overall Homeless Women</t>
  </si>
  <si>
    <t>Overall Homeless Men</t>
  </si>
  <si>
    <t>Overall Homeless Family Households</t>
  </si>
  <si>
    <t>Overall Chronically Homeless Individuals</t>
  </si>
  <si>
    <t>LA_502</t>
  </si>
  <si>
    <t>Other Largely Urban CoC</t>
  </si>
  <si>
    <t>Sheltered and Unsheltered Count</t>
  </si>
  <si>
    <t>Largely Rural CoC</t>
  </si>
  <si>
    <t>LA_509</t>
  </si>
  <si>
    <t>Largely Suburban CoC</t>
  </si>
  <si>
    <t>MS_500</t>
  </si>
  <si>
    <t>MS_501</t>
  </si>
  <si>
    <t>MS_503</t>
  </si>
  <si>
    <t>NULL</t>
  </si>
  <si>
    <t>CoC Number Pre-Merger</t>
  </si>
  <si>
    <t>CoC Number Post Merger</t>
  </si>
  <si>
    <t>Merger Year</t>
  </si>
  <si>
    <t>LA-504</t>
  </si>
  <si>
    <t>LA-508</t>
  </si>
  <si>
    <t>=============================================</t>
  </si>
  <si>
    <t>=======================================================</t>
  </si>
  <si>
    <t>--Steel Analytics</t>
  </si>
  <si>
    <t xml:space="preserve"> -- Steel Analytics</t>
  </si>
  <si>
    <t>--Homelessness Master Data</t>
  </si>
  <si>
    <t xml:space="preserve"> --Homelessness Master Data</t>
  </si>
  <si>
    <t>--Final SQL Structure</t>
  </si>
  <si>
    <t xml:space="preserve"> --Final Data Cleanup &amp; Validation</t>
  </si>
  <si>
    <t xml:space="preserve"> =============================================</t>
  </si>
  <si>
    <t>DROP TABLE IF EXISTS homelessness_master_data;</t>
  </si>
  <si>
    <t>--Convert blank values to NULL</t>
  </si>
  <si>
    <t>CREATE TABLE homelessness_master_data (</t>
  </si>
  <si>
    <t xml:space="preserve">    Year INT NOT NULL,</t>
  </si>
  <si>
    <t>UPDATE homelessness_master_data</t>
  </si>
  <si>
    <t>SET</t>
  </si>
  <si>
    <t xml:space="preserve">    CoC_ID VARCHAR(10) NOT NULL,</t>
  </si>
  <si>
    <t xml:space="preserve">    Overall_Homeless                = NULLIF(TRIM(Overall_Homeless), ''),</t>
  </si>
  <si>
    <t xml:space="preserve">    Overall_Individuals             = NULLIF(TRIM(Overall_Individuals), ''),</t>
  </si>
  <si>
    <t xml:space="preserve">    CoC_Region VARCHAR(60),</t>
  </si>
  <si>
    <t xml:space="preserve">    Sheltered_Individuals           = NULLIF(TRIM(Sheltered_Individuals), ''),</t>
  </si>
  <si>
    <t xml:space="preserve">    Unsheltered_Individuals         = NULLIF(TRIM(Unsheltered_Individuals), ''),</t>
  </si>
  <si>
    <t xml:space="preserve">    State CHAR(2),</t>
  </si>
  <si>
    <t xml:space="preserve">    Overall_Veterans                = NULLIF(TRIM(Overall_Veterans), ''),</t>
  </si>
  <si>
    <t xml:space="preserve">    Sheltered_Veterans              = NULLIF(TRIM(Sheltered_Veterans), ''),</t>
  </si>
  <si>
    <t xml:space="preserve">    Overall_Homeless INT NULL,</t>
  </si>
  <si>
    <t xml:space="preserve">    Unsheltered_Veterans            = NULLIF(TRIM(Unsheltered_Veterans), ''),</t>
  </si>
  <si>
    <t xml:space="preserve">    Overall_Individuals INT NULL,</t>
  </si>
  <si>
    <t xml:space="preserve">    Under_18                        = NULLIF(TRIM(Under_18), ''),</t>
  </si>
  <si>
    <t xml:space="preserve">    Sheltered_Individuals INT NULL,</t>
  </si>
  <si>
    <t xml:space="preserve">    Overall_18_24                   = NULLIF(TRIM(Overall_18_24), ''),</t>
  </si>
  <si>
    <t xml:space="preserve">    Unsheltered_Individuals INT NULL,</t>
  </si>
  <si>
    <t xml:space="preserve">    Over_24                         = NULLIF(TRIM(Over_24), ''),</t>
  </si>
  <si>
    <t xml:space="preserve">    Women                           = NULLIF(TRIM(Women), ''),</t>
  </si>
  <si>
    <t xml:space="preserve">    Overall_Veterans INT NULL,</t>
  </si>
  <si>
    <t xml:space="preserve">    Men                             = NULLIF(TRIM(Men), ''),</t>
  </si>
  <si>
    <t xml:space="preserve">    Sheltered_Veterans INT NULL,</t>
  </si>
  <si>
    <t xml:space="preserve">    Family_Households               = NULLIF(TRIM(Family_Households), ''),</t>
  </si>
  <si>
    <t xml:space="preserve">    Unsheltered_Veterans INT NULL,</t>
  </si>
  <si>
    <t xml:space="preserve">    Overall_Chronically_Homeless    = NULLIF(TRIM(Overall_Chronically_Homeless), ''),</t>
  </si>
  <si>
    <t xml:space="preserve">    ES_Beds                         = NULLIF(TRIM(ES_Beds), ''),</t>
  </si>
  <si>
    <t xml:space="preserve">    Under_18 INT NULL,</t>
  </si>
  <si>
    <t xml:space="preserve">    TH_Beds                         = NULLIF(TRIM(TH_Beds), ''),</t>
  </si>
  <si>
    <t xml:space="preserve">    Overall_18_24 INT NULL,</t>
  </si>
  <si>
    <t xml:space="preserve">    RRH_Beds                        = NULLIF(TRIM(RRH_Beds), ''),</t>
  </si>
  <si>
    <t xml:space="preserve">    Over_24 INT NULL,</t>
  </si>
  <si>
    <t xml:space="preserve">    PSH_Beds                        = NULLIF(TRIM(PSH_Beds), '');</t>
  </si>
  <si>
    <t xml:space="preserve">    Women INT NULL,</t>
  </si>
  <si>
    <t xml:space="preserve">    Men INT NULL,</t>
  </si>
  <si>
    <t>-- Remove comma separators</t>
  </si>
  <si>
    <t xml:space="preserve">    Family_Households INT NULL,</t>
  </si>
  <si>
    <t xml:space="preserve">    Overall_Chronically_Homeless INT NULL,</t>
  </si>
  <si>
    <t xml:space="preserve">    ES_Beds INT NULL,</t>
  </si>
  <si>
    <t xml:space="preserve">    Overall_Homeless                              = REPLACE(Overall_Homeless, ',', ''),</t>
  </si>
  <si>
    <t xml:space="preserve">    TH_Beds INT NULL,</t>
  </si>
  <si>
    <t xml:space="preserve">    Overall_Individuals                            = REPLACE(Overall_Individuals, ',', ''),</t>
  </si>
  <si>
    <t xml:space="preserve">    RRH_Beds INT NULL,</t>
  </si>
  <si>
    <t xml:space="preserve">    Sheltered_Individuals                       = REPLACE(Sheltered_Individuals, ',', ''),</t>
  </si>
  <si>
    <t xml:space="preserve">    PSH_Beds INT NULL,</t>
  </si>
  <si>
    <t xml:space="preserve">    Unsheltered_Individuals                 = REPLACE(Unsheltered_Individuals, ',', ''),</t>
  </si>
  <si>
    <t xml:space="preserve">    Overall_Veterans                                = REPLACE(Overall_Veterans, ',', ''),</t>
  </si>
  <si>
    <t xml:space="preserve">    PRIMARY KEY (Year, CoC_ID)</t>
  </si>
  <si>
    <t xml:space="preserve">    Sheltered_Veterans                            = REPLACE(Sheltered_Veterans, ',', ''),</t>
  </si>
  <si>
    <t xml:space="preserve">    Unsheltered_Veterans                      = REPLACE(Unsheltered_Veterans, ',', ''),</t>
  </si>
  <si>
    <t>);</t>
  </si>
  <si>
    <t xml:space="preserve">    Under_18                                                = REPLACE(Under_18, ',', ''),</t>
  </si>
  <si>
    <t xml:space="preserve">    Overall_18_24                                       = REPLACE(Overall_18_24, ',', ''),</t>
  </si>
  <si>
    <t xml:space="preserve">    Over_24                                                   = REPLACE(Over_24, ',', ''),</t>
  </si>
  <si>
    <t>-- After Importing the CSV</t>
  </si>
  <si>
    <t xml:space="preserve">    Women                                                   = REPLACE(Women, ',', ''),</t>
  </si>
  <si>
    <t>LOAD DATA LOCAL INFILE</t>
  </si>
  <si>
    <t xml:space="preserve">    Men                                                          = REPLACE(Men, ',', ''),</t>
  </si>
  <si>
    <t>'C:/Steel Analytics/01_Portfolio Projects/Homelessness/03_SQL/Homelessness_Master_Data.csv'</t>
  </si>
  <si>
    <t xml:space="preserve">    Family_Households                          = REPLACE(Family_Households, ',', ''),</t>
  </si>
  <si>
    <t>INTO TABLE homelessness_master_data</t>
  </si>
  <si>
    <t xml:space="preserve">    Overall_Chronically_Homeless    = REPLACE(Overall_Chronically_Homeless, ',', ''),</t>
  </si>
  <si>
    <t>FIELDS TERMINATED BY ','</t>
  </si>
  <si>
    <t xml:space="preserve">    ES_Beds                                                  = REPLACE(ES_Beds, ',', ''),</t>
  </si>
  <si>
    <t>OPTIONALLY ENCLOSED BY '"'</t>
  </si>
  <si>
    <t xml:space="preserve">    TH_Beds                                                 = REPLACE(TH_Beds, ',', ''),</t>
  </si>
  <si>
    <t>LINES TERMINATED BY '\r\n'</t>
  </si>
  <si>
    <t xml:space="preserve">    RRH_Beds                                              = REPLACE(RRH_Beds, ',', ''),</t>
  </si>
  <si>
    <t>IGNORE 1 ROWS;</t>
  </si>
  <si>
    <t xml:space="preserve">    PSH_Beds                                              = REPLACE(PSH_Beds, ',', '');</t>
  </si>
  <si>
    <t>--Standardize HUD CoC IDs</t>
  </si>
  <si>
    <t>-- Convert columns to INTEGER</t>
  </si>
  <si>
    <t>ALTER TABLE homelessness_master_data</t>
  </si>
  <si>
    <t>SET CoC_ID='LA-502'</t>
  </si>
  <si>
    <t>WHERE CoC_ID='LA_502';</t>
  </si>
  <si>
    <t>MODIFY Overall_Homeless                           INT NULL,</t>
  </si>
  <si>
    <t>MODIFY Overall_Individuals                        INT NULL,</t>
  </si>
  <si>
    <t>MODIFY Sheltered_Individuals                      INT NULL,</t>
  </si>
  <si>
    <t>SET CoC_ID='LA-509'</t>
  </si>
  <si>
    <t>MODIFY Unsheltered_Individuals                    INT NULL,</t>
  </si>
  <si>
    <t>WHERE CoC_ID='LA_509';</t>
  </si>
  <si>
    <t>MODIFY Overall_Veterans                           INT NULL,</t>
  </si>
  <si>
    <t>MODIFY Sheltered_Veterans                         INT NULL,</t>
  </si>
  <si>
    <t>SET CoC_ID='MS-500'</t>
  </si>
  <si>
    <t>MODIFY Unsheltered_Veterans                       INT NULL,</t>
  </si>
  <si>
    <t>WHERE CoC_ID='MS_500';</t>
  </si>
  <si>
    <t>MODIFY Under_18                                   INT NULL,</t>
  </si>
  <si>
    <t>MODIFY Overall_18_24                              INT NULL,</t>
  </si>
  <si>
    <t>SET CoC_ID='MS-501'</t>
  </si>
  <si>
    <t>MODIFY Over_24                                    INT NULL,</t>
  </si>
  <si>
    <t>WHERE CoC_ID='MS_501';</t>
  </si>
  <si>
    <t>MODIFY Women                                      INT NULL,</t>
  </si>
  <si>
    <t>MODIFY Men                                        INT NULL,</t>
  </si>
  <si>
    <t>SET CoC_ID='MS-503'</t>
  </si>
  <si>
    <t>WHERE CoC_ID='MS_503';</t>
  </si>
  <si>
    <t>MODIFY Family_Households                          INT NULL,</t>
  </si>
  <si>
    <t>MODIFY Overall_Chronically_Homeless INT NULL,</t>
  </si>
  <si>
    <t>-- Update the  Region Names</t>
  </si>
  <si>
    <t>MODIFY ES_Beds                                    INT NULL,</t>
  </si>
  <si>
    <t>MODIFY TH_Beds                                    INT NULL,</t>
  </si>
  <si>
    <t>MODIFY RRH_Beds                                   INT NULL,</t>
  </si>
  <si>
    <t>SET CoC_Region='Shreveport'</t>
  </si>
  <si>
    <t>MODIFY PSH_Beds                                   INT NULL;</t>
  </si>
  <si>
    <t>WHERE CoC_ID='LA-502';</t>
  </si>
  <si>
    <t>DESCRIBE homelessness_master_data;</t>
  </si>
  <si>
    <t>SET CoC_Region='Alexandria'</t>
  </si>
  <si>
    <t>WHERE CoC_ID='LA-507';</t>
  </si>
  <si>
    <t>-- Final Validation</t>
  </si>
  <si>
    <t>-- Verify total records</t>
  </si>
  <si>
    <t>SET CoC_Region='Louisiana Balance of State'</t>
  </si>
  <si>
    <t>SELECT COUNT(*) AS Total_Records</t>
  </si>
  <si>
    <t>WHERE CoC_ID='LA-509';</t>
  </si>
  <si>
    <t>FROM homelessness_master_data;</t>
  </si>
  <si>
    <t>-- Verify duplicate Year/CoC combinations</t>
  </si>
  <si>
    <t>SET CoC_Region='Jackson'</t>
  </si>
  <si>
    <t>SELECT</t>
  </si>
  <si>
    <t>WHERE CoC_ID='MS-500';</t>
  </si>
  <si>
    <t xml:space="preserve">    Year,</t>
  </si>
  <si>
    <t xml:space="preserve">    CoC_ID,</t>
  </si>
  <si>
    <t xml:space="preserve">    COUNT(*) AS Duplicate_Count</t>
  </si>
  <si>
    <t>SET CoC_Region='Mississippi Balance of State'</t>
  </si>
  <si>
    <t>FROM homelessness_master_data</t>
  </si>
  <si>
    <t>WHERE CoC_ID='MS-501';</t>
  </si>
  <si>
    <t>GROUP BY Year, CoC_ID</t>
  </si>
  <si>
    <t>HAVING COUNT(*) &gt; 1;</t>
  </si>
  <si>
    <t>SET CoC_Region='Gulfport/Ocean Springs'</t>
  </si>
  <si>
    <t>-- Verify no NULL primary fields</t>
  </si>
  <si>
    <t>WHERE CoC_ID='MS-503';</t>
  </si>
  <si>
    <t>SELECT *</t>
  </si>
  <si>
    <t>WHERE Year IS NULL</t>
  </si>
  <si>
    <t>-- Validation</t>
  </si>
  <si>
    <t xml:space="preserve">   OR CoC_ID IS NULL;</t>
  </si>
  <si>
    <t>--Row Count</t>
  </si>
  <si>
    <t>-- Preview Final dataset</t>
  </si>
  <si>
    <t>SELECT COUNT(*) AS TotalRows</t>
  </si>
  <si>
    <t>ORDER BY Year, CoC_ID;</t>
  </si>
  <si>
    <t>-- Expected = 108</t>
  </si>
  <si>
    <t>-- Duplicate Check</t>
  </si>
  <si>
    <t>Advanced Validation (Optional QA)</t>
  </si>
  <si>
    <t>-- Verify SQL column data types</t>
  </si>
  <si>
    <t xml:space="preserve">    COUNT(*) AS DuplicateCount</t>
  </si>
  <si>
    <t>SHOW COLUMNS</t>
  </si>
  <si>
    <t>-- Verify Housing Capacity value ranges</t>
  </si>
  <si>
    <t>-- Missing Values</t>
  </si>
  <si>
    <t xml:space="preserve">    MIN(ES_Beds)  AS Min_ES,</t>
  </si>
  <si>
    <t xml:space="preserve">    MAX(ES_Beds)  AS Max_ES,</t>
  </si>
  <si>
    <t xml:space="preserve">    MIN(TH_Beds)  AS Min_TH,</t>
  </si>
  <si>
    <t xml:space="preserve">    MAX(TH_Beds)  AS Max_TH,</t>
  </si>
  <si>
    <t>-- Final Preview</t>
  </si>
  <si>
    <t xml:space="preserve">    MIN(RRH_Beds) AS Min_RRH,</t>
  </si>
  <si>
    <t xml:space="preserve">    MAX(RRH_Beds) AS Max_RRH,</t>
  </si>
  <si>
    <t xml:space="preserve">    MIN(PSH_Beds) AS Min_PSH,</t>
  </si>
  <si>
    <t xml:space="preserve">    MAX(PSH_Beds) AS Max_PSH</t>
  </si>
  <si>
    <t>HIC Counts by CoC</t>
  </si>
  <si>
    <t>Total Beds (ES,TH,RRH,PSH)</t>
  </si>
  <si>
    <t>COC Number</t>
  </si>
  <si>
    <t>ES Beds Total Year Round</t>
  </si>
  <si>
    <t>TH Beds Total Year Round</t>
  </si>
  <si>
    <t>RRH Beds Total Year Round</t>
  </si>
  <si>
    <t>PSH Beds Total Year Round</t>
  </si>
  <si>
    <t>N/A</t>
  </si>
  <si>
    <t>==========================================</t>
  </si>
  <si>
    <t xml:space="preserve">                    Validate ES Beds</t>
  </si>
  <si>
    <t xml:space="preserve">              Clean Housing Capacity Bed Columns</t>
  </si>
  <si>
    <t>KEYS / Tables</t>
  </si>
  <si>
    <t>===================================================</t>
  </si>
  <si>
    <t>CREATE TABLE dim_region (</t>
  </si>
  <si>
    <t>    Region_ID INT PRIMARY KEY AUTO_INCREMENT,</t>
  </si>
  <si>
    <t>    CoC_Region VARCHAR(100) NOT NULL,</t>
  </si>
  <si>
    <t xml:space="preserve">    CoC_Region,</t>
  </si>
  <si>
    <t xml:space="preserve">    ES_Beds  = NULLIF(REPLACE(TRIM(ES_Beds),  ',', ''), ''),</t>
  </si>
  <si>
    <t>    State CHAR(2) NOT NULL</t>
  </si>
  <si>
    <t xml:space="preserve">    CONCAT('[', ES_Beds, ']') AS ES_Beds</t>
  </si>
  <si>
    <t xml:space="preserve">    TH_Beds  = NULLIF(REPLACE(TRIM(TH_Beds),  ',', ''), ''),</t>
  </si>
  <si>
    <t xml:space="preserve">    RRH_Beds = NULLIF(REPLACE(TRIM(RRH_Beds), ',', ''), ''),</t>
  </si>
  <si>
    <t>WHERE</t>
  </si>
  <si>
    <t xml:space="preserve">    PSH_Beds = NULLIF(REPLACE(TRIM(PSH_Beds), ',', ''), '');</t>
  </si>
  <si>
    <t>INSERT INTO dim_region</t>
  </si>
  <si>
    <t xml:space="preserve">    ES_Beds IS NOT NULL</t>
  </si>
  <si>
    <t>(CoC_Region, State)</t>
  </si>
  <si>
    <t xml:space="preserve">    AND (</t>
  </si>
  <si>
    <t xml:space="preserve">            TRIM(ES_Beds) = ''</t>
  </si>
  <si>
    <t>VALUES</t>
  </si>
  <si>
    <t xml:space="preserve">         OR ES_Beds REGEXP '[^0-9,]'</t>
  </si>
  <si>
    <t xml:space="preserve">             Convert Data Types</t>
  </si>
  <si>
    <t>('Shreveport','LA'),</t>
  </si>
  <si>
    <t xml:space="preserve">    );</t>
  </si>
  <si>
    <t>('Alexandria','LA'),</t>
  </si>
  <si>
    <t>('Louisiana Balance of State','LA'),</t>
  </si>
  <si>
    <t>('Jackson','MS'),</t>
  </si>
  <si>
    <t xml:space="preserve">                    Validate TH Beds</t>
  </si>
  <si>
    <t xml:space="preserve">    MODIFY COLUMN ES_Beds  INT NULL,</t>
  </si>
  <si>
    <t>('Mississippi Balance of State','MS'),</t>
  </si>
  <si>
    <t xml:space="preserve">    MODIFY COLUMN TH_Beds  INT NULL,</t>
  </si>
  <si>
    <t>('Gulfport/Ocean Springs','MS');</t>
  </si>
  <si>
    <t xml:space="preserve">    MODIFY COLUMN RRH_Beds INT NULL,</t>
  </si>
  <si>
    <t xml:space="preserve">    MODIFY COLUMN PSH_Beds INT NULL;</t>
  </si>
  <si>
    <t xml:space="preserve">    CONCAT('[', TH_Beds, ']') AS TH_Beds</t>
  </si>
  <si>
    <t xml:space="preserve">             Final Housing Capacity Validation</t>
  </si>
  <si>
    <t>    Year INT,</t>
  </si>
  <si>
    <t>    CoC_ID VARCHAR(10),</t>
  </si>
  <si>
    <t>    CoC_Region VARCHAR(100),</t>
  </si>
  <si>
    <t xml:space="preserve">    TH_Beds IS NOT NULL</t>
  </si>
  <si>
    <t>    State CHAR(2),</t>
  </si>
  <si>
    <t xml:space="preserve">    COUNT(*) AS Total_Rows,</t>
  </si>
  <si>
    <t>    Overall_Homeless INT,</t>
  </si>
  <si>
    <t xml:space="preserve">            TRIM(TH_Beds) = ''</t>
  </si>
  <si>
    <t xml:space="preserve">    SUM(ES_Beds IS NULL)  AS ES_Null_Count,</t>
  </si>
  <si>
    <t>    Overall_Individuals INT,</t>
  </si>
  <si>
    <t xml:space="preserve">         OR TH_Beds REGEXP '[^0-9,]'</t>
  </si>
  <si>
    <t xml:space="preserve">    SUM(TH_Beds IS NULL)  AS TH_Null_Count,</t>
  </si>
  <si>
    <t>    Sheltered_Individuals INT,</t>
  </si>
  <si>
    <t xml:space="preserve">    SUM(RRH_Beds IS NULL) AS RRH_Null_Count,</t>
  </si>
  <si>
    <t>    Unsheltered_Individuals INT,</t>
  </si>
  <si>
    <t xml:space="preserve">    SUM(PSH_Beds IS NULL) AS PSH_Null_Count</t>
  </si>
  <si>
    <t>    Overall_Veterans INT,</t>
  </si>
  <si>
    <t>    Sheltered_Veterans INT,</t>
  </si>
  <si>
    <t xml:space="preserve">                   Validate RRH Beds</t>
  </si>
  <si>
    <t>    Unsheltered_Veterans INT,</t>
  </si>
  <si>
    <t>    Under_18 INT,</t>
  </si>
  <si>
    <t>    Overall_18_24 INT,</t>
  </si>
  <si>
    <t>    Over_24 INT,</t>
  </si>
  <si>
    <t>    Women INT,</t>
  </si>
  <si>
    <t>    Men INT,</t>
  </si>
  <si>
    <t xml:space="preserve">    CONCAT('[', RRH_Beds, ']') AS RRH_Beds</t>
  </si>
  <si>
    <t>    Family_Households INT,</t>
  </si>
  <si>
    <t>    Overall_Chronically_Homeless INT,</t>
  </si>
  <si>
    <t>    ES_Beds INT,</t>
  </si>
  <si>
    <t xml:space="preserve">    RRH_Beds IS NOT NULL</t>
  </si>
  <si>
    <t>    TH_Beds INT,</t>
  </si>
  <si>
    <t>    RRH_Beds INT,</t>
  </si>
  <si>
    <t xml:space="preserve">            TRIM(RRH_Beds) = ''</t>
  </si>
  <si>
    <t>    PSH_Beds INT</t>
  </si>
  <si>
    <t xml:space="preserve">         OR RRH_Beds REGEXP '[^0-9,]'</t>
  </si>
  <si>
    <t xml:space="preserve">                   Validate PSH Beds</t>
  </si>
  <si>
    <t xml:space="preserve">    CONCAT('[', PSH_Beds, ']') AS PSH_Beds</t>
  </si>
  <si>
    <t xml:space="preserve">    PSH_Beds IS NOT NULL</t>
  </si>
  <si>
    <t xml:space="preserve">            TRIM(PSH_Beds) = ''</t>
  </si>
  <si>
    <t xml:space="preserve">         OR PSH_Beds REGEXP '[^0-9,]'</t>
  </si>
  <si>
    <t>CoC Region</t>
  </si>
  <si>
    <t>Shreveport, Bossier/Northwest Louisiana</t>
  </si>
  <si>
    <t>Alexandria/Central Louisiana</t>
  </si>
  <si>
    <t>Louisiana Balance of State</t>
  </si>
  <si>
    <t>Jackson/Rankin, Madison Counties</t>
  </si>
  <si>
    <t>Mississippi Balance of State</t>
  </si>
  <si>
    <t>Gulf Port/Gulf Coast Regional</t>
  </si>
  <si>
    <t>Program Name</t>
  </si>
  <si>
    <t>Services Provided</t>
  </si>
  <si>
    <t>Public Address</t>
  </si>
  <si>
    <t>Phone</t>
  </si>
  <si>
    <t>City</t>
  </si>
  <si>
    <t>County/Parish</t>
  </si>
  <si>
    <t>ZIP</t>
  </si>
  <si>
    <t>Population Served</t>
  </si>
  <si>
    <t>Verification Note</t>
  </si>
  <si>
    <t>Hope House Transitional</t>
  </si>
  <si>
    <t>Transitional housing, case management, skills training</t>
  </si>
  <si>
    <t>5115 South MacArthur Dr</t>
  </si>
  <si>
    <t>318-487-2061</t>
  </si>
  <si>
    <t>Homeless women and children</t>
  </si>
  <si>
    <t>Confirmed facility address</t>
  </si>
  <si>
    <t>Hope House Emergency Shelter</t>
  </si>
  <si>
    <t>Emergency shelter, meals, laundry, intake assessment</t>
  </si>
  <si>
    <t>Women and children in crisis</t>
  </si>
  <si>
    <t>Olive House</t>
  </si>
  <si>
    <t>Permanent supportive housing, furnished rooms</t>
  </si>
  <si>
    <t>1902 Main St</t>
  </si>
  <si>
    <t>318-442-1502</t>
  </si>
  <si>
    <t>Formerly homeless adults</t>
  </si>
  <si>
    <t>VOA Central Louisiana SSVF</t>
  </si>
  <si>
    <t>Rapid Re-Housing, rental assistance, utility aid</t>
  </si>
  <si>
    <t>3704 Jackson St</t>
  </si>
  <si>
    <t>318-442-8026</t>
  </si>
  <si>
    <t>Veterans and veteran families</t>
  </si>
  <si>
    <t>Regional office address</t>
  </si>
  <si>
    <t>Louisiana Integrated Treatment Services</t>
  </si>
  <si>
    <t>Substance use counseling, dual-diagnosis housing</t>
  </si>
  <si>
    <t>Individuals in addiction recovery</t>
  </si>
  <si>
    <t>VOA Central LA clinical site</t>
  </si>
  <si>
    <t>VOA Central Louisiana 7143 - RR2</t>
  </si>
  <si>
    <t>Recovery housing, independent living skills</t>
  </si>
  <si>
    <t>Chronically homeless in recovery</t>
  </si>
  <si>
    <t>VOA Central LA program base</t>
  </si>
  <si>
    <t>VOA Central Louisiana 7138 - HUD Rapides</t>
  </si>
  <si>
    <t>Permanent supportive housing, relapse prevention</t>
  </si>
  <si>
    <t>Disabled homeless adults</t>
  </si>
  <si>
    <t>AHA HUD-VASH</t>
  </si>
  <si>
    <t>Housing vouchers, clinical case management</t>
  </si>
  <si>
    <t>119 Hill St</t>
  </si>
  <si>
    <t>318-442-1329</t>
  </si>
  <si>
    <t>Disabled homeless Veterans</t>
  </si>
  <si>
    <t>Alexandria Housing Authority</t>
  </si>
  <si>
    <t>Youth Oasis Maternity Group Home</t>
  </si>
  <si>
    <t>Shared housing, infant care support, life skills</t>
  </si>
  <si>
    <t>260 S Acadian Thruway</t>
  </si>
  <si>
    <t>225-343-6300</t>
  </si>
  <si>
    <t>Pregnant/parenting youth (18–24)</t>
  </si>
  <si>
    <t>Public office address</t>
  </si>
  <si>
    <t>Youth Oasis Transitional Living Program</t>
  </si>
  <si>
    <t>Transitional housing, youth empowerment</t>
  </si>
  <si>
    <t>Youth ages 16–21</t>
  </si>
  <si>
    <t>St. Agnes Family Shelter</t>
  </si>
  <si>
    <t>Emergency shelter, family support</t>
  </si>
  <si>
    <t>749 East Blvd</t>
  </si>
  <si>
    <t>225-383-7837</t>
  </si>
  <si>
    <t>Homeless families with children</t>
  </si>
  <si>
    <t>Confirmed shelter location</t>
  </si>
  <si>
    <t>Lean On Me</t>
  </si>
  <si>
    <t>Emergency shelter, domestic violence aid</t>
  </si>
  <si>
    <t>1628 Leonard Dr</t>
  </si>
  <si>
    <t>225-223-6470</t>
  </si>
  <si>
    <t>Women (18–65) &amp; DV survivors</t>
  </si>
  <si>
    <t>Public service location</t>
  </si>
  <si>
    <t>Iris BOS BR VPS ES</t>
  </si>
  <si>
    <t>Emergency shelter, legal advocacy, trauma counseling</t>
  </si>
  <si>
    <t>Address confidential</t>
  </si>
  <si>
    <t>225-388-0600</t>
  </si>
  <si>
    <t>Survivors of intimate partner violence</t>
  </si>
  <si>
    <t>Confidential shelter address</t>
  </si>
  <si>
    <t>SVDP Emergency Cold Nights Shelter</t>
  </si>
  <si>
    <t>Severe weather overnight shelter, hot meals</t>
  </si>
  <si>
    <t>220 St. Vincent de Paul Dr</t>
  </si>
  <si>
    <t>Unsheltered adults during cold weather</t>
  </si>
  <si>
    <t>St. Vincent de Paul main campus</t>
  </si>
  <si>
    <t>Salvation Army Shelters - Baton Rouge</t>
  </si>
  <si>
    <t>Emergency lodging, meals, case management</t>
  </si>
  <si>
    <t>7361 Airline Hwy</t>
  </si>
  <si>
    <t>225-355-4483</t>
  </si>
  <si>
    <t>Single men, women, and families</t>
  </si>
  <si>
    <t>Regional center address</t>
  </si>
  <si>
    <t>VOAGBR SSVF ES DV-A</t>
  </si>
  <si>
    <t>Emergency shelter assistance, veteran intake</t>
  </si>
  <si>
    <t>730 Spain St</t>
  </si>
  <si>
    <t>225-387-0061</t>
  </si>
  <si>
    <t>Homeless Veterans &amp; DV victims</t>
  </si>
  <si>
    <t>VOA Greater Baton Rouge HQ</t>
  </si>
  <si>
    <t>Empower 225 TLP</t>
  </si>
  <si>
    <t>Transitional housing, education, employment aid</t>
  </si>
  <si>
    <t>2050 North Brownfields Dr</t>
  </si>
  <si>
    <t>225-636-2618</t>
  </si>
  <si>
    <t>Youth aging out of foster care / youth (16-21)</t>
  </si>
  <si>
    <t>LA-503 BOS East BR VASH</t>
  </si>
  <si>
    <t>Housing vouchers, VA case management</t>
  </si>
  <si>
    <t>7933 Jefferson Hwy</t>
  </si>
  <si>
    <t>225-925-1996</t>
  </si>
  <si>
    <t>Homeless Veterans</t>
  </si>
  <si>
    <t>Baton Rouge VA Clinic base</t>
  </si>
  <si>
    <t>Rapid Re-housing (BOS CoC)</t>
  </si>
  <si>
    <t>Rental subsidies, housing placement</t>
  </si>
  <si>
    <t>120 North 3rd St</t>
  </si>
  <si>
    <t>225-342-9000</t>
  </si>
  <si>
    <t>Individuals &amp; families in HUD CoC</t>
  </si>
  <si>
    <t>Administered via LHC statewide</t>
  </si>
  <si>
    <t>Options Foundation</t>
  </si>
  <si>
    <t>Permanent supportive housing, group homes</t>
  </si>
  <si>
    <t>854 Redbon Rd</t>
  </si>
  <si>
    <t>225-927-1818</t>
  </si>
  <si>
    <t>Mentally ill homeless adults</t>
  </si>
  <si>
    <t>Administrative address</t>
  </si>
  <si>
    <t>SVDP Myriam's House</t>
  </si>
  <si>
    <t>Transitional housing, case management</t>
  </si>
  <si>
    <t>Single homeless women and children</t>
  </si>
  <si>
    <t>SVDP Baton Rouge campus</t>
  </si>
  <si>
    <t>Orion House Permanent Housing</t>
  </si>
  <si>
    <t>Permanent supportive housing</t>
  </si>
  <si>
    <t>102 Halfway Oak Dr</t>
  </si>
  <si>
    <t>225-766-0601</t>
  </si>
  <si>
    <t>Homeless youth and young adults</t>
  </si>
  <si>
    <t>Local facility location</t>
  </si>
  <si>
    <t>SVDP PH Project</t>
  </si>
  <si>
    <t>Permanent supportive housing vouchers</t>
  </si>
  <si>
    <t>Chronically homeless adults</t>
  </si>
  <si>
    <t>SVDP office site</t>
  </si>
  <si>
    <t>Iris BOS BR VPS TH</t>
  </si>
  <si>
    <t>Transitional housing, career counseling</t>
  </si>
  <si>
    <t>Domestic violence survivors</t>
  </si>
  <si>
    <t>Confidential location</t>
  </si>
  <si>
    <t>VOAGBR Rural Supportive Housing</t>
  </si>
  <si>
    <t>Supportive housing in rural parishes</t>
  </si>
  <si>
    <t>Homeless adults in rural areas</t>
  </si>
  <si>
    <t>VOAGBR Home at Last</t>
  </si>
  <si>
    <t>Disabled chronically unhoused adults</t>
  </si>
  <si>
    <t>Youth Oasis TH-RRH</t>
  </si>
  <si>
    <t>Joint Transitional &amp; Rapid Re-Housing</t>
  </si>
  <si>
    <t>Unhoused youth (18–24)</t>
  </si>
  <si>
    <t>Public contact address</t>
  </si>
  <si>
    <t>Youth Oasis RRH</t>
  </si>
  <si>
    <t>Rapid Re-Housing, rental assistance</t>
  </si>
  <si>
    <t>Young adults experiencing homelessness</t>
  </si>
  <si>
    <t>LHC Louisiana Housing Corporation</t>
  </si>
  <si>
    <t>State housing grants, emergency solutions</t>
  </si>
  <si>
    <t>2415 Quail Dr</t>
  </si>
  <si>
    <t>225-763-8700</t>
  </si>
  <si>
    <t>Low-income &amp; homeless state residents</t>
  </si>
  <si>
    <t>State agency headquarters</t>
  </si>
  <si>
    <t>HAART - Homes from the HAART</t>
  </si>
  <si>
    <t>HOPWA supportive housing, medical case mgmt</t>
  </si>
  <si>
    <t>4550 North Blvd</t>
  </si>
  <si>
    <t>225-927-1269</t>
  </si>
  <si>
    <t>Low-income individuals living with HIV/AIDS</t>
  </si>
  <si>
    <t>Main clinical location</t>
  </si>
  <si>
    <t>HAART - HAART Hope and Healing</t>
  </si>
  <si>
    <t>Permanent housing assistance, peer support</t>
  </si>
  <si>
    <t>Unhoused people living with HIV</t>
  </si>
  <si>
    <t>Louisiana Coalition Against DV Projects</t>
  </si>
  <si>
    <t>DV shelter networks, legal advocacy</t>
  </si>
  <si>
    <t>402 Mayfield St</t>
  </si>
  <si>
    <t>225-752-1296</t>
  </si>
  <si>
    <t>Victims of domestic violence</t>
  </si>
  <si>
    <t>State coalition headquarters</t>
  </si>
  <si>
    <t>VOAGBR SSVF Rapid-Rehousing</t>
  </si>
  <si>
    <t>Rapid re-housing, financial assistance</t>
  </si>
  <si>
    <t>Veterans facing imminent homelessness</t>
  </si>
  <si>
    <t>FVPS Saint Bernard BOS VP6 ES</t>
  </si>
  <si>
    <t>Emergency shelter, DV advocacy, safety planning</t>
  </si>
  <si>
    <t>504-277-3178</t>
  </si>
  <si>
    <t>Chalmette</t>
  </si>
  <si>
    <t>Survivors of domestic violence</t>
  </si>
  <si>
    <t>Confidential facility location</t>
  </si>
  <si>
    <t>Metro RRH Community Advocacy</t>
  </si>
  <si>
    <t>Rapid Re-Housing, victim advocacy</t>
  </si>
  <si>
    <t>140 Circle Dr</t>
  </si>
  <si>
    <t>337-462-6900</t>
  </si>
  <si>
    <t>DeRidder</t>
  </si>
  <si>
    <t>Victims of violence &amp; housing insecure</t>
  </si>
  <si>
    <t>Program office location</t>
  </si>
  <si>
    <t>Bunkhouse Shelter</t>
  </si>
  <si>
    <t>Emergency shelter, meals, transition planning</t>
  </si>
  <si>
    <t>8424 Main St</t>
  </si>
  <si>
    <t>985-637-6088</t>
  </si>
  <si>
    <t>Houma</t>
  </si>
  <si>
    <t>Homeless adults and families</t>
  </si>
  <si>
    <t>The Haven Emergency Shelter</t>
  </si>
  <si>
    <t>Emergency shelter, 24/7 crisis line, advocacy</t>
  </si>
  <si>
    <t>985-872-0757</t>
  </si>
  <si>
    <t>DV survivors and children</t>
  </si>
  <si>
    <t>Use Confidential for street address</t>
  </si>
  <si>
    <t>Terrebonne Veteran's Shelter</t>
  </si>
  <si>
    <t>Shelter beds, veteran benefit navigation</t>
  </si>
  <si>
    <t>100 Shell Blvd</t>
  </si>
  <si>
    <t>985-873-6840</t>
  </si>
  <si>
    <t>Confirmed local facility</t>
  </si>
  <si>
    <t>Options for Independence - Visions I</t>
  </si>
  <si>
    <t>Permanent supportive housing, mental health aid</t>
  </si>
  <si>
    <t>8326 Main St</t>
  </si>
  <si>
    <t>985-868-2620</t>
  </si>
  <si>
    <t>Homeless adults with severe mental illness</t>
  </si>
  <si>
    <t>Main office address</t>
  </si>
  <si>
    <t>START Starting Over</t>
  </si>
  <si>
    <t>Rapid re-housing, financial aid, advocacy</t>
  </si>
  <si>
    <t>420 Magnolia St</t>
  </si>
  <si>
    <t>985-879-3966</t>
  </si>
  <si>
    <t>Individuals experiencing homelessness</t>
  </si>
  <si>
    <t>START Corp Houma office</t>
  </si>
  <si>
    <t>START Visions II</t>
  </si>
  <si>
    <t>Supportive housing, community integration</t>
  </si>
  <si>
    <t>Adults with chronic health/behavioral needs</t>
  </si>
  <si>
    <t>START Starting Point</t>
  </si>
  <si>
    <t>Permanent housing, case management</t>
  </si>
  <si>
    <t>Chronically homeless individuals</t>
  </si>
  <si>
    <t>START LAPSH</t>
  </si>
  <si>
    <t>Permanent supportive housing, health link</t>
  </si>
  <si>
    <t>Chronically homeless disabled individuals</t>
  </si>
  <si>
    <t>START Rapid Re-Housing Project</t>
  </si>
  <si>
    <t>Rental deposits, lease assistance, stabilization</t>
  </si>
  <si>
    <t>Homeless individuals and families</t>
  </si>
  <si>
    <t>START RRH SSVF</t>
  </si>
  <si>
    <t>Rapid re-housing, veteran benefits aid</t>
  </si>
  <si>
    <t>START Corp SSVF hub</t>
  </si>
  <si>
    <t>Bunkhouse Transitional</t>
  </si>
  <si>
    <t>Transitional housing, independent living prep</t>
  </si>
  <si>
    <t>Homeless adults</t>
  </si>
  <si>
    <t>START Start Now</t>
  </si>
  <si>
    <t>Rapid re-housing, emergency assistance</t>
  </si>
  <si>
    <t>Chronically unhoused populations</t>
  </si>
  <si>
    <t>Regional intake site</t>
  </si>
  <si>
    <t>START BOS PSH</t>
  </si>
  <si>
    <t>Homeless individuals in Balance of State</t>
  </si>
  <si>
    <t>CoC regional contact address</t>
  </si>
  <si>
    <t>The Haven BOS H/T OOW TH</t>
  </si>
  <si>
    <t>Transitional housing, outreach, victim aid</t>
  </si>
  <si>
    <t>Survivors of domestic violence &amp; trafficking</t>
  </si>
  <si>
    <t>Confidential housing site</t>
  </si>
  <si>
    <t>START Partnerships in Health and Housing</t>
  </si>
  <si>
    <t>Integrated housing and healthcare navigation</t>
  </si>
  <si>
    <t>High-need unhoused individuals</t>
  </si>
  <si>
    <t>Administrative office</t>
  </si>
  <si>
    <t>START - Safe Start DV</t>
  </si>
  <si>
    <t>Specialized housing, safety planning</t>
  </si>
  <si>
    <t>Jeff Davis CADA Emergency Shelter</t>
  </si>
  <si>
    <t>Emergency shelter, recovery crisis care</t>
  </si>
  <si>
    <t>337-824-9284</t>
  </si>
  <si>
    <t>Jennings</t>
  </si>
  <si>
    <t>Battered women and children</t>
  </si>
  <si>
    <t>Heart of Hope – A Sanctuary for Women</t>
  </si>
  <si>
    <t>Transitional housing, life-skills training, supportive housing, counseling</t>
  </si>
  <si>
    <t>Keithville</t>
  </si>
  <si>
    <t>(318) 925-4663</t>
  </si>
  <si>
    <t>Women and mothers</t>
  </si>
  <si>
    <t>Verified via official provider website</t>
  </si>
  <si>
    <t>START Fresh Start</t>
  </si>
  <si>
    <t>Permanent supportive housing, case coordination</t>
  </si>
  <si>
    <t>223 Broad St</t>
  </si>
  <si>
    <t>337-436-1215</t>
  </si>
  <si>
    <t>Lake Charles</t>
  </si>
  <si>
    <t>Chronically homeless adults with disabilities</t>
  </si>
  <si>
    <t>START Corp southwest office</t>
  </si>
  <si>
    <t>LCDAV Oasis RRH</t>
  </si>
  <si>
    <t>Rapid re-housing, relocation support</t>
  </si>
  <si>
    <t>337-436-4552</t>
  </si>
  <si>
    <t>Direct shelter hotline / mailing</t>
  </si>
  <si>
    <t>CPPJ - LAPSH</t>
  </si>
  <si>
    <t>Supportive housing, recovery aid</t>
  </si>
  <si>
    <t>2000 Moeling St</t>
  </si>
  <si>
    <t>337-721-4030</t>
  </si>
  <si>
    <t>Homeless individuals with disabilities</t>
  </si>
  <si>
    <t>Calcasieu Police Jury Human Svcs</t>
  </si>
  <si>
    <t>Project Celebration BOS NS VPS ES</t>
  </si>
  <si>
    <t>Emergency shelter, advocacy, outreach</t>
  </si>
  <si>
    <t>318-256-6242</t>
  </si>
  <si>
    <t>Many</t>
  </si>
  <si>
    <t>DV survivors and sexual assault victims</t>
  </si>
  <si>
    <t>Confidential shelter location</t>
  </si>
  <si>
    <t>Sabine FHA BOS FHV CPH</t>
  </si>
  <si>
    <t>Housing assistance, voucher administration</t>
  </si>
  <si>
    <t>210 N Pensacola St</t>
  </si>
  <si>
    <t>318-256-3180</t>
  </si>
  <si>
    <t>Low-income &amp; housing-insecure residents</t>
  </si>
  <si>
    <t>Housing authority main address</t>
  </si>
  <si>
    <t>Project Celebration PCI RRH</t>
  </si>
  <si>
    <t>Rapid Re-Housing, lease coordination</t>
  </si>
  <si>
    <t>580 Houston St</t>
  </si>
  <si>
    <t>Main office location</t>
  </si>
  <si>
    <t>New Start for Veterans</t>
  </si>
  <si>
    <t>Transitional housing, job placement</t>
  </si>
  <si>
    <t>2000 N 18th St</t>
  </si>
  <si>
    <t>318-322-0336</t>
  </si>
  <si>
    <t>Monroe</t>
  </si>
  <si>
    <t>Ouachita Parish</t>
  </si>
  <si>
    <t>LA-505</t>
  </si>
  <si>
    <t>Regional veteran facility address</t>
  </si>
  <si>
    <t>Easter Seals RRH</t>
  </si>
  <si>
    <t>Rapid re-housing, wrap-around support</t>
  </si>
  <si>
    <t>1010 Common St</t>
  </si>
  <si>
    <t>504-523-7325</t>
  </si>
  <si>
    <t>New Orleans</t>
  </si>
  <si>
    <t>Orleans Parish</t>
  </si>
  <si>
    <t>LA-503</t>
  </si>
  <si>
    <t>Disabled homeless individuals</t>
  </si>
  <si>
    <t>Statewide program office</t>
  </si>
  <si>
    <t>Alexandria VA Emergency Contact Beds</t>
  </si>
  <si>
    <t>Emergency beds, medical care, VA intake</t>
  </si>
  <si>
    <t>2495 Shreveport Hwy</t>
  </si>
  <si>
    <t>318-473-0010</t>
  </si>
  <si>
    <t>Pineville</t>
  </si>
  <si>
    <t>Homeless or at-risk Veterans</t>
  </si>
  <si>
    <t>Located at Alexandria VA Medical Center</t>
  </si>
  <si>
    <t>RHA HUD-VASH</t>
  </si>
  <si>
    <t>HUD-VASH housing placement</t>
  </si>
  <si>
    <t>120 Modern Ln</t>
  </si>
  <si>
    <t>318-255-3644</t>
  </si>
  <si>
    <t>Ruston</t>
  </si>
  <si>
    <t>Lincoln Parish</t>
  </si>
  <si>
    <t>Veterans experiencing homelessness</t>
  </si>
  <si>
    <t>Ruston Housing Authority</t>
  </si>
  <si>
    <t>Shreveport-Bossier Rescue Mission</t>
  </si>
  <si>
    <t>Emergency shelter, meals, clothing assistance, case management, recovery programs, life-skills support</t>
  </si>
  <si>
    <t>901 McNeil St</t>
  </si>
  <si>
    <t>(318) 227-2868</t>
  </si>
  <si>
    <t>Men, women, families experiencing homelessness</t>
  </si>
  <si>
    <t>Verified via official provider website and LA-502 CoC</t>
  </si>
  <si>
    <t>The Providence House</t>
  </si>
  <si>
    <t>Family shelter, transitional housing, case management, supportive housing services</t>
  </si>
  <si>
    <t>814 Cotton St</t>
  </si>
  <si>
    <t>(318) 221-7887</t>
  </si>
  <si>
    <t>Families with children experiencing homelessness</t>
  </si>
  <si>
    <t>Holy Cross Hope House</t>
  </si>
  <si>
    <t>Day shelter, meals, showers, laundry, case management, resource referrals</t>
  </si>
  <si>
    <t>762 Austen Pl</t>
  </si>
  <si>
    <t>(318) 220-7649</t>
  </si>
  <si>
    <t>HOPE Connections</t>
  </si>
  <si>
    <t>Coordinated Entry, housing assessment, case management, referrals, homeless outreach</t>
  </si>
  <si>
    <t>2350 Levy St</t>
  </si>
  <si>
    <t>(318) 670-4591</t>
  </si>
  <si>
    <t>Individuals and families experiencing homelessness</t>
  </si>
  <si>
    <t>Official LA-502 Coordinated Entry provider</t>
  </si>
  <si>
    <t>The Lovewell Center</t>
  </si>
  <si>
    <t>Food assistance, clothing, showers, case management, resource navigation, supportive services</t>
  </si>
  <si>
    <t>605 Cotton St</t>
  </si>
  <si>
    <t>(318) 606-2518</t>
  </si>
  <si>
    <t>Individuals and families in need</t>
  </si>
  <si>
    <t>The Salvation Army of NWLA</t>
  </si>
  <si>
    <t>Emergency shelter, housing assistance, utility assistance, food assistance, case management</t>
  </si>
  <si>
    <t>200 E Stoner Ave</t>
  </si>
  <si>
    <t>(318) 424-3200</t>
  </si>
  <si>
    <t>Community Support Programs</t>
  </si>
  <si>
    <t>Behavioral health, case management, supportive services, housing support</t>
  </si>
  <si>
    <t>3003 Knight St Ste 236</t>
  </si>
  <si>
    <t>(318) 865-1422</t>
  </si>
  <si>
    <t>Individuals with behavioral health and housing needs</t>
  </si>
  <si>
    <t>Mercy Center</t>
  </si>
  <si>
    <t>Emergency shelter, meals, supportive services</t>
  </si>
  <si>
    <t>740 Austen Pl</t>
  </si>
  <si>
    <t>(318) 221-8219</t>
  </si>
  <si>
    <t>Verified via local provider information</t>
  </si>
  <si>
    <t>Christian Services</t>
  </si>
  <si>
    <t>Emergency assistance, food assistance, housing assistance, referrals</t>
  </si>
  <si>
    <t>2346 Levy St</t>
  </si>
  <si>
    <t>(318) 221-4857</t>
  </si>
  <si>
    <t>Low-income individuals and families</t>
  </si>
  <si>
    <t>Catholic Charities of North Louisiana</t>
  </si>
  <si>
    <t>Housing assistance, financial assistance, case management, disaster assistance</t>
  </si>
  <si>
    <t>902 Olive St</t>
  </si>
  <si>
    <t>(318) 865-0200</t>
  </si>
  <si>
    <t>The Grace House</t>
  </si>
  <si>
    <t>Shelter, supportive housing services</t>
  </si>
  <si>
    <t>8222 Mansfield Rd</t>
  </si>
  <si>
    <t>(318) 687-5196</t>
  </si>
  <si>
    <t>Verify program scope before final approval</t>
  </si>
  <si>
    <t>YWCA of Northwest Louisiana</t>
  </si>
  <si>
    <t>Domestic violence services, emergency shelter, advocacy, supportive services</t>
  </si>
  <si>
    <t>850-B Olive St</t>
  </si>
  <si>
    <t>(318) 550-4417</t>
  </si>
  <si>
    <t>Women, children, domestic violence survivors</t>
  </si>
  <si>
    <t>Volunteers of America North Louisiana</t>
  </si>
  <si>
    <t>Veteran services, SSVF, housing assistance, case management, supportive housing</t>
  </si>
  <si>
    <t>360 Jordan St</t>
  </si>
  <si>
    <t>(318) 221-2669</t>
  </si>
  <si>
    <t>LA_194 DOS Thibodaux VASH</t>
  </si>
  <si>
    <t>Housing voucher placement, VA support</t>
  </si>
  <si>
    <t>1428 Tiger Dr</t>
  </si>
  <si>
    <t>985-446-1141</t>
  </si>
  <si>
    <t>Thibodaux</t>
  </si>
  <si>
    <t>Local Housing Authority site</t>
  </si>
  <si>
    <t>Hancock County Cold Weather Shelter</t>
  </si>
  <si>
    <t>Cold weather emergency shelter</t>
  </si>
  <si>
    <t>3068 Longfellow Dr</t>
  </si>
  <si>
    <t>228-467-9099</t>
  </si>
  <si>
    <t>Bay St. Louis</t>
  </si>
  <si>
    <t>Unsheltered Hancock County residents</t>
  </si>
  <si>
    <t>Community shelter site</t>
  </si>
  <si>
    <t>Back Bay Mission RRH</t>
  </si>
  <si>
    <t>Rapid Re-Housing, eviction prevention</t>
  </si>
  <si>
    <t>1012 Division St</t>
  </si>
  <si>
    <t>228-432-0301</t>
  </si>
  <si>
    <t>Biloxi</t>
  </si>
  <si>
    <t>Unsheltered individuals and families</t>
  </si>
  <si>
    <t>Multi-state regional partner</t>
  </si>
  <si>
    <t>Back Bay Mission Home at Last RRH</t>
  </si>
  <si>
    <t>Rapid Re-Housing, housing setup</t>
  </si>
  <si>
    <t>Chronically unhoused individuals</t>
  </si>
  <si>
    <t>Back Bay Mission HomePort II</t>
  </si>
  <si>
    <t>Back Bay Mission PSH</t>
  </si>
  <si>
    <t>Chronically unhoused adults</t>
  </si>
  <si>
    <t>BCCAA CoC PSH</t>
  </si>
  <si>
    <t>110 S Leflore Ave</t>
  </si>
  <si>
    <t>662-624-4387</t>
  </si>
  <si>
    <t>Clarksdale</t>
  </si>
  <si>
    <t>Chronically homeless in Delta region</t>
  </si>
  <si>
    <t>Bolivar County CAA office</t>
  </si>
  <si>
    <t>Greater Hope ES</t>
  </si>
  <si>
    <t>Emergency housing, rehousing aid</t>
  </si>
  <si>
    <t>121 St. Charles St</t>
  </si>
  <si>
    <t>662-627-7208</t>
  </si>
  <si>
    <t>Homeless families in Clarksdale</t>
  </si>
  <si>
    <t>Local service center</t>
  </si>
  <si>
    <t>Safe Haven Inc DV</t>
  </si>
  <si>
    <t>Emergency shelter, 24/7 crisis response</t>
  </si>
  <si>
    <t>662-327-6040</t>
  </si>
  <si>
    <t>Columbus</t>
  </si>
  <si>
    <t>Domestic violence victims</t>
  </si>
  <si>
    <t>D'Iberville Cold Weather Shelter</t>
  </si>
  <si>
    <t>Emergency freezing weather shelter</t>
  </si>
  <si>
    <t>10383 Auto Mall Pkwy</t>
  </si>
  <si>
    <t>228-392-7966</t>
  </si>
  <si>
    <t>D'Iberville</t>
  </si>
  <si>
    <t>Unsheltered community members</t>
  </si>
  <si>
    <t>D'Iberville Civic Center site</t>
  </si>
  <si>
    <t>WWISCAA ESG ES</t>
  </si>
  <si>
    <t>Emergency shelter funding, utility assistance</t>
  </si>
  <si>
    <t>119 S Theobald St</t>
  </si>
  <si>
    <t>662-378-5857</t>
  </si>
  <si>
    <t>Greenville</t>
  </si>
  <si>
    <t>Low-income &amp; homeless in MS Delta</t>
  </si>
  <si>
    <t>WWISCAA agency HQ</t>
  </si>
  <si>
    <t>COI ESC RRH</t>
  </si>
  <si>
    <t>Rapid Re-Housing, case coordination</t>
  </si>
  <si>
    <t>123 E Market St</t>
  </si>
  <si>
    <t>662-455-8880</t>
  </si>
  <si>
    <t>Greenwood</t>
  </si>
  <si>
    <t>Homeless households in Leflore Co</t>
  </si>
  <si>
    <t>Community Organization office</t>
  </si>
  <si>
    <t>Community Care Network RRH</t>
  </si>
  <si>
    <t>Rapid Re-Housing, financial coaching</t>
  </si>
  <si>
    <t>222 Security Dr</t>
  </si>
  <si>
    <t>228-896-1409</t>
  </si>
  <si>
    <t>Homeless families along LA/MS border</t>
  </si>
  <si>
    <t>Serves dual-state border CoCs</t>
  </si>
  <si>
    <t>Mental Health Association RRH</t>
  </si>
  <si>
    <t>Rapid Re-Housing, psychiatric support</t>
  </si>
  <si>
    <t>4803 Harrison Central Dr</t>
  </si>
  <si>
    <t>228-864-6274</t>
  </si>
  <si>
    <t>Individuals with mental health diagnoses</t>
  </si>
  <si>
    <t>Regional office location</t>
  </si>
  <si>
    <t>Salvation Army Extreme Weather - Gulfport</t>
  </si>
  <si>
    <t>Cold/extreme weather shelter, meals</t>
  </si>
  <si>
    <t>2019 22nd Ave</t>
  </si>
  <si>
    <t>228-868-1188</t>
  </si>
  <si>
    <t>Unsheltered coastal residents</t>
  </si>
  <si>
    <t>Center of Hope Gulfport</t>
  </si>
  <si>
    <t>Salvation Army Center of Hope TH - Gulfport</t>
  </si>
  <si>
    <t>Transitional housing, job readiness</t>
  </si>
  <si>
    <t>Homeless single men and women</t>
  </si>
  <si>
    <t>Community Care Network TH</t>
  </si>
  <si>
    <t>Transitional shelter, case management</t>
  </si>
  <si>
    <t>Program facility address</t>
  </si>
  <si>
    <t>GCMCFN AH</t>
  </si>
  <si>
    <t>11975 Seaway Rd</t>
  </si>
  <si>
    <t>228-864-2222</t>
  </si>
  <si>
    <t>Gulf Coast Family Network site</t>
  </si>
  <si>
    <t>Climb CoC YHDP RRH</t>
  </si>
  <si>
    <t>Rapid Re-Housing, youth job training</t>
  </si>
  <si>
    <t>1316 30th Ave</t>
  </si>
  <si>
    <t>228-864-6677</t>
  </si>
  <si>
    <t>Climb CDC headquarters</t>
  </si>
  <si>
    <t>Mental Health Assoc Permanent Housing</t>
  </si>
  <si>
    <t>Homeless adults with mental illness</t>
  </si>
  <si>
    <t>GCMCFN RRH</t>
  </si>
  <si>
    <t>Rapid Re-Housing</t>
  </si>
  <si>
    <t>Homeless families</t>
  </si>
  <si>
    <t>Community Care Network YHDP RRH</t>
  </si>
  <si>
    <t>Youth Rapid Re-Housing</t>
  </si>
  <si>
    <t>Young parents and unhoused youth</t>
  </si>
  <si>
    <t>Community Care Network ESG RRH</t>
  </si>
  <si>
    <t>Emergency Solutions Grant rehousing</t>
  </si>
  <si>
    <t>Unhoused women and families</t>
  </si>
  <si>
    <t>GCCFN</t>
  </si>
  <si>
    <t>Specialized family stabilization</t>
  </si>
  <si>
    <t>Families with special-needs children</t>
  </si>
  <si>
    <t>Community Care Network (Specialized)</t>
  </si>
  <si>
    <t>Specialized housing, trauma support</t>
  </si>
  <si>
    <t>Unhoused pregnant youth &amp; DV survivors</t>
  </si>
  <si>
    <t>Oak Arbor SSVF RRH</t>
  </si>
  <si>
    <t>Rapid Re-Housing, veteran stabilization</t>
  </si>
  <si>
    <t>103 South 19th Ave</t>
  </si>
  <si>
    <t>601-545-3668</t>
  </si>
  <si>
    <t>Low-income homeless Veterans</t>
  </si>
  <si>
    <t>Multi-region service hub</t>
  </si>
  <si>
    <t>Open Doors RRH</t>
  </si>
  <si>
    <t>Rapid Re-Housing, Coordinated Entry</t>
  </si>
  <si>
    <t>119 Main St</t>
  </si>
  <si>
    <t>Unhoused individuals</t>
  </si>
  <si>
    <t>Regional entry point</t>
  </si>
  <si>
    <t>Francis W Davidson Memorial Shelter</t>
  </si>
  <si>
    <t>Emergency shelter, youth support</t>
  </si>
  <si>
    <t>153 South 17th Ave</t>
  </si>
  <si>
    <t>601-544-6149</t>
  </si>
  <si>
    <t>Runaway and unhoused youth</t>
  </si>
  <si>
    <t>Open Doors YHDP RRH</t>
  </si>
  <si>
    <t>Youth-focused Rapid Re-Housing</t>
  </si>
  <si>
    <t>Unhoused young adults (18–24)</t>
  </si>
  <si>
    <t>Open Doors Emergency Housing Voucher</t>
  </si>
  <si>
    <t>Long-term housing vouchers</t>
  </si>
  <si>
    <t>Chronically homeless populations</t>
  </si>
  <si>
    <t>Open Doors Choice</t>
  </si>
  <si>
    <t>Chronically homeless disabled adults</t>
  </si>
  <si>
    <t>Open Doors ESG Rapid Rehousing</t>
  </si>
  <si>
    <t>Unsheltered families and individuals</t>
  </si>
  <si>
    <t>DAFS Hattiesburg DV</t>
  </si>
  <si>
    <t>Emergency domestic violence shelter, legal aid</t>
  </si>
  <si>
    <t>601-582-2102</t>
  </si>
  <si>
    <t>IDS Project Recovery RRH</t>
  </si>
  <si>
    <t>Rapid re-housing, disability support</t>
  </si>
  <si>
    <t>118 College Dr</t>
  </si>
  <si>
    <t>601-266-4757</t>
  </si>
  <si>
    <t>Unhoused adults with severe disabilities</t>
  </si>
  <si>
    <t>Institute for Disability Studies site</t>
  </si>
  <si>
    <t>GHI Emergency Shelter</t>
  </si>
  <si>
    <t>Overnight emergency shelter, supportive housing</t>
  </si>
  <si>
    <t>1301 Washington Ave</t>
  </si>
  <si>
    <t>601-353-1038</t>
  </si>
  <si>
    <t>Single adults experiencing homelessness</t>
  </si>
  <si>
    <t>Grace House / GHI facility site</t>
  </si>
  <si>
    <t>Grace House Transitional</t>
  </si>
  <si>
    <t>Transitional housing, HIV/AIDS support</t>
  </si>
  <si>
    <t>Unhoused adults living with chronic illness</t>
  </si>
  <si>
    <t>New Way MS Transitional</t>
  </si>
  <si>
    <t>Transitional housing, substance recovery</t>
  </si>
  <si>
    <t>281 Poplar Blvd</t>
  </si>
  <si>
    <t>601-352-3224</t>
  </si>
  <si>
    <t>Men in addiction recovery</t>
  </si>
  <si>
    <t>Billy Brumfield TH</t>
  </si>
  <si>
    <t>Shelter, transitional beds, job placement</t>
  </si>
  <si>
    <t>1244 W Gallatin St</t>
  </si>
  <si>
    <t>601-353-2759</t>
  </si>
  <si>
    <t>Homeless men</t>
  </si>
  <si>
    <t>Stewpot Community Services facility</t>
  </si>
  <si>
    <t>City Pursuant ES</t>
  </si>
  <si>
    <t>Emergency shelter allocation, drop-in support</t>
  </si>
  <si>
    <t>200 S President St</t>
  </si>
  <si>
    <t>601-960-1111</t>
  </si>
  <si>
    <t>Unsheltered adults in Jackson</t>
  </si>
  <si>
    <t>City of Jackson administrative entry</t>
  </si>
  <si>
    <t>Opportunity Center Emergency Shelter</t>
  </si>
  <si>
    <t>Day shelter, emergency weather beds</t>
  </si>
  <si>
    <t>845 W Amite St</t>
  </si>
  <si>
    <t>601-948-2873</t>
  </si>
  <si>
    <t>Unsheltered individuals</t>
  </si>
  <si>
    <t>Confirmed facility site</t>
  </si>
  <si>
    <t>Salvation Army ES - Jackson</t>
  </si>
  <si>
    <t>Emergency shelter, social services</t>
  </si>
  <si>
    <t>110 Presto Ln</t>
  </si>
  <si>
    <t>601-982-4881</t>
  </si>
  <si>
    <t>Women and families</t>
  </si>
  <si>
    <t>Salvation Army Center of Hope</t>
  </si>
  <si>
    <t>Salvation Army TH - Jackson</t>
  </si>
  <si>
    <t>Transitional housing, financial literacy</t>
  </si>
  <si>
    <t>Homeless families and individuals</t>
  </si>
  <si>
    <t>Crossroads RRH</t>
  </si>
  <si>
    <t>Program intake office</t>
  </si>
  <si>
    <t>Catholic Charities RRH-SSVF</t>
  </si>
  <si>
    <t>Rapid Re-Housing, military veteran aid</t>
  </si>
  <si>
    <t>200 N Congress St</t>
  </si>
  <si>
    <t>601-355-8634</t>
  </si>
  <si>
    <t>Catholic Charities HQ</t>
  </si>
  <si>
    <t>Grace House CoC/PSH</t>
  </si>
  <si>
    <t>Disabled chronically homeless adults</t>
  </si>
  <si>
    <t>Grace House Master Leasing</t>
  </si>
  <si>
    <t>Subsidized leased housing, wrap-around care</t>
  </si>
  <si>
    <t>Low-income disabled adults</t>
  </si>
  <si>
    <t>Program address</t>
  </si>
  <si>
    <t>Grace House TDRA</t>
  </si>
  <si>
    <t>Tenant-based rental assistance</t>
  </si>
  <si>
    <t>Individuals living with chronic illness</t>
  </si>
  <si>
    <t>GHI MHC TDRA</t>
  </si>
  <si>
    <t>Rental assistance, medical case management</t>
  </si>
  <si>
    <t>Low-income individuals with HIV</t>
  </si>
  <si>
    <t>Grace House / GHI program</t>
  </si>
  <si>
    <t>GHI MHC Master Leasing</t>
  </si>
  <si>
    <t>Master-leased apartments, supportive care</t>
  </si>
  <si>
    <t>Chronically unhoused disabled adults</t>
  </si>
  <si>
    <t>GHI CoJ Master Leasing</t>
  </si>
  <si>
    <t>Subsidized leasing via City of Jackson funds</t>
  </si>
  <si>
    <t>Homeless individuals in Jackson</t>
  </si>
  <si>
    <t>Lizzie's House PSH</t>
  </si>
  <si>
    <t>Homeless women with disabilities</t>
  </si>
  <si>
    <t>Stewpot Community Services</t>
  </si>
  <si>
    <t>MDCN Turning Point Housing</t>
  </si>
  <si>
    <t>Supportive housing, disability advocacy</t>
  </si>
  <si>
    <t>805 N Brown St</t>
  </si>
  <si>
    <t>601-355-7495</t>
  </si>
  <si>
    <t>Program location</t>
  </si>
  <si>
    <t>New Way MS ESG CV</t>
  </si>
  <si>
    <t>Rapid re-housing, emergency ESG vouchers</t>
  </si>
  <si>
    <t>Homeless individuals in recovery</t>
  </si>
  <si>
    <t>HUD Emergency Housing Voucher Program</t>
  </si>
  <si>
    <t>Emergency Housing Vouchers (EHV)</t>
  </si>
  <si>
    <t>2763 Mission Dr</t>
  </si>
  <si>
    <t>601-362-0801</t>
  </si>
  <si>
    <t>Unsheltered / fleeing domestic violence</t>
  </si>
  <si>
    <t>Jackson Housing Authority</t>
  </si>
  <si>
    <t>MMLH SSVF RRH</t>
  </si>
  <si>
    <t>Veteran rapid re-housing</t>
  </si>
  <si>
    <t>100 S Congress St</t>
  </si>
  <si>
    <t>Program hub</t>
  </si>
  <si>
    <t>VA HUD VASH - Jackson</t>
  </si>
  <si>
    <t>Subsidized housing vouchers, clinical care</t>
  </si>
  <si>
    <t>1500 E Woodrow Wilson Ave</t>
  </si>
  <si>
    <t>601-362-4471</t>
  </si>
  <si>
    <t>G.V. (Sonny) Montgomery VA</t>
  </si>
  <si>
    <t>The Fieldhouse (ES)</t>
  </si>
  <si>
    <t>Shelter intake, medical triage, day center</t>
  </si>
  <si>
    <t>Unhoused adults in Jackson</t>
  </si>
  <si>
    <t>Stewpot Community Services site</t>
  </si>
  <si>
    <t>ASC HOPWA - Master Leasing</t>
  </si>
  <si>
    <t>Permanent housing, HIV medical linkage</t>
  </si>
  <si>
    <t>Unhoused people living with HIV/AIDS</t>
  </si>
  <si>
    <t>AIDS Services Coalition site</t>
  </si>
  <si>
    <t>Christian in Action ES (MHC ESG)</t>
  </si>
  <si>
    <t>Emergency food, temporary shelter placement</t>
  </si>
  <si>
    <t>Homeless individuals in crisis</t>
  </si>
  <si>
    <t>Program site</t>
  </si>
  <si>
    <t>Canopy Children Solutions / Warren City CS</t>
  </si>
  <si>
    <t>Emergency shelter, behavioral health</t>
  </si>
  <si>
    <t>180 Kemper St</t>
  </si>
  <si>
    <t>800-388-6247</t>
  </si>
  <si>
    <t>At-risk youth and runaway youth</t>
  </si>
  <si>
    <t>Canopy main clinical campus</t>
  </si>
  <si>
    <t>MUTEH Central MS PSH</t>
  </si>
  <si>
    <t>Permanent supportive housing, case mgmt</t>
  </si>
  <si>
    <t>201 W Capitol St</t>
  </si>
  <si>
    <t>601-960-0557</t>
  </si>
  <si>
    <t>Chronically unhoused in central MS</t>
  </si>
  <si>
    <t>MUTEH headquarters</t>
  </si>
  <si>
    <t>Salvation Army - Jackson</t>
  </si>
  <si>
    <t>Specialized veteran beds, DV support</t>
  </si>
  <si>
    <t>Veterans, youth, and DV victims</t>
  </si>
  <si>
    <t>Center of Hope campus</t>
  </si>
  <si>
    <t>Field House for the Homeless</t>
  </si>
  <si>
    <t>Day resource center, case management</t>
  </si>
  <si>
    <t>Wings McComb DV</t>
  </si>
  <si>
    <t>Emergency shelter, victim advocacy</t>
  </si>
  <si>
    <t>601-684-2474</t>
  </si>
  <si>
    <t>McComb</t>
  </si>
  <si>
    <t>Guest House of Hope</t>
  </si>
  <si>
    <t>Emergency shelter, meals, case management</t>
  </si>
  <si>
    <t>829 S Martin Luther King Jr Ave</t>
  </si>
  <si>
    <t>601-485-5028</t>
  </si>
  <si>
    <t>Meridian</t>
  </si>
  <si>
    <t>Single men and women</t>
  </si>
  <si>
    <t>Facility address</t>
  </si>
  <si>
    <t>MCCSA ESG RRH</t>
  </si>
  <si>
    <t>Rapid Re-Housing, utility assistance</t>
  </si>
  <si>
    <t>2900 St. Paul St</t>
  </si>
  <si>
    <t>601-483-4838</t>
  </si>
  <si>
    <t>Unhoused residents in east-central MS</t>
  </si>
  <si>
    <t>Multi-County CSA office</t>
  </si>
  <si>
    <t>Angel Wings DV</t>
  </si>
  <si>
    <t>Crisis housing, counseling</t>
  </si>
  <si>
    <t>601-442-0142</t>
  </si>
  <si>
    <t>Natchez</t>
  </si>
  <si>
    <t>Community Church Oxford</t>
  </si>
  <si>
    <t>Rental relief, temporary housing support</t>
  </si>
  <si>
    <t>68 Highway 30 East</t>
  </si>
  <si>
    <t>662-234-3323</t>
  </si>
  <si>
    <t>Oxford</t>
  </si>
  <si>
    <t>Rural housing-insecure residents</t>
  </si>
  <si>
    <t>Public church site</t>
  </si>
  <si>
    <t>SKW RHY BCP Shelter</t>
  </si>
  <si>
    <t>Basic center shelter, youth emergency housing</t>
  </si>
  <si>
    <t>170 Hackberry St</t>
  </si>
  <si>
    <t>228-762-3341</t>
  </si>
  <si>
    <t>Pascagoula</t>
  </si>
  <si>
    <t>Runaway and homeless youth (12–17)</t>
  </si>
  <si>
    <t>Southern Christian Services site</t>
  </si>
  <si>
    <t>SKW Transitional Living Program</t>
  </si>
  <si>
    <t>Transitional living, life skills coaching</t>
  </si>
  <si>
    <t>Homeless young adults (16–21)</t>
  </si>
  <si>
    <t>Facility location</t>
  </si>
  <si>
    <t>RCCAA CoC RRH</t>
  </si>
  <si>
    <t>Rapid Re-Housing, rental aid</t>
  </si>
  <si>
    <t>150 Gray Dr</t>
  </si>
  <si>
    <t>601-939-2280</t>
  </si>
  <si>
    <t>Pearl</t>
  </si>
  <si>
    <t>Unhoused households</t>
  </si>
  <si>
    <t>Regional CAA office</t>
  </si>
  <si>
    <t>South MS AIDS Task Force - Augusta House</t>
  </si>
  <si>
    <t>Transitional supportive housing</t>
  </si>
  <si>
    <t>120 North Main St</t>
  </si>
  <si>
    <t>601-554-1502</t>
  </si>
  <si>
    <t>Petal</t>
  </si>
  <si>
    <t>Low-income adults living with HIV</t>
  </si>
  <si>
    <t>Program site location</t>
  </si>
  <si>
    <t>House of Grace DV</t>
  </si>
  <si>
    <t>Shelter, counseling, legal help</t>
  </si>
  <si>
    <t>662-253-0252</t>
  </si>
  <si>
    <t>Southaven</t>
  </si>
  <si>
    <t>Victims of domestic abuse</t>
  </si>
  <si>
    <t>Community Counseling CoC RRH</t>
  </si>
  <si>
    <t>Rapid Re-Housing, psychiatric care</t>
  </si>
  <si>
    <t>302 Compromise St</t>
  </si>
  <si>
    <t>662-323-5321</t>
  </si>
  <si>
    <t>Starkville</t>
  </si>
  <si>
    <t>Individuals with behavioral health needs</t>
  </si>
  <si>
    <t>Mental health center office</t>
  </si>
  <si>
    <t>Community Counseling ESG Emergency Shelter</t>
  </si>
  <si>
    <t>Crisis stabilization, emergency beds</t>
  </si>
  <si>
    <t>Mentally ill individuals experiencing crisis</t>
  </si>
  <si>
    <t>Safe Inc DV</t>
  </si>
  <si>
    <t>Emergency shelter, crisis hotline</t>
  </si>
  <si>
    <t>662-841-9138</t>
  </si>
  <si>
    <t>Tupelo</t>
  </si>
  <si>
    <t>Project Hope Transitional Housing</t>
  </si>
  <si>
    <t>Transitional lodging, self-sufficiency aid</t>
  </si>
  <si>
    <t>201 East Main St</t>
  </si>
  <si>
    <t>662-844-0001</t>
  </si>
  <si>
    <t>Families experiencing homelessness</t>
  </si>
  <si>
    <t>Public program office</t>
  </si>
  <si>
    <t>Hancock Resource Center RRH</t>
  </si>
  <si>
    <t>Rapid Re-Housing, family housing prep</t>
  </si>
  <si>
    <t>454 Highway 90</t>
  </si>
  <si>
    <t>228-463-8887</t>
  </si>
  <si>
    <t>Waveland</t>
  </si>
  <si>
    <t>Hancock Resource Center TH</t>
  </si>
  <si>
    <t>Transitional lodging, budgeting support</t>
  </si>
  <si>
    <t>Families transitioning to permanent homes</t>
  </si>
  <si>
    <t>Hancock Resource Center SSVF RRH</t>
  </si>
  <si>
    <t>Veteran Rapid Re-Housing</t>
  </si>
  <si>
    <t>Hancock Resource Center ESG RRH</t>
  </si>
  <si>
    <t>Rapid Re-Housing assistance</t>
  </si>
  <si>
    <t>Families facing homelessness</t>
  </si>
  <si>
    <t>Hancock Resource TH (Specialized)</t>
  </si>
  <si>
    <t>Veteran transitional housing</t>
  </si>
  <si>
    <t>Veterans and low-income youth</t>
  </si>
  <si>
    <t>KEYS / TABLES</t>
  </si>
  <si>
    <t>SQL IMPORT</t>
  </si>
  <si>
    <t>DATA VALIDATION</t>
  </si>
  <si>
    <t>DATA CLEANUP</t>
  </si>
  <si>
    <t>FINAL VALIDATION</t>
  </si>
  <si>
    <t>INSERT INTO dim_category (Category_Name)</t>
  </si>
  <si>
    <t>DROP TABLE IF EXISTS resources_master_data;</t>
  </si>
  <si>
    <t>UPDATE resources_master_data</t>
  </si>
  <si>
    <t>SOURCE VALIDATION / QUALITY ASSURANCE</t>
  </si>
  <si>
    <t>FROM health;</t>
  </si>
  <si>
    <t>('Shelter Capacity'),</t>
  </si>
  <si>
    <t>CREATE TABLE resources_master_data (</t>
  </si>
  <si>
    <t xml:space="preserve">    Program_Name       = NULLIF(TRIM(Program_Name), ''),</t>
  </si>
  <si>
    <t>('Housing/Rehousing'),</t>
  </si>
  <si>
    <t xml:space="preserve">    Services_Provided  = NULLIF(TRIM(Services_Provided), ''),</t>
  </si>
  <si>
    <t xml:space="preserve">        SOURCE VALIDATION / QUALITY ASSURANCE</t>
  </si>
  <si>
    <t>('Treatment &amp; Recovery'),</t>
  </si>
  <si>
    <t xml:space="preserve">    Program_Name        VARCHAR(200),</t>
  </si>
  <si>
    <t xml:space="preserve">    State,</t>
  </si>
  <si>
    <t xml:space="preserve">    Public_Address     = NULLIF(TRIM(Public_Address), ''),</t>
  </si>
  <si>
    <t>('Specialized Services');</t>
  </si>
  <si>
    <t xml:space="preserve">    Services_Provided   TEXT,</t>
  </si>
  <si>
    <t xml:space="preserve">    COUNT(*) AS Record_Count</t>
  </si>
  <si>
    <t xml:space="preserve">    Phone              = NULLIF(TRIM(Phone), ''),</t>
  </si>
  <si>
    <t xml:space="preserve">    Public_Address      VARCHAR(255),</t>
  </si>
  <si>
    <t>FROM health</t>
  </si>
  <si>
    <t xml:space="preserve">    City               = NULLIF(TRIM(City), ''),</t>
  </si>
  <si>
    <t>Purpose:</t>
  </si>
  <si>
    <t xml:space="preserve">    Phone               VARCHAR(25),</t>
  </si>
  <si>
    <t>GROUP BY State</t>
  </si>
  <si>
    <t xml:space="preserve">    County_Parish      = NULLIF(TRIM(County_Parish), ''),</t>
  </si>
  <si>
    <t>Cross-reference the reconstructed Resources dataset against</t>
  </si>
  <si>
    <t xml:space="preserve">    City                VARCHAR(100),</t>
  </si>
  <si>
    <t>ORDER BY State;</t>
  </si>
  <si>
    <t xml:space="preserve">    State              = NULLIF(TRIM(State), ''),</t>
  </si>
  <si>
    <t>official Continuum of Care (CoC) resource directories to verify</t>
  </si>
  <si>
    <t xml:space="preserve">    County_Parish       VARCHAR(100),</t>
  </si>
  <si>
    <t xml:space="preserve">    ZIP                = NULLIF(TRIM(ZIP), ''),</t>
  </si>
  <si>
    <t>coverage, identify omissions, and prevent duplicate records.</t>
  </si>
  <si>
    <t xml:space="preserve">    State               VARCHAR(20),</t>
  </si>
  <si>
    <t xml:space="preserve">    HUD_CoC_ID         = NULLIF(TRIM(HUD_CoC_ID), ''),</t>
  </si>
  <si>
    <t xml:space="preserve">    ZIP                 VARCHAR(10),</t>
  </si>
  <si>
    <t xml:space="preserve">    FIPS               = NULLIF(TRIM(FIPS), ''),</t>
  </si>
  <si>
    <t>Primary Validation Sources:</t>
  </si>
  <si>
    <t xml:space="preserve">    Category            VARCHAR(100),</t>
  </si>
  <si>
    <t xml:space="preserve">    HUD_CoC_ID          VARCHAR(10),</t>
  </si>
  <si>
    <t xml:space="preserve">    Population_Served  = NULLIF(TRIM(Population_Served), ''),</t>
  </si>
  <si>
    <t>- Louisiana Balance of State CoC</t>
  </si>
  <si>
    <t xml:space="preserve">           Public_Address      VARCHAR(255),</t>
  </si>
  <si>
    <t xml:space="preserve">    FIPS                CHAR(5),</t>
  </si>
  <si>
    <t xml:space="preserve">    Verification_Note  = NULLIF(TRIM(Verification_Note), '');</t>
  </si>
  <si>
    <t>- Regional Continuum of Care directories</t>
  </si>
  <si>
    <t xml:space="preserve">    Population_Served   TEXT,</t>
  </si>
  <si>
    <t>GROUP BY Year</t>
  </si>
  <si>
    <t>- HUD Exchange</t>
  </si>
  <si>
    <t xml:space="preserve">    Verification_Note   VARCHAR(255),</t>
  </si>
  <si>
    <t>ORDER BY Year;</t>
  </si>
  <si>
    <t>- Official provider websites</t>
  </si>
  <si>
    <t xml:space="preserve">    Latitude            DECIMAL(9,6),</t>
  </si>
  <si>
    <t>SET HUD_CoC_ID='LA-502'</t>
  </si>
  <si>
    <t xml:space="preserve">    Longitude           DECIMAL(9,6)</t>
  </si>
  <si>
    <t>WHERE HUD_CoC_ID='LA_502';</t>
  </si>
  <si>
    <t>Validation Process:</t>
  </si>
  <si>
    <t xml:space="preserve">    Metric_Name,</t>
  </si>
  <si>
    <t>1. Compare existing Resources dataset to official CoC listings.</t>
  </si>
  <si>
    <t xml:space="preserve">    COUNT(*) AS Metric_Count</t>
  </si>
  <si>
    <t>2. Identify exact matches.</t>
  </si>
  <si>
    <t>SET HUD_CoC_ID='LA-503'</t>
  </si>
  <si>
    <t>3. Identify renamed or expanded programs.</t>
  </si>
  <si>
    <t>GROUP BY Metric_Name</t>
  </si>
  <si>
    <t>WHERE HUD_CoC_ID='LA_503';</t>
  </si>
  <si>
    <t>4. Identify missing verified resources.</t>
  </si>
  <si>
    <t xml:space="preserve">    Verification_Note   VARCHAR(255)</t>
  </si>
  <si>
    <t xml:space="preserve">                ENABLE LOCAL FILE IMPORT</t>
  </si>
  <si>
    <t>ORDER BY Metric_Name;</t>
  </si>
  <si>
    <t>5. Add only verified resources.</t>
  </si>
  <si>
    <t>6. Re-run validation queries.</t>
  </si>
  <si>
    <t>SET HUD_CoC_ID='LA-505'</t>
  </si>
  <si>
    <t>SET GLOBAL local_infile = 1;</t>
  </si>
  <si>
    <t xml:space="preserve">                    RESOURCES IMPORT</t>
  </si>
  <si>
    <t>WHERE HUD_CoC_ID='LA_505';</t>
  </si>
  <si>
    <t>Outcome:</t>
  </si>
  <si>
    <t>This process provides transparency and improves data</t>
  </si>
  <si>
    <t xml:space="preserve">                RESOURCES — KEYS / TABLES</t>
  </si>
  <si>
    <t>SHOW GLOBAL VARIABLES LIKE 'local_infile';</t>
  </si>
  <si>
    <t xml:space="preserve"> completeness while maintaining data integrity.</t>
  </si>
  <si>
    <t>SET HUD_CoC_ID='LA-507'</t>
  </si>
  <si>
    <t>==============================================</t>
  </si>
  <si>
    <t>'C:/Steel_Analytics/03_SQL/Databases/Resources.csv'</t>
  </si>
  <si>
    <t>WHERE HUD_CoC_ID='LA_507';</t>
  </si>
  <si>
    <t>INTO TABLE resources_master_data</t>
  </si>
  <si>
    <t>SET HUD_CoC_ID='LA-509'</t>
  </si>
  <si>
    <t>WHERE HUD_CoC_ID='LA_509';</t>
  </si>
  <si>
    <t>SET HUD_CoC_ID='MS-500'</t>
  </si>
  <si>
    <t xml:space="preserve">                RAW IMPORT VALIDATION</t>
  </si>
  <si>
    <t>WHERE HUD_CoC_ID='MS_500';</t>
  </si>
  <si>
    <t>SET HUD_CoC_ID='MS-501'</t>
  </si>
  <si>
    <t>FROM resources_master_data;</t>
  </si>
  <si>
    <t>WHERE HUD_CoC_ID='MS_501';</t>
  </si>
  <si>
    <t>SET HUD_CoC_ID='MS-503'</t>
  </si>
  <si>
    <t>WHERE HUD_CoC_ID='MS_503';</t>
  </si>
  <si>
    <t>ALTER TABLE resources_master_data</t>
  </si>
  <si>
    <t>MODIFY Latitude DECIMAL(9,6),</t>
  </si>
  <si>
    <t>MODIFY Longitude DECIMAL(9,6);</t>
  </si>
  <si>
    <t>Page 1 — Resource Database &amp; ETL</t>
  </si>
  <si>
    <t>Database Design</t>
  </si>
  <si>
    <t>SQL</t>
  </si>
  <si>
    <t>Import Process</t>
  </si>
  <si>
    <t>Validation Queries</t>
  </si>
  <si>
    <t>Data Quality Checks</t>
  </si>
  <si>
    <t>Final Record Counts</t>
  </si>
  <si>
    <t>Geographic Distribution</t>
  </si>
  <si>
    <t>Data Dictionary</t>
  </si>
  <si>
    <t>=====================================</t>
  </si>
  <si>
    <t>==================================</t>
  </si>
  <si>
    <t>======================================</t>
  </si>
  <si>
    <t>==============================</t>
  </si>
  <si>
    <t>===============================</t>
  </si>
  <si>
    <t xml:space="preserve">                    RESOURCES DATABASE</t>
  </si>
  <si>
    <t>DATA CLEANING</t>
  </si>
  <si>
    <t xml:space="preserve">                    FINAL DATA CHECK</t>
  </si>
  <si>
    <t xml:space="preserve">                    VALIDATE QUERIES</t>
  </si>
  <si>
    <t xml:space="preserve">                VALIDATION QUERIES</t>
  </si>
  <si>
    <t xml:space="preserve">CREATE DATABASE IF NOT EXISTS resource_master_data; </t>
  </si>
  <si>
    <t>-- 1. Standardize Whitespace &amp; Set Empty Strings to NULL</t>
  </si>
  <si>
    <t>Total Records:</t>
  </si>
  <si>
    <t>-- total records</t>
  </si>
  <si>
    <t xml:space="preserve"> USE resource_master_data;</t>
  </si>
  <si>
    <t xml:space="preserve">SET </t>
  </si>
  <si>
    <t xml:space="preserve">    Program_Name      = NULLIF(TRIM(Program_Name), ''),</t>
  </si>
  <si>
    <t xml:space="preserve">                    CREATE TABLE</t>
  </si>
  <si>
    <t xml:space="preserve">    Services_Provided = NULLIF(TRIM(Services_Provided), ''),</t>
  </si>
  <si>
    <t>Resources by State:</t>
  </si>
  <si>
    <t xml:space="preserve">    Program_Name,</t>
  </si>
  <si>
    <t>-- Verify Sample records</t>
  </si>
  <si>
    <t xml:space="preserve">    Public_Address    = NULLIF(TRIM(Public_Address), ''),</t>
  </si>
  <si>
    <t xml:space="preserve">    City,</t>
  </si>
  <si>
    <t xml:space="preserve">    Phone             = NULLIF(TRIM(Phone), ''),</t>
  </si>
  <si>
    <t xml:space="preserve">    City              = NULLIF(TRIM(City), ''),</t>
  </si>
  <si>
    <t xml:space="preserve">    COUNT(*) AS Total_Resources</t>
  </si>
  <si>
    <t xml:space="preserve">    HUD_CoC_ID,</t>
  </si>
  <si>
    <t xml:space="preserve">    County_Parish     = NULLIF(TRIM(County_Parish), ''),</t>
  </si>
  <si>
    <t>FROM resources_master_data</t>
  </si>
  <si>
    <t xml:space="preserve">    FIPS,</t>
  </si>
  <si>
    <t xml:space="preserve">    State             = NULLIF(TRIM(State), '');</t>
  </si>
  <si>
    <t xml:space="preserve">    Latitude,</t>
  </si>
  <si>
    <t xml:space="preserve">    Program_Name        TEXT,</t>
  </si>
  <si>
    <t xml:space="preserve">    Longitude</t>
  </si>
  <si>
    <t>-- 2. Clean &amp; Format Phone Numbers (Digits Only)</t>
  </si>
  <si>
    <t xml:space="preserve">    Public_Address      TEXT,</t>
  </si>
  <si>
    <t>Resources by HUD CoC:</t>
  </si>
  <si>
    <t>LIMIT 10;</t>
  </si>
  <si>
    <t xml:space="preserve">    Phone               TEXT,</t>
  </si>
  <si>
    <t>SET Phone = REGEXP_REPLACE(Phone, '[^0-9]', '')</t>
  </si>
  <si>
    <t xml:space="preserve">    City                TEXT,</t>
  </si>
  <si>
    <t>WHERE Phone IS NOT NULL;</t>
  </si>
  <si>
    <t>SELECT DISTINCT State</t>
  </si>
  <si>
    <t xml:space="preserve">    County_Parish       TEXT,</t>
  </si>
  <si>
    <t xml:space="preserve">    State               TEXT,</t>
  </si>
  <si>
    <t>-- 3. Standardize State Abbreviations &amp; Text Casing</t>
  </si>
  <si>
    <t xml:space="preserve">    COUNT(*) AS Resource_Count</t>
  </si>
  <si>
    <t>-- Verify States</t>
  </si>
  <si>
    <t xml:space="preserve">    ZIP                 TEXT,</t>
  </si>
  <si>
    <t xml:space="preserve">    HUD_CoC_ID          TEXT,</t>
  </si>
  <si>
    <t>SET State = UPPER(TRIM(State))</t>
  </si>
  <si>
    <t>GROUP BY</t>
  </si>
  <si>
    <t>SELECT DISTINCT HUD_CoC_ID</t>
  </si>
  <si>
    <t xml:space="preserve">    FIPS                TEXT,</t>
  </si>
  <si>
    <t>WHERE State IS NOT NULL;</t>
  </si>
  <si>
    <t xml:space="preserve">    HUD_CoC_ID</t>
  </si>
  <si>
    <t>ORDER BY HUD_CoC_ID;</t>
  </si>
  <si>
    <t xml:space="preserve">    Verification_Note   TEXT,</t>
  </si>
  <si>
    <t>-- 4. Clean 5-Digit ZIP Codes (Pad Leading Zeros)</t>
  </si>
  <si>
    <t>ORDER BY</t>
  </si>
  <si>
    <t>-- Verify HUD CoC IDs</t>
  </si>
  <si>
    <t xml:space="preserve">    Latitude            DOUBLE,</t>
  </si>
  <si>
    <t xml:space="preserve">                    VERIFY IMPORT</t>
  </si>
  <si>
    <t xml:space="preserve">    Longitude           DOUBLE</t>
  </si>
  <si>
    <t>SET ZIP = LPAD(TRIM(ZIP), 5, '0')</t>
  </si>
  <si>
    <t xml:space="preserve">    HUD_CoC_ID;</t>
  </si>
  <si>
    <t>WHERE ZIP IS NOT NULL AND LENGTH(TRIM(ZIP)) &lt; 5;</t>
  </si>
  <si>
    <t xml:space="preserve">                    VALIDATION RESULTS</t>
  </si>
  <si>
    <t>Coordinate Verification:</t>
  </si>
  <si>
    <t>-- 5. Remove Duplicate Resource Records</t>
  </si>
  <si>
    <t>-- Verify LA-503 / LA-505</t>
  </si>
  <si>
    <t>Resources Database      ✅</t>
  </si>
  <si>
    <t>DELETE r1 FROM resources_master_data r1</t>
  </si>
  <si>
    <t xml:space="preserve">    COUNT(*) AS Valid_Coordinates</t>
  </si>
  <si>
    <t xml:space="preserve">                    IMPORT CSV</t>
  </si>
  <si>
    <t>Create Table                  ✅</t>
  </si>
  <si>
    <t xml:space="preserve">INNER JOIN resources_master_data r2 </t>
  </si>
  <si>
    <t>WHERE HUD_CoC_ID IN ('LA-503', 'LA-505')</t>
  </si>
  <si>
    <t>Import CSV                   ✅</t>
  </si>
  <si>
    <t xml:space="preserve">WHERE r1.Resource_ID &gt; r2.Resource_ID </t>
  </si>
  <si>
    <t>WHERE Latitude IS NOT NULL</t>
  </si>
  <si>
    <t>ORDER BY HUD_CoC_ID, City;</t>
  </si>
  <si>
    <t>CSV UTF-8 Verified        ✅</t>
  </si>
  <si>
    <t xml:space="preserve">  AND r1.Program_Name = r2.Program_Name </t>
  </si>
  <si>
    <t xml:space="preserve">  AND Longitude IS NOT NULL;</t>
  </si>
  <si>
    <t>158 Records Imported     ✅</t>
  </si>
  <si>
    <t xml:space="preserve">  AND r1.Public_Address = r2.Public_Address;</t>
  </si>
  <si>
    <t>'C:/Steel Analytics/01_Portfolio Projects/Homelessness/03_SQL/Resources_Master_Data.csv'</t>
  </si>
  <si>
    <t>Final Preview:</t>
  </si>
  <si>
    <t>WHERE HUD_CoC_ID IN ('LA-503','LA-505');</t>
  </si>
  <si>
    <t>====================================================================================</t>
  </si>
  <si>
    <t>MISSING RESOURCE AUDIT: HUD CoC LA-502 (Shreveport/Bossier/Northwest Louisiana)</t>
  </si>
  <si>
    <t>-- Missing Latitude</t>
  </si>
  <si>
    <t>SELECT COUNT(*) AS Missing_Latitude</t>
  </si>
  <si>
    <t xml:space="preserve">• ISSUE IDENTIFIED: </t>
  </si>
  <si>
    <t xml:space="preserve">  Crosswalk analysis revealed 0 active facility records mapped to LA-502 (Shreveport/Bossier City),</t>
  </si>
  <si>
    <t>WHERE HUD_CoC_ID = 'LA-503';</t>
  </si>
  <si>
    <t>WHERE Latitude IS NULL;</t>
  </si>
  <si>
    <t xml:space="preserve">  despite HUD Point-in-Time (PIT) reports indicating active sheltered/unsheltered populations in NW LA.</t>
  </si>
  <si>
    <t xml:space="preserve">    Program_Name;</t>
  </si>
  <si>
    <t>-- Missing Longitude</t>
  </si>
  <si>
    <t>Page 2 — Resource Quality Assurance &amp; Verification</t>
  </si>
  <si>
    <t>• ROOT CAUSE ANALYSIS:</t>
  </si>
  <si>
    <t>SELECT COUNT(*) AS Missing_Longitude</t>
  </si>
  <si>
    <t>Source Verification</t>
  </si>
  <si>
    <t xml:space="preserve">  1. Source Data Gap: Raw community directory exports lacked standard FIPS / CoC mapping tags for Caddo, Bossier, and Webster parishes.</t>
  </si>
  <si>
    <t>Crosswalk Validation</t>
  </si>
  <si>
    <t xml:space="preserve">  2. Naming Discrepancies: Facilities in Shreveport were listed under non-standard regional umbrella names without physical addresses.</t>
  </si>
  <si>
    <t>WHERE Longitude IS NULL;</t>
  </si>
  <si>
    <t>Official CoC Cross-Reference</t>
  </si>
  <si>
    <t xml:space="preserve">                FINAL VALIDATION SUMMARY</t>
  </si>
  <si>
    <t>Missing Resource Investigation (LA-502)</t>
  </si>
  <si>
    <t>• CORRECTIVE ACTION / RECOMMENDATION:</t>
  </si>
  <si>
    <t>-- Duplicate Resources</t>
  </si>
  <si>
    <t>Verification Notes</t>
  </si>
  <si>
    <t xml:space="preserve">  - Perform manual cross-reference using HUD HIC (Housing Inventory Count) records for LA-502.</t>
  </si>
  <si>
    <t>Resources SQL Status: VALIDATED</t>
  </si>
  <si>
    <t>Data Integrity Process</t>
  </si>
  <si>
    <t xml:space="preserve">  - Flag LA-502 for localized outreach mapping before exporting final Power BI relational models.</t>
  </si>
  <si>
    <t>Final Approval</t>
  </si>
  <si>
    <t>Database ............... PASS</t>
  </si>
  <si>
    <t xml:space="preserve">    Public_Address,</t>
  </si>
  <si>
    <t>-- Audit Query: Count active resources grouped by Louisiana CoCs</t>
  </si>
  <si>
    <t>Table Structure ........ PASS</t>
  </si>
  <si>
    <t xml:space="preserve">SELECT </t>
  </si>
  <si>
    <t>CSV Import ............. PASS</t>
  </si>
  <si>
    <t>Record Count ........... 158</t>
  </si>
  <si>
    <t>GROUP BY Program_Name, Public_Address</t>
  </si>
  <si>
    <t>Missing Values ......... NONE</t>
  </si>
  <si>
    <t xml:space="preserve">    COUNT(*) AS Active_Resource_Count</t>
  </si>
  <si>
    <t>Duplicate Records ...... NONE</t>
  </si>
  <si>
    <t>Coordinate Validation .. PASS</t>
  </si>
  <si>
    <t>-- Missing Required fields</t>
  </si>
  <si>
    <t>WHERE State = 'Louisiana'</t>
  </si>
  <si>
    <t>Geographic Validation .. PASS</t>
  </si>
  <si>
    <t>GROUP BY State, HUD_CoC_ID</t>
  </si>
  <si>
    <t xml:space="preserve">    SUM(Program_Name IS NULL OR TRIM(Program_Name)='') AS Missing_Program,</t>
  </si>
  <si>
    <t>Status:</t>
  </si>
  <si>
    <t xml:space="preserve">    SUM(City IS NULL OR TRIM(City)='') AS Missing_City,</t>
  </si>
  <si>
    <t>Validated and approved for Power BI import.</t>
  </si>
  <si>
    <t xml:space="preserve">    SUM(State IS NULL OR TRIM(State)='') AS Missing_State,</t>
  </si>
  <si>
    <t>/* EXPECTED VS ACTUAL RESULT:</t>
  </si>
  <si>
    <t xml:space="preserve">    SUM(HUD_CoC_ID IS NULL OR TRIM(HUD_CoC_ID)='') AS Missing_CoC</t>
  </si>
  <si>
    <t xml:space="preserve">   LA-503: 1 Resource </t>
  </si>
  <si>
    <t xml:space="preserve">   LA-505: 2 Resources</t>
  </si>
  <si>
    <t xml:space="preserve">   LA-507: 9 Resources</t>
  </si>
  <si>
    <t>-- Resource Distribution</t>
  </si>
  <si>
    <t xml:space="preserve">   LA-509: 52 Resources</t>
  </si>
  <si>
    <t xml:space="preserve">   LA-502: 0 Resources  --&gt; [FLAGGED FOR AUDIT / MANUAL RECOVERY]</t>
  </si>
  <si>
    <t>*/</t>
  </si>
  <si>
    <t>ORDER BY State, HUD_CoC_ID;</t>
  </si>
  <si>
    <t>Location</t>
  </si>
  <si>
    <t>STATE_ABBREV</t>
  </si>
  <si>
    <t>STATE_FIPS</t>
  </si>
  <si>
    <t>Opioid Dispensing Rate</t>
  </si>
  <si>
    <t>Opioid Dispensing Rate (per 100 persons)</t>
  </si>
  <si>
    <t>&gt;49.9</t>
  </si>
  <si>
    <t>https://www.cdc.gov/overdose-prevention/data-research/facts-stats/opioid-dispensing-rate-maps.html</t>
  </si>
  <si>
    <t>https://archive.cdc.gov/www_cdc_gov/drugoverdose/rxrate-maps/state2019.html</t>
  </si>
  <si>
    <t>https://archive.cdc.gov/www_cdc_gov/drugoverdose/rxrate-maps/state2018.html</t>
  </si>
  <si>
    <t>https://archive.cdc.gov/www_cdc_gov/drugoverdose/rxrate-maps/state2017.html</t>
  </si>
  <si>
    <t>https://archive.cdc.gov/www_cdc_gov/drugoverdose/rxrate-maps/state2016.html</t>
  </si>
  <si>
    <t>https://archive.cdc.gov/www_cdc_gov/drugoverdose/rxrate-maps/state2015.html</t>
  </si>
  <si>
    <t>https://archive.cdc.gov/www_cdc_gov/drugoverdose/rxrate-maps/state2014.html</t>
  </si>
  <si>
    <t>https://archive.cdc.gov/www_cdc_gov/drugoverdose/rxrate-maps/state2013.html</t>
  </si>
  <si>
    <t>https://archive.cdc.gov/www_cdc_gov/drugoverdose/rxrate-maps/state2012.html</t>
  </si>
  <si>
    <t>https://archive.cdc.gov/www_cdc_gov/drugoverdose/rxrate-maps/state2011.html</t>
  </si>
  <si>
    <t>https://archive.cdc.gov/www_cdc_gov/drugoverdose/rxrate-maps/state2010.html</t>
  </si>
  <si>
    <t>https://archive.cdc.gov/www_cdc_gov/drugoverdose/rxrate-maps/state2009.html</t>
  </si>
  <si>
    <t>https://archive.cdc.gov/www_cdc_gov/drugoverdose/rxrate-maps/state2008.html</t>
  </si>
  <si>
    <t>https://archive.cdc.gov/www_cdc_gov/drugoverdose/rxrate-maps/state2007.html</t>
  </si>
  <si>
    <t>AMA</t>
  </si>
  <si>
    <t>Total dispensed naloxone from retail settings: 2012–2024</t>
  </si>
  <si>
    <t>2015</t>
  </si>
  <si>
    <t>2023</t>
  </si>
  <si>
    <t>2024*</t>
  </si>
  <si>
    <t>% change
2018–2024</t>
  </si>
  <si>
    <t>% change
2023–2024</t>
  </si>
  <si>
    <t>Access to Naloxone decreased</t>
  </si>
  <si>
    <t>AK</t>
  </si>
  <si>
    <t>15</t>
  </si>
  <si>
    <t>3,293</t>
  </si>
  <si>
    <t>2,379</t>
  </si>
  <si>
    <t>124.2%</t>
  </si>
  <si>
    <t>-27.8%</t>
  </si>
  <si>
    <t>from 2023 - 2024.</t>
  </si>
  <si>
    <t>AL</t>
  </si>
  <si>
    <t>506</t>
  </si>
  <si>
    <t>22,278</t>
  </si>
  <si>
    <t>18,855</t>
  </si>
  <si>
    <t>222.8%</t>
  </si>
  <si>
    <t>-15.4%</t>
  </si>
  <si>
    <t>AR</t>
  </si>
  <si>
    <t>21</t>
  </si>
  <si>
    <t>61,201</t>
  </si>
  <si>
    <t>53,580</t>
  </si>
  <si>
    <t>810.3%</t>
  </si>
  <si>
    <t>-12.5%</t>
  </si>
  <si>
    <t>From 2018 to 2023, naloxone</t>
  </si>
  <si>
    <t>AZ</t>
  </si>
  <si>
    <t>135</t>
  </si>
  <si>
    <t>58,556</t>
  </si>
  <si>
    <t>48,314</t>
  </si>
  <si>
    <t>94.8%</t>
  </si>
  <si>
    <t>-17.5%</t>
  </si>
  <si>
    <t>dispensed from pharmacy</t>
  </si>
  <si>
    <t>CA</t>
  </si>
  <si>
    <t>2,639</t>
  </si>
  <si>
    <t>304,171</t>
  </si>
  <si>
    <t>283,942</t>
  </si>
  <si>
    <t>571.5%</t>
  </si>
  <si>
    <t>-6.7%</t>
  </si>
  <si>
    <t>settings increased from about</t>
  </si>
  <si>
    <t>CO</t>
  </si>
  <si>
    <t>558</t>
  </si>
  <si>
    <t>33,687</t>
  </si>
  <si>
    <t>30,014</t>
  </si>
  <si>
    <t>487.8%</t>
  </si>
  <si>
    <t>-10.9%</t>
  </si>
  <si>
    <t>550,000 to nearly 2.2 million</t>
  </si>
  <si>
    <t>CT</t>
  </si>
  <si>
    <t>411</t>
  </si>
  <si>
    <t>18,444</t>
  </si>
  <si>
    <t>15,909</t>
  </si>
  <si>
    <t>69.5%</t>
  </si>
  <si>
    <t>-13.7%</t>
  </si>
  <si>
    <t>products. But in 2024, there</t>
  </si>
  <si>
    <t>DC</t>
  </si>
  <si>
    <t>31</t>
  </si>
  <si>
    <t>7,585</t>
  </si>
  <si>
    <t>8,668</t>
  </si>
  <si>
    <t>460.3%</t>
  </si>
  <si>
    <t>14.3%</t>
  </si>
  <si>
    <t>were less than 2 million naloxone</t>
  </si>
  <si>
    <t>DE</t>
  </si>
  <si>
    <t>90</t>
  </si>
  <si>
    <t>4,287</t>
  </si>
  <si>
    <t>4,622</t>
  </si>
  <si>
    <t>147.6%</t>
  </si>
  <si>
    <t>7.8%</t>
  </si>
  <si>
    <t>products dispensed from retail</t>
  </si>
  <si>
    <t>FL</t>
  </si>
  <si>
    <t>1,302</t>
  </si>
  <si>
    <t>86,052</t>
  </si>
  <si>
    <t>69,057</t>
  </si>
  <si>
    <t>19.7%</t>
  </si>
  <si>
    <t>-19.7%</t>
  </si>
  <si>
    <t>settings, including pharmacies</t>
  </si>
  <si>
    <t>GA</t>
  </si>
  <si>
    <t>440</t>
  </si>
  <si>
    <t>37,129</t>
  </si>
  <si>
    <t>31,956</t>
  </si>
  <si>
    <t>290.6%</t>
  </si>
  <si>
    <t>-13.9%</t>
  </si>
  <si>
    <t>and over-the-counter.</t>
  </si>
  <si>
    <t>HI</t>
  </si>
  <si>
    <t>5</t>
  </si>
  <si>
    <t>5,598</t>
  </si>
  <si>
    <t>6,293</t>
  </si>
  <si>
    <t>473.1%</t>
  </si>
  <si>
    <t>12.4%</t>
  </si>
  <si>
    <t>IA</t>
  </si>
  <si>
    <t>17</t>
  </si>
  <si>
    <t>10,141</t>
  </si>
  <si>
    <t>11,670</t>
  </si>
  <si>
    <t>440.5%</t>
  </si>
  <si>
    <t>15.1%</t>
  </si>
  <si>
    <t>1. Physicians prescribe naloxone</t>
  </si>
  <si>
    <t>ID</t>
  </si>
  <si>
    <t>88</t>
  </si>
  <si>
    <t>10,518</t>
  </si>
  <si>
    <t>10,199</t>
  </si>
  <si>
    <t>248.7%</t>
  </si>
  <si>
    <t>-3.0%</t>
  </si>
  <si>
    <t>to patients at risk of overdose</t>
  </si>
  <si>
    <t>IL</t>
  </si>
  <si>
    <t>323</t>
  </si>
  <si>
    <t>59,950</t>
  </si>
  <si>
    <t>52,792</t>
  </si>
  <si>
    <t>389.1%</t>
  </si>
  <si>
    <t>-11.9%</t>
  </si>
  <si>
    <t>and to all those who are in a</t>
  </si>
  <si>
    <t>IN</t>
  </si>
  <si>
    <t>132</t>
  </si>
  <si>
    <t>52,849</t>
  </si>
  <si>
    <t>51,850</t>
  </si>
  <si>
    <t>300.1%</t>
  </si>
  <si>
    <t>-1.9%</t>
  </si>
  <si>
    <t>position to save a life from</t>
  </si>
  <si>
    <t>KS</t>
  </si>
  <si>
    <t>443</t>
  </si>
  <si>
    <t>9,796</t>
  </si>
  <si>
    <t>9,189</t>
  </si>
  <si>
    <t>152.2%</t>
  </si>
  <si>
    <t>-6.2%</t>
  </si>
  <si>
    <t>opioid overdose.</t>
  </si>
  <si>
    <t>KY</t>
  </si>
  <si>
    <t>152</t>
  </si>
  <si>
    <t>59,136</t>
  </si>
  <si>
    <t>55,480</t>
  </si>
  <si>
    <t>570.9%</t>
  </si>
  <si>
    <t>113</t>
  </si>
  <si>
    <t>18,338</t>
  </si>
  <si>
    <t>15,828</t>
  </si>
  <si>
    <t>162.1%</t>
  </si>
  <si>
    <t>2. Health insurance companies</t>
  </si>
  <si>
    <t>MA</t>
  </si>
  <si>
    <t>3,151</t>
  </si>
  <si>
    <t>38,822</t>
  </si>
  <si>
    <t>35,895</t>
  </si>
  <si>
    <t>70.6%</t>
  </si>
  <si>
    <t>-7.5%</t>
  </si>
  <si>
    <t>make naloxone available at no</t>
  </si>
  <si>
    <t>MD</t>
  </si>
  <si>
    <t>2,563</t>
  </si>
  <si>
    <t>54,277</t>
  </si>
  <si>
    <t>46,683</t>
  </si>
  <si>
    <t>121.0%</t>
  </si>
  <si>
    <t>-14.0%</t>
  </si>
  <si>
    <t>or low cost.</t>
  </si>
  <si>
    <t>ME</t>
  </si>
  <si>
    <t>63</t>
  </si>
  <si>
    <t>8,228</t>
  </si>
  <si>
    <t>8,143</t>
  </si>
  <si>
    <t>372.3%</t>
  </si>
  <si>
    <t>-1.0%</t>
  </si>
  <si>
    <t>MI</t>
  </si>
  <si>
    <t>196</t>
  </si>
  <si>
    <t>67,980</t>
  </si>
  <si>
    <t>67,542</t>
  </si>
  <si>
    <t>357.8%</t>
  </si>
  <si>
    <t>-0.6%</t>
  </si>
  <si>
    <t>3. Pharmacies stock prescription</t>
  </si>
  <si>
    <t>MN</t>
  </si>
  <si>
    <t>14,849</t>
  </si>
  <si>
    <t>13,303</t>
  </si>
  <si>
    <t>114.9%</t>
  </si>
  <si>
    <t>-10.4%</t>
  </si>
  <si>
    <t>naloxone and retailers make</t>
  </si>
  <si>
    <t>MO</t>
  </si>
  <si>
    <t>66</t>
  </si>
  <si>
    <t>41,948</t>
  </si>
  <si>
    <t>41,608</t>
  </si>
  <si>
    <t>475.6%</t>
  </si>
  <si>
    <t>-0.8%</t>
  </si>
  <si>
    <t>over-the-counter naloxone</t>
  </si>
  <si>
    <t>123</t>
  </si>
  <si>
    <t>8,677</t>
  </si>
  <si>
    <t>11,384</t>
  </si>
  <si>
    <t>362.8%</t>
  </si>
  <si>
    <t>31.2%</t>
  </si>
  <si>
    <t>products available and highly</t>
  </si>
  <si>
    <t>MT</t>
  </si>
  <si>
    <t>20</t>
  </si>
  <si>
    <t>6,209</t>
  </si>
  <si>
    <t>4,105</t>
  </si>
  <si>
    <t>174.2%</t>
  </si>
  <si>
    <t>-33.9%</t>
  </si>
  <si>
    <t>visible in prominent locations</t>
  </si>
  <si>
    <t>NC</t>
  </si>
  <si>
    <t>2,973</t>
  </si>
  <si>
    <t>59,090</t>
  </si>
  <si>
    <t>56,662</t>
  </si>
  <si>
    <t>94.7%</t>
  </si>
  <si>
    <t>-4.1%</t>
  </si>
  <si>
    <t>of their stores.</t>
  </si>
  <si>
    <t>ND</t>
  </si>
  <si>
    <t>8</t>
  </si>
  <si>
    <t>2,648</t>
  </si>
  <si>
    <t>2,064</t>
  </si>
  <si>
    <t>494.8%</t>
  </si>
  <si>
    <t>-22.1%</t>
  </si>
  <si>
    <t>NE</t>
  </si>
  <si>
    <t>9</t>
  </si>
  <si>
    <t>8,265</t>
  </si>
  <si>
    <t>6,709</t>
  </si>
  <si>
    <t>497.4%</t>
  </si>
  <si>
    <t>-18.8%</t>
  </si>
  <si>
    <t>NH</t>
  </si>
  <si>
    <t>282</t>
  </si>
  <si>
    <t>4,226</t>
  </si>
  <si>
    <t>3,178</t>
  </si>
  <si>
    <t>81.0%</t>
  </si>
  <si>
    <t>-24.8%</t>
  </si>
  <si>
    <t>NJ</t>
  </si>
  <si>
    <t>576</t>
  </si>
  <si>
    <t>114,758</t>
  </si>
  <si>
    <t>93,324</t>
  </si>
  <si>
    <t>1005.3%</t>
  </si>
  <si>
    <t>-18.7%</t>
  </si>
  <si>
    <t>NM</t>
  </si>
  <si>
    <t>40,778</t>
  </si>
  <si>
    <t>29,673</t>
  </si>
  <si>
    <t>182.5%</t>
  </si>
  <si>
    <t>-27.2%</t>
  </si>
  <si>
    <t>NV</t>
  </si>
  <si>
    <t>45</t>
  </si>
  <si>
    <t>20,553</t>
  </si>
  <si>
    <t>19,521</t>
  </si>
  <si>
    <t>266.7%</t>
  </si>
  <si>
    <t>-5.0%</t>
  </si>
  <si>
    <t>NY</t>
  </si>
  <si>
    <t>395</t>
  </si>
  <si>
    <t>109,035</t>
  </si>
  <si>
    <t>109,489</t>
  </si>
  <si>
    <t>884.4%</t>
  </si>
  <si>
    <t>0.4%</t>
  </si>
  <si>
    <t>OH</t>
  </si>
  <si>
    <t>1,684</t>
  </si>
  <si>
    <t>87,627</t>
  </si>
  <si>
    <t>83,903</t>
  </si>
  <si>
    <t>366.6%</t>
  </si>
  <si>
    <t>-4.2%</t>
  </si>
  <si>
    <t>OK</t>
  </si>
  <si>
    <t>1,388</t>
  </si>
  <si>
    <t>29,870</t>
  </si>
  <si>
    <t>32,148</t>
  </si>
  <si>
    <t>157.8%</t>
  </si>
  <si>
    <t>7.6%</t>
  </si>
  <si>
    <t>OR</t>
  </si>
  <si>
    <t>298</t>
  </si>
  <si>
    <t>33,399</t>
  </si>
  <si>
    <t>30,965</t>
  </si>
  <si>
    <t>319.6%</t>
  </si>
  <si>
    <t>-7.3%</t>
  </si>
  <si>
    <t>PA</t>
  </si>
  <si>
    <t>1,319</t>
  </si>
  <si>
    <t>83,150</t>
  </si>
  <si>
    <t>91,874</t>
  </si>
  <si>
    <t>155.5%</t>
  </si>
  <si>
    <t>10.5%</t>
  </si>
  <si>
    <t>RI</t>
  </si>
  <si>
    <t>645</t>
  </si>
  <si>
    <t>14,233</t>
  </si>
  <si>
    <t>12,072</t>
  </si>
  <si>
    <t>81.2%</t>
  </si>
  <si>
    <t>-15.2%</t>
  </si>
  <si>
    <t>SC</t>
  </si>
  <si>
    <t>262</t>
  </si>
  <si>
    <t>65,442</t>
  </si>
  <si>
    <t>53,776</t>
  </si>
  <si>
    <t>445.3%</t>
  </si>
  <si>
    <t>-17.8%</t>
  </si>
  <si>
    <t>SD</t>
  </si>
  <si>
    <t>2,350</t>
  </si>
  <si>
    <t>1,530</t>
  </si>
  <si>
    <t>309.1%</t>
  </si>
  <si>
    <t>-34.9%</t>
  </si>
  <si>
    <t>TN</t>
  </si>
  <si>
    <t>460</t>
  </si>
  <si>
    <t>81,703</t>
  </si>
  <si>
    <t>74,952</t>
  </si>
  <si>
    <t>260.4%</t>
  </si>
  <si>
    <t>-8.3%</t>
  </si>
  <si>
    <t>TX</t>
  </si>
  <si>
    <t>446</t>
  </si>
  <si>
    <t>88,521</t>
  </si>
  <si>
    <t>83,821</t>
  </si>
  <si>
    <t>194.0%</t>
  </si>
  <si>
    <t>-5.3%</t>
  </si>
  <si>
    <t>UT</t>
  </si>
  <si>
    <t>250</t>
  </si>
  <si>
    <t>23,694</t>
  </si>
  <si>
    <t>17,178</t>
  </si>
  <si>
    <t>188.6%</t>
  </si>
  <si>
    <t>-27.5%</t>
  </si>
  <si>
    <t>VA</t>
  </si>
  <si>
    <t>302</t>
  </si>
  <si>
    <t>73,782</t>
  </si>
  <si>
    <t>65,081</t>
  </si>
  <si>
    <t>126.7%</t>
  </si>
  <si>
    <t>-11.8%</t>
  </si>
  <si>
    <t>VT</t>
  </si>
  <si>
    <t>2,612</t>
  </si>
  <si>
    <t>2,019</t>
  </si>
  <si>
    <t>15.0%</t>
  </si>
  <si>
    <t>-22.7%</t>
  </si>
  <si>
    <t>WA</t>
  </si>
  <si>
    <t>441</t>
  </si>
  <si>
    <t>69,725</t>
  </si>
  <si>
    <t>53,046</t>
  </si>
  <si>
    <t>309.0%</t>
  </si>
  <si>
    <t>-23.9%</t>
  </si>
  <si>
    <t>WI</t>
  </si>
  <si>
    <t>80</t>
  </si>
  <si>
    <t>25,790</t>
  </si>
  <si>
    <t>21,432</t>
  </si>
  <si>
    <t>229.5%</t>
  </si>
  <si>
    <t>-16.9%</t>
  </si>
  <si>
    <t>WV</t>
  </si>
  <si>
    <t>182</t>
  </si>
  <si>
    <t>15,069</t>
  </si>
  <si>
    <t>12,428</t>
  </si>
  <si>
    <t>251.9%</t>
  </si>
  <si>
    <t>WY</t>
  </si>
  <si>
    <t>11</t>
  </si>
  <si>
    <t>14,378</t>
  </si>
  <si>
    <t>5,640</t>
  </si>
  <si>
    <t>584.5%</t>
  </si>
  <si>
    <t>-60.8%</t>
  </si>
  <si>
    <t>Total</t>
  </si>
  <si>
    <t>26,093</t>
  </si>
  <si>
    <t>2,174,697</t>
  </si>
  <si>
    <t>1,971,745</t>
  </si>
  <si>
    <t>254.9%</t>
  </si>
  <si>
    <t>-9.3%</t>
  </si>
  <si>
    <t>*2024 includes naloxone prescriptions and over-the-counter naloxone dispensed.</t>
  </si>
  <si>
    <t>Data source: IQVIA Xponent limited to retail pharmacy dispensed prescriptions; USC 78312 (opioid reversal agents).</t>
  </si>
  <si>
    <t>© 2025 American Medical Association. All rights reserved. 25-1483350</t>
  </si>
  <si>
    <t>Kidney Disease Mortality</t>
  </si>
  <si>
    <t>https://www.cdc.gov/nchs/state-stats/deaths/kidney-disease.html</t>
  </si>
  <si>
    <t>Kidney disease deaths per 100,000 total population (age-adjusted mortality rate)</t>
  </si>
  <si>
    <t>State Code</t>
  </si>
  <si>
    <t>Year Code</t>
  </si>
  <si>
    <t>Deaths</t>
  </si>
  <si>
    <t>Population</t>
  </si>
  <si>
    <t>Crude Rate</t>
  </si>
  <si>
    <t>Age Adjusted Rate</t>
  </si>
  <si>
    <t>Crude Rate Lower 95% Confidence Interval</t>
  </si>
  <si>
    <t>Crude Rate Upper 95% Confidence Interval</t>
  </si>
  <si>
    <t>Age Adjusted Rate Lower 95% Confidence Interval</t>
  </si>
  <si>
    <t>Age Adjusted Rate Upper 95% Confidence Interval</t>
  </si>
  <si>
    <t>---</t>
  </si>
  <si>
    <t>Dataset: Underlying Cause of Death, 2018-2024, Single Race</t>
  </si>
  <si>
    <t>Query Parameters:</t>
  </si>
  <si>
    <t>ICD-10 Codes: N00-N07 (Glomerular diseases); N17-N19 (Renal failure); N25.0 (Renal osteodystrophy); N25.1 (Nephrogenic diabetes</t>
  </si>
  <si>
    <t>insipidus); N25.8 (Other disorders resulting from impaired renal tubular function); N25.9 (Disorder resulting from impaired</t>
  </si>
  <si>
    <t>renal tubular function, unspecified); N26 (Unspecified contracted kidney); N27.0 (Small kidney, unilateral); N27.1 (Small</t>
  </si>
  <si>
    <t>kidney, bilateral); N27.9 (Small kidney, unspecified)</t>
  </si>
  <si>
    <t>States: Louisiana (22); Mississippi (28)</t>
  </si>
  <si>
    <t>Group By: State; Year</t>
  </si>
  <si>
    <t>Show Totals: True</t>
  </si>
  <si>
    <t>Show Zero Values: False</t>
  </si>
  <si>
    <t>Show Suppressed: False</t>
  </si>
  <si>
    <t>Standard Population: 2000 U.S. Std. Population</t>
  </si>
  <si>
    <t>Calculate Rates Per: 100,000</t>
  </si>
  <si>
    <t>Rate Options: Default intercensal populations for years 2001-2009 (except Infant Age Groups)</t>
  </si>
  <si>
    <t>Help: See http://wonder.cdc.gov/wonder/help/ucd-expanded.html for more information.</t>
  </si>
  <si>
    <t>Query Date: Aug 1, 2026 7:08:45 PM</t>
  </si>
  <si>
    <t>Suggested Citation: Centers for Disease Control and Prevention, National Center for Health Statistics. National Vital Statistics</t>
  </si>
  <si>
    <t>System, Mortality 2018-2024 on CDC WONDER Online Database, released in 2026. Data are from the Multiple Cause of Death Files,</t>
  </si>
  <si>
    <t>2018-2024, as compiled from data provided by the 57 vital statistics jurisdictions through the Vital Statistics Cooperative</t>
  </si>
  <si>
    <t>Program. Accessed at http://wonder.cdc.gov/ucd-icd10-expanded.html on Aug 1, 2026 7:08:45 PM</t>
  </si>
  <si>
    <t>Caveats:</t>
  </si>
  <si>
    <t>1. The populations used to calculate standard age-adjusted rates are documented here: More information:</t>
  </si>
  <si>
    <t>http://wonder.cdc.gov/wonder/help/ucd-expanded.html#2000 Standard Population.</t>
  </si>
  <si>
    <t>2. The method used to calculate age-adjusted rates is documented here: More information:</t>
  </si>
  <si>
    <t>http://wonder.cdc.gov/wonder/help/ucd-expanded.html#Age-Adjusted Rates.</t>
  </si>
  <si>
    <t>3. Deaths for persons of unknown age are included in counts and crude rates, but are not included in age-adjusted rates.</t>
  </si>
  <si>
    <t>Dataset: Underlying Cause of Death, 1999-2020</t>
  </si>
  <si>
    <t>4. The method used to calculate 95% confidence intervals is documented here: More information:</t>
  </si>
  <si>
    <t>http://wonder.cdc.gov/wonder/help/ucd-expanded.html#Confidence-Intervals.</t>
  </si>
  <si>
    <t>5. The population figures for year 2024 are single-race estimates of the July 1 resident population, from the Vintage 2024</t>
  </si>
  <si>
    <t>postcensal series released by the Census Bureau on June 27, 2024. The 2024 series is based on the Modified Blended Base produced</t>
  </si>
  <si>
    <t>by the US Census Bureau in lieu of the April 1, 2020 decennial population count. The Modified Blended Base consists of the blend</t>
  </si>
  <si>
    <t>of Vintage 2020 postcensal population estimates for April 1, 2020, 2020 Demographic Analysis Estimates, and 2020 Census data</t>
  </si>
  <si>
    <t>from the internal Census Edited File (CEF). The population figures for year 2023 are single-race estimates of the July 1</t>
  </si>
  <si>
    <t>resident population, from the Vintage 2023 postcensal series released by the Census Bureau on June 27, 2024. The 2023 series is</t>
  </si>
  <si>
    <t>based on the Modified Blended Base produced by the US Census Bureau in lieu of the April 1, 2020 decennial population count. The</t>
  </si>
  <si>
    <t>Modified Blended Base consists of the blend of Vintage 2020 postcensal population estimates for April 1, 2020, 2020 Demographic</t>
  </si>
  <si>
    <t>Analysis Estimates, and 2020 Census data from the internal Census Edited File (CEF). The population figures for years 2022 are</t>
  </si>
  <si>
    <t>single-race estimates of the July 1 resident population, from the Vintage 2022 postcensal series released by the Census Bureau</t>
  </si>
  <si>
    <t>on June 22, 2023. The 2022 series is based on the Modified Blended Base produced by the US Census Bureau in lieu of the April 1,</t>
  </si>
  <si>
    <t>2020 decennial population count. The Modified Blended Base consists of the blend of Vintage 2020 postcensal population estimates</t>
  </si>
  <si>
    <t>for April 1, 2020, 2020 Demographic Analysis Estimates, and 2020 Census data from the internal Census Edited File (CEF). The</t>
  </si>
  <si>
    <t>Help: See http://wonder.cdc.gov/wonder/help/ucd.html for more information.</t>
  </si>
  <si>
    <t>population figures for years 2021 are single-race estimates of the July 1 resident population, based on the Blended Base</t>
  </si>
  <si>
    <t>produced by the US Census Bureau in lieu of the April 1, 2020 decennial population count, from the Vintage 2021 postcensal</t>
  </si>
  <si>
    <t>Query Date: Aug 1, 2026 7:08:57 PM</t>
  </si>
  <si>
    <t>series released by the Census Bureau on June 30, 2022. The population figures for year 2020 are single-race estimates of the</t>
  </si>
  <si>
    <t>July 1 resident population, from the Vintage 2020 postcensal series based on April 2010 Census, released by the Census Bureau on</t>
  </si>
  <si>
    <t>July 27, 2021. The population figures for year 2019 are single-race estimates of the July 1 resident population, from the</t>
  </si>
  <si>
    <t>System, Mortality 1999-2020 on CDC WONDER Online Database, released in 2021. Data are from the Multiple Cause of Death Files,</t>
  </si>
  <si>
    <t>Vintage 2019 postcensal series based on April 2010 Census, released by the Census Bureau on June 25, 2020. The population</t>
  </si>
  <si>
    <t>1999-2020, as compiled from data provided by the 57 vital statistics jurisdictions through the Vital Statistics Cooperative</t>
  </si>
  <si>
    <t>figures for year 2018 are single-race estimates of the July 1 resident population, from the Vintage 2018 postcensal series based</t>
  </si>
  <si>
    <t>Program. Accessed at http://wonder.cdc.gov/ucd-icd10.html on Aug 1, 2026 7:08:57 PM</t>
  </si>
  <si>
    <t>on April 2010 Census, released by the Census Bureau on June 20, 2019. More information:</t>
  </si>
  <si>
    <t>http://wonder.cdc.gov/wonder/help/ucd-expanded.html#Population Data.</t>
  </si>
  <si>
    <t>6. The population figures used in the calculation of death rates for the age group 'under 1 year' are the estimates of the</t>
  </si>
  <si>
    <t>1. As of April 3, 2017, the underlying cause of death has been revised for 125 deaths in 2014. More information:</t>
  </si>
  <si>
    <t>resident population that is under one year of age. More information: http://wonder.cdc.gov/wonder/help/ucd-expanded.html#Age</t>
  </si>
  <si>
    <t>http://wonder.cdc.gov/wonder/help/ucd.html#2014-Revision.</t>
  </si>
  <si>
    <t>Group.</t>
  </si>
  <si>
    <t>2. The populations used to calculate standard age-adjusted rates are documented here: More information:</t>
  </si>
  <si>
    <t>7. After the creation of the final 2023 dataset, North Carolina updated the cause of death information for over 900 death</t>
  </si>
  <si>
    <t>http://wonder.cdc.gov/wonder/help/ucd.html#2000 Standard Population.</t>
  </si>
  <si>
    <t>certificates to include a cause of death code indicating drug overdose (ICD-10 underlying cause-of-death codes: X40-X44,</t>
  </si>
  <si>
    <t>3. The method used to calculate age-adjusted rates is documented here: More information:</t>
  </si>
  <si>
    <t>X60-X64, X85, and Y10-Y14). Jurisdictions can continue to update death certificates after the closing of the mortality file. As</t>
  </si>
  <si>
    <t>http://wonder.cdc.gov/wonder/help/ucd.html#Age-Adjusted Rates.</t>
  </si>
  <si>
    <t>a result, users should consider that the actual death count for drug overdose deaths for North Carolina in 2023 is over 4,400</t>
  </si>
  <si>
    <t>4. Deaths for persons of unknown age are included in counts and crude rates, but are not included in age-adjusted rates.</t>
  </si>
  <si>
    <t>deaths, with a crude rate of approximately 41.0 per 100,000 population, and an age-adjusted rate of approximately 42.1 per</t>
  </si>
  <si>
    <t>5. The population figures for year 2020 are bridged-race estimates of the July 1 resident population, from the Vintage 2020</t>
  </si>
  <si>
    <t>100,000 population. These deaths will not be updated on the final mortality datasets.</t>
  </si>
  <si>
    <t>postcensal series released by NCHS on September 22, 2021. The population figures for year 2019 are bridged-race estimates of the</t>
  </si>
  <si>
    <t>8. Changes to cause of death classification affect reporting trends. More information:</t>
  </si>
  <si>
    <t>July 1 resident population, from the Vintage 2019 postcensal series released by NCHS on July 9, 2020. The population figures for</t>
  </si>
  <si>
    <t>http://wonder.cdc.gov/wonder/help/ucd-expanded.html#ICD-10 Changes.</t>
  </si>
  <si>
    <t>year 2018 are bridged-race estimates of the July 1 resident population, from the Vintage 2018 postcensal series released by NCHS</t>
  </si>
  <si>
    <t>on June 25, 2019. The population figures for year 2017 are bridged-race estimates of the July 1 resident population, from the</t>
  </si>
  <si>
    <t>Vintage 2017 postcensal series released by NCHS on June 27, 2018. The population figures for year 2016 are bridged-race</t>
  </si>
  <si>
    <t>estimates of the July 1 resident population, from the Vintage 2016 postcensal series released by NCHS on June 26, 2017. The</t>
  </si>
  <si>
    <t>population figures for year 2015 are bridged-race estimates of the July 1 resident population, from the Vintage 2015 postcensal</t>
  </si>
  <si>
    <t>series released by NCHS on June 28, 2016. The population figures for year 2014 are bridged-race estimates of the July 1 resident</t>
  </si>
  <si>
    <t>population, from the Vintage 2014 postcensal series released by NCHS on June 30, 2015. The population figures for year 2013 are</t>
  </si>
  <si>
    <t>bridged-race estimates of the July 1 resident population, from the Vintage 2013 postcensal series released by NCHS on June 26,</t>
  </si>
  <si>
    <t>2014. The population figures for year 2012 are bridged-race estimates of the July 1 resident population, from the Vintage 2012</t>
  </si>
  <si>
    <t>postcensal series released by NCHS on June 13, 2013. The population figures for year 2011 are bridged-race estimates of the July</t>
  </si>
  <si>
    <t>1 resident population, from the Vintage 2011 postcensal series released by NCHS on July 18, 2012. Population figures for 2010</t>
  </si>
  <si>
    <t>are April 1 Census counts. The population figures for years 2001 - 2009 are bridged-race estimates of the July 1 resident</t>
  </si>
  <si>
    <t>population, from the revised intercensal county-level 2000 - 2009 series released by NCHS on October 26, 2012. Population</t>
  </si>
  <si>
    <t>figures for 2000 are April 1 Census counts. Population figures for 1999 are from the 1990-1999 intercensal series of July 1</t>
  </si>
  <si>
    <t>estimates. Population figures for the infant age groups are the number of live births. &lt;br/&gt;&lt;b&gt;Note:&lt;/b&gt; Rates and population</t>
  </si>
  <si>
    <t>figures for years 2001 - 2009 differ slightly from previously published reports, due to use of the population estimates which</t>
  </si>
  <si>
    <t>were available at the time of release.</t>
  </si>
  <si>
    <t>resident population that is under one year of age. More information: http://wonder.cdc.gov/wonder/help/ucd.html#Age Group.</t>
  </si>
  <si>
    <t>7. Changes to cause of death classification affect reporting trends. More information:</t>
  </si>
  <si>
    <t>Cirrhosis and Other Chronic Liver Disease Mortality</t>
  </si>
  <si>
    <t>https://www.cdc.gov/nchs/state-stats/deaths/liver-disease.html</t>
  </si>
  <si>
    <t>Chronic liver disease deaths per 100,000 total population (age-adjusted mortality rate)</t>
  </si>
  <si>
    <t>ICD-10 Codes: K70.0 (Alcoholic fatty liver); K70.1 (Alcoholic hepatitis); K70.2 (Alcoholic fibrosis and sclerosis of liver);</t>
  </si>
  <si>
    <t>K70.3 (Alcoholic cirrhosis of liver); K70.4 (Alcoholic hepatic failure); K70.9 (Alcoholic liver disease, unspecified); K73.0</t>
  </si>
  <si>
    <t>(Chronic persistent hepatitis, not elsewhere classified); K73.1 (Chronic lobular hepatitis, not elsewhere classified); K73.2</t>
  </si>
  <si>
    <t>(Chronic active hepatitis, not elsewhere classified); K73.8 (Other chronic hepatitis, not elsewhere classified); K73.9 (Chronic</t>
  </si>
  <si>
    <t>hepatitis, unspecified); K74.0 (Hepatic fibrosis); K74.1 (Hepatic sclerosis); K74.2 (Hepatic fibrosis with hepatic sclerosis);</t>
  </si>
  <si>
    <t>K74.3 (Primary biliary cirrhosis); K74.4 (Secondary biliary cirrhosis); K74.5 (Biliary cirrhosis, unspecified); K74.6 (Other and</t>
  </si>
  <si>
    <t>unspecified cirrhosis of liver)</t>
  </si>
  <si>
    <t>Query Date: Aug 1, 2026 7:06:10 PM</t>
  </si>
  <si>
    <t>Program. Accessed at http://wonder.cdc.gov/ucd-icd10-expanded.html on Aug 1, 2026 7:06:10 PM</t>
  </si>
  <si>
    <t>Query Date: Aug 1, 2026 7:06:25 PM</t>
  </si>
  <si>
    <t>Program. Accessed at http://wonder.cdc.gov/ucd-icd10.html on Aug 1, 2026 7:06:25 PM</t>
  </si>
  <si>
    <t>http://wonder.cdc.gov/wonder/help/ucd.html#ICD-10 Changes.</t>
  </si>
  <si>
    <t>Drug Overdose Mortality</t>
  </si>
  <si>
    <t>https://www.cdc.gov/nchs/state-stats/deaths/drug-overdose.html</t>
  </si>
  <si>
    <t>Drug overdose deaths per 100,000 total population (age-adjusted mortality rate)</t>
  </si>
  <si>
    <t>ICD-10 Codes: X40 (Accidental poisoning by and exposure to nonopioid analgesics, antipyretics and antirheumatics); X41</t>
  </si>
  <si>
    <t>(Accidental poisoning by and exposure to antiepileptic, sedative-hypnotic, antiparkinsonism and psychotropic drugs, not</t>
  </si>
  <si>
    <t>elsewhere classified); X42 (Accidental poisoning by and exposure to narcotics and psychodysleptics [hallucinogens], not</t>
  </si>
  <si>
    <t>elsewhere classified); X43 (Accidental poisoning by and exposure to other drugs acting on the autonomic nervous system); X44</t>
  </si>
  <si>
    <t>(Accidental poisoning by and exposure to other and unspecified drugs, medicaments and biological substances); X60 (Intentional</t>
  </si>
  <si>
    <t>self-poisoning by and exposure to nonopioid analgesics, antipyretics and antirheumatics); X61 (Intentional self-poisoning by and</t>
  </si>
  <si>
    <t>exposure to antiepileptic, sedative-hypnotic, antiparkinsonism and psychotropic drugs, not elsewhere classified); X62</t>
  </si>
  <si>
    <t>(Intentional self-poisoning by and exposure to narcotics and psychodysleptics [hallucinogens], not elsewhere classified); X63</t>
  </si>
  <si>
    <t>(Intentional self-poisoning by and exposure to other drugs acting on the autonomic nervous system); X64 (Intentional</t>
  </si>
  <si>
    <t>self-poisoning by and exposure to other and unspecified drugs, medicaments and biological substances); X85 (Assault by drugs,</t>
  </si>
  <si>
    <t>medicaments and biological substances); Y10 (Poisoning by and exposure to nonopioid analgesics, antipyretics and antirheumatics,</t>
  </si>
  <si>
    <t>undetermined intent); Y11 (Poisoning by and exposure to antiepileptic, sedative-hypnotic, antiparkinsonism and psychotropic</t>
  </si>
  <si>
    <t>drugs, not elsewhere classified, undetermined intent); Y12 (Poisoning by and exposure to narcotics and psychodysleptics</t>
  </si>
  <si>
    <t>[hallucinogens], not elsewhere classified, undetermined intent); Y13 (Poisoning by and exposure to other drugs acting on the</t>
  </si>
  <si>
    <t>autonomic nervous system, undetermined intent); Y14 (Poisoning by and exposure to other and unspecified drugs, medicaments and</t>
  </si>
  <si>
    <t>biological substances, undetermined intent)</t>
  </si>
  <si>
    <t>Query Date: Aug 1, 2026 5:07:11 PM</t>
  </si>
  <si>
    <t>Program. Accessed at http://wonder.cdc.gov/ucd-icd10-expanded.html on Aug 1, 2026 5:07:11 PM</t>
  </si>
  <si>
    <t>Query Date: Aug 1, 2026 6:50:41 PM</t>
  </si>
  <si>
    <t>Program. Accessed at http://wonder.cdc.gov/ucd-icd10.html on Aug 1, 2026 6:50:41 PM</t>
  </si>
  <si>
    <t>Diabetes Mortality</t>
  </si>
  <si>
    <t>https://www.cdc.gov/nchs/state-stats/deaths/diabetes.html</t>
  </si>
  <si>
    <t>Diabetes deaths per 100,000 total population (age-adjusted mortality rate)</t>
  </si>
  <si>
    <t>ICD-10 Codes: E10-E14 (Diabetes mellitus)</t>
  </si>
  <si>
    <t>Query Date: Aug 1, 2026 7:02:39 PM</t>
  </si>
  <si>
    <t>Program. Accessed at http://wonder.cdc.gov/ucd-icd10-expanded.html on Aug 1, 2026 7:02:39 PM</t>
  </si>
  <si>
    <t>Query Date: Aug 1, 2026 7:03:17 PM</t>
  </si>
  <si>
    <t>Program. Accessed at http://wonder.cdc.gov/ucd-icd10.html on Aug 1, 2026 7:03:17 PM</t>
  </si>
  <si>
    <t>Metric_Name</t>
  </si>
  <si>
    <t>Metric_Value</t>
  </si>
  <si>
    <t>Respondents</t>
  </si>
  <si>
    <t>Source_Variable</t>
  </si>
  <si>
    <t>Weight_Variable</t>
  </si>
  <si>
    <t>Adult Obesity Prevalence (%)</t>
  </si>
  <si>
    <t>_BMI5CAT</t>
  </si>
  <si>
    <t>_LLCPWT</t>
  </si>
  <si>
    <t>These metrics were calculated directly from the raw BRFSS respondent data using the official BRFSS survey weights and</t>
  </si>
  <si>
    <t xml:space="preserve">Raw BRFSS respondent records → </t>
  </si>
  <si>
    <t>Binge Drinking Prevalence (%)</t>
  </si>
  <si>
    <t>_RFBING6</t>
  </si>
  <si>
    <t xml:space="preserve"> documented variable definitions.</t>
  </si>
  <si>
    <t>Python ETL →</t>
  </si>
  <si>
    <t>Frequent Mental Distress (%)</t>
  </si>
  <si>
    <t>_MENT14D</t>
  </si>
  <si>
    <t>All BRFSS health metrics were independently reproduced from the raw BRFSS survey records using the official CDC survey</t>
  </si>
  <si>
    <t>Weighted prevalence calculation →</t>
  </si>
  <si>
    <t>Uninsured Adults (%)</t>
  </si>
  <si>
    <t>_HCVU654</t>
  </si>
  <si>
    <t xml:space="preserve"> weights (_FINALWT/_LLCPWT) and documented variable definitions. No pre-calculated state prevalence tables were </t>
  </si>
  <si>
    <t xml:space="preserve"> Validated CSV →</t>
  </si>
  <si>
    <t>imported.</t>
  </si>
  <si>
    <t xml:space="preserve"> SQL →</t>
  </si>
  <si>
    <t>Power BI →</t>
  </si>
  <si>
    <t>Cross-Reference Log</t>
  </si>
  <si>
    <t xml:space="preserve"> Portfolio</t>
  </si>
  <si>
    <t>Metric 1: Adult Obesity Prevalence (%)</t>
  </si>
  <si>
    <t xml:space="preserve"> Variable</t>
  </si>
  <si>
    <t>SteelTool_17 uses:_BMI4CAT</t>
  </si>
  <si>
    <t>_HCVU653</t>
  </si>
  <si>
    <t xml:space="preserve"> Binge Drinking</t>
  </si>
  <si>
    <t>SteelTool_17 uses:_RFBING4</t>
  </si>
  <si>
    <t xml:space="preserve"> Uninsured Adults</t>
  </si>
  <si>
    <t>SteelTool_17 uses:_HCVU65</t>
  </si>
  <si>
    <t>_HCVU652</t>
  </si>
  <si>
    <t>uninsured indicator is derived.</t>
  </si>
  <si>
    <t xml:space="preserve"> Mental Distress</t>
  </si>
  <si>
    <t>SteelTool_17 intelligently uses:_MENT14D when available, MENTHLTH for earlier years</t>
  </si>
  <si>
    <t xml:space="preserve"> Both variables are documented in the BRFSS materials.</t>
  </si>
  <si>
    <t>_RFBING5</t>
  </si>
  <si>
    <t>For each metric verify:</t>
  </si>
  <si>
    <t>Positive response values</t>
  </si>
  <si>
    <t>Valid response values</t>
  </si>
  <si>
    <t>Weighted prevalence calculation</t>
  </si>
  <si>
    <t>_HCVU651</t>
  </si>
  <si>
    <t>MENTHLTH</t>
  </si>
  <si>
    <t>_BMI4CAT</t>
  </si>
  <si>
    <t>_FINALWT</t>
  </si>
  <si>
    <t>_RFBING4</t>
  </si>
  <si>
    <t>_HCVU65</t>
  </si>
  <si>
    <t>Naloxone Prescriptions (Total Count)</t>
  </si>
  <si>
    <t>Overdose Deaths (Age Adjusted Rate)</t>
  </si>
  <si>
    <t>Diabetes-Related Death (Age Adjusted Rate)</t>
  </si>
  <si>
    <t>Chronic Liver Disease Mortality (Age Adjusted Rate)</t>
  </si>
  <si>
    <t>Chronic Kidney Disease (Age Adjusted Rate)</t>
  </si>
  <si>
    <t>Health Metrics</t>
  </si>
  <si>
    <t>Done in SQL</t>
  </si>
  <si>
    <t>Page 1 — Health Database Development</t>
  </si>
  <si>
    <t># Total_Records</t>
  </si>
  <si>
    <t>    Year,</t>
  </si>
  <si>
    <t xml:space="preserve">        ↓</t>
  </si>
  <si>
    <t>    Region,</t>
  </si>
  <si>
    <t># State</t>
  </si>
  <si>
    <t>Record_Count</t>
  </si>
  <si>
    <t>    MAX(CASE WHEN Metric_Name = 'Adult Obesity Prevalence (%)'</t>
  </si>
  <si>
    <t>        THEN Metric_Value END) AS Adult_Obesity_Pct,</t>
  </si>
  <si>
    <t>    MAX(CASE WHEN Metric_Name = 'Binge Drinking Prevalence (%)'</t>
  </si>
  <si>
    <t>        THEN Metric_Value END) AS Binge_Drinking_Pct,</t>
  </si>
  <si>
    <t># Year</t>
  </si>
  <si>
    <t>    MAX(CASE WHEN Metric_Name = 'Kidney Disease Mortality (Age-Adjusted Rate)'</t>
  </si>
  <si>
    <t>Page 2 — Health Quality Assurance &amp; Verification</t>
  </si>
  <si>
    <t>        THEN Metric_Value END) AS CKD_Age_Adjusted_Rate,</t>
  </si>
  <si>
    <t>IMPORT VERIFICATION</t>
  </si>
  <si>
    <t>    MAX(CASE WHEN Metric_Name = 'Chronic Liver Disease Mortality (Age Adjusted Rate)'</t>
  </si>
  <si>
    <t>        THEN Metric_Value END) AS Chronic_Liver_Age_Adjusted_Rate,</t>
  </si>
  <si>
    <t>VALIDATION RESULTS</t>
  </si>
  <si>
    <t>    MAX(CASE WHEN Metric_Name = 'Diabetes-Related Death (Age Adjusted Rate)'</t>
  </si>
  <si>
    <t>COUNTY / FIPS VALIDATION</t>
  </si>
  <si>
    <t>        THEN Metric_Value END) AS Diabetes_Age_Adjusted_Rate,</t>
  </si>
  <si>
    <t>HUD CoC VALIDATION</t>
  </si>
  <si>
    <t>    MAX(CASE WHEN Metric_Name = 'Frequent Mental Distress (%)'</t>
  </si>
  <si>
    <t>        THEN Metric_Value END) AS Mental_Distress_Pct,</t>
  </si>
  <si>
    <t>METRIC VALIDATION</t>
  </si>
  <si>
    <t>    MAX(CASE WHEN Metric_Name = 'Naloxone Prescriptions (Total Count)'</t>
  </si>
  <si>
    <t>FINAL VALIDATION SUMMARY</t>
  </si>
  <si>
    <t>        THEN Metric_Value END) AS Naloxone_Total,</t>
  </si>
  <si>
    <t>    MAX(CASE WHEN Metric_Name = 'Opioid Dispensing Rate (per 100 persons)'</t>
  </si>
  <si>
    <t>        THEN Metric_Value END) AS Opioid_Dispensing_Rate,</t>
  </si>
  <si>
    <t>The Health database should answer these questions</t>
  </si>
  <si>
    <t>    MAX(CASE WHEN Metric_Name = 'Overdose Deaths (Age Adjusted Rate)'</t>
  </si>
  <si>
    <t xml:space="preserve"> Did all records import?</t>
  </si>
  <si>
    <t>        THEN Metric_Value END) AS Overdose_Age_Adjusted_Rate,</t>
  </si>
  <si>
    <t xml:space="preserve"> Does every record have a Year?</t>
  </si>
  <si>
    <t xml:space="preserve"> Does every record have a State?</t>
  </si>
  <si>
    <t>    MAX(CASE WHEN Metric_Name = 'Uninsured Adults (%)'</t>
  </si>
  <si>
    <t xml:space="preserve"> Does every record have a County/Parish?</t>
  </si>
  <si>
    <t>        THEN Metric_Value END) AS Uninsured_Adults_Pct</t>
  </si>
  <si>
    <t xml:space="preserve"> Does every record have a FIPS code?</t>
  </si>
  <si>
    <t xml:space="preserve"> Does every record have a HUD CoC ID?</t>
  </si>
  <si>
    <t>FROM Health_Metrics_Clean</t>
  </si>
  <si>
    <t xml:space="preserve"> Does every metric have the expected number of records?</t>
  </si>
  <si>
    <t xml:space="preserve"> Are there duplicate Year/FIPS/Metric combinations?</t>
  </si>
  <si>
    <t xml:space="preserve"> Are there any missing geographic keys?</t>
  </si>
  <si>
    <t>    Region</t>
  </si>
  <si>
    <t>Our development order</t>
  </si>
  <si>
    <t>    Region;</t>
  </si>
  <si>
    <t>We'll build it exactly like we did Resources:</t>
  </si>
  <si>
    <t>1 Database Structure</t>
  </si>
  <si>
    <t>    Year,</t>
  </si>
  <si>
    <t>Create the table.</t>
  </si>
  <si>
    <t>    Region,</t>
  </si>
  <si>
    <t>    CONCAT('[', Overall_Individuals, ']') AS Value</t>
  </si>
  <si>
    <t>2 Import</t>
  </si>
  <si>
    <t>Load the CSV.</t>
  </si>
  <si>
    <t>    Overall_Individuals IS NOT NULL</t>
  </si>
  <si>
    <t>    AND (</t>
  </si>
  <si>
    <t>3 Validation</t>
  </si>
  <si>
    <t>        TRIM(Overall_Individuals) = ''</t>
  </si>
  <si>
    <t>        OR Overall_Individuals NOT REGEXP '^[0-9]+$'</t>
  </si>
  <si>
    <t>Total Records</t>
  </si>
  <si>
    <t>    );</t>
  </si>
  <si>
    <t>Records by State</t>
  </si>
  <si>
    <t>Records by Year</t>
  </si>
  <si>
    <t>Records by Metric</t>
  </si>
  <si>
    <t>Selected Health Metric =</t>
  </si>
  <si>
    <t>SELECTEDVALUE(</t>
  </si>
  <si>
    <t>4 Cleanup</t>
  </si>
  <si>
    <t xml:space="preserve">          'Health Metrics'[Metric Name]</t>
  </si>
  <si>
    <t>)</t>
  </si>
  <si>
    <r>
      <t xml:space="preserve">Convert blanks to </t>
    </r>
    <r>
      <rPr>
        <sz val="10"/>
        <color rgb="FF060622"/>
        <rFont val="Aptos"/>
        <family val="2"/>
      </rPr>
      <t>NULL</t>
    </r>
  </si>
  <si>
    <t>Standardize HUD CoC IDs</t>
  </si>
  <si>
    <t xml:space="preserve">Selected Health Value = </t>
  </si>
  <si>
    <t>Convert data types if needed</t>
  </si>
  <si>
    <t>VAR MetricSelected =</t>
  </si>
  <si>
    <t xml:space="preserve">         SELECTEDVALUE('Health Metrics'[Metric Name])</t>
  </si>
  <si>
    <t>5 Final Validation</t>
  </si>
  <si>
    <t>RETURN</t>
  </si>
  <si>
    <t>CALCULATE(</t>
  </si>
  <si>
    <t xml:space="preserve">          SUM('Health'[Metric Value]),</t>
  </si>
  <si>
    <t>Duplicate Check</t>
  </si>
  <si>
    <t xml:space="preserve">          'Health'[Metric Name] = MetricSelected</t>
  </si>
  <si>
    <t>Missing Keys</t>
  </si>
  <si>
    <t>Final Preview</t>
  </si>
  <si>
    <t>Or</t>
  </si>
  <si>
    <t>Selected Health Indicator =</t>
  </si>
  <si>
    <t>SELECTEDVALUE('Health'[Metric_Name])</t>
  </si>
  <si>
    <t xml:space="preserve">          SUM('Health'[Metric_Value])</t>
  </si>
  <si>
    <t>SteelTool_01</t>
  </si>
  <si>
    <t>SteelTool_02</t>
  </si>
  <si>
    <t>SteelTool_03</t>
  </si>
  <si>
    <t>SteelTool_04</t>
  </si>
  <si>
    <t>"""</t>
  </si>
  <si>
    <t>==========================================================</t>
  </si>
  <si>
    <t>from pathlib import Path</t>
  </si>
  <si>
    <t>Steel Analytics</t>
  </si>
  <si>
    <t>print("==========================================================")</t>
  </si>
  <si>
    <t>"Every Number Has a Story"</t>
  </si>
  <si>
    <t>print("Steel Analytics")</t>
  </si>
  <si>
    <t>print("Every Number Has a Story")</t>
  </si>
  <si>
    <t>Health Tool Series</t>
  </si>
  <si>
    <t>print("Health Tool Series")</t>
  </si>
  <si>
    <t>print()</t>
  </si>
  <si>
    <t>print("SteelTool_02_Mission_Discover_Worksheets")</t>
  </si>
  <si>
    <t>print("SteelTool_03_Mission_Discover_Columns")</t>
  </si>
  <si>
    <t>print("SteelTool_04_Mission_Extract_Health_Data")</t>
  </si>
  <si>
    <t>SteelTool_01_Mission_Open_Health_Workbooks</t>
  </si>
  <si>
    <t>Author</t>
  </si>
  <si>
    <t>project_folder = Path(</t>
  </si>
  <si>
    <t>------</t>
  </si>
  <si>
    <r>
      <t>    r"C:\Steel Analytics</t>
    </r>
    <r>
      <rPr>
        <b/>
        <sz val="11"/>
        <rFont val="Consolas"/>
        <family val="3"/>
      </rPr>
      <t>\01</t>
    </r>
    <r>
      <rPr>
        <sz val="11"/>
        <rFont val="Consolas"/>
        <family val="3"/>
      </rPr>
      <t>_Portfolio Projects</t>
    </r>
    <r>
      <rPr>
        <b/>
        <sz val="11"/>
        <rFont val="Consolas"/>
        <family val="3"/>
      </rPr>
      <t>\H</t>
    </r>
    <r>
      <rPr>
        <sz val="11"/>
        <rFont val="Consolas"/>
        <family val="3"/>
      </rPr>
      <t>ealth Tool Series"</t>
    </r>
  </si>
  <si>
    <t>Mission</t>
  </si>
  <si>
    <t>raw_data_folder = (</t>
  </si>
  <si>
    <t>raw_data_folder = project_folder / "00_Raw Data"</t>
  </si>
  <si>
    <t>-------</t>
  </si>
  <si>
    <t>    project_folder</t>
  </si>
  <si>
    <t>output_folder = project_folder / "02_Output"</t>
  </si>
  <si>
    <t>Locate and verify every supported health workbook contained</t>
  </si>
  <si>
    <t>    / "00_Raw Data"</t>
  </si>
  <si>
    <t>output_folder.mkdir(parents=True, exist_ok=True)</t>
  </si>
  <si>
    <t>within the Health Tool Series project folder.</t>
  </si>
  <si>
    <t>health_files = sorted(raw_data_folder.glob("*.xls"))</t>
  </si>
  <si>
    <t>Objective</t>
  </si>
  <si>
    <t>workbook = (</t>
  </si>
  <si>
    <t>health_files.extend(</t>
  </si>
  <si>
    <t>---------</t>
  </si>
  <si>
    <t>    raw_data_folder</t>
  </si>
  <si>
    <t>    sorted(raw_data_folder.glob("*.xlsx"))</t>
  </si>
  <si>
    <t>Build a validated inventory of available source workbooks</t>
  </si>
  <si>
    <t>    / "2010 County Health Ranking Louisiana Data - v2.xls"</t>
  </si>
  <si>
    <t>before worksheet discovery and data extraction.</t>
  </si>
  <si>
    <t>total_workbooks = 0</t>
  </si>
  <si>
    <t xml:space="preserve">for workbook in health_files: </t>
  </si>
  <si>
    <t>Input</t>
  </si>
  <si>
    <t>total_sheets = 0</t>
  </si>
  <si>
    <t>xl_file = pd.ExcelFile(workbook, engine="xlrd")</t>
  </si>
  <si>
    <t xml:space="preserve">  print(f"Workbook : {workbook.name}")   </t>
  </si>
  <si>
    <t>-----</t>
  </si>
  <si>
    <t>print("Sheets found in 2010 workbook:", xl_file.sheet_names)</t>
  </si>
  <si>
    <t>  print("\n----------------------------------------------------------")</t>
  </si>
  <si>
    <t>Health Tool Series project folder</t>
  </si>
  <si>
    <t>for workbook in health_files:</t>
  </si>
  <si>
    <t>if workbook.suffix.lower() == ".xls":</t>
  </si>
  <si>
    <t>target_sheet = "Measure Data"</t>
  </si>
  <si>
    <t>   engine="xlrd"</t>
  </si>
  <si>
    <t>Output</t>
  </si>
  <si>
    <t>    total_workbooks += 1</t>
  </si>
  <si>
    <t>if target_sheet not in xl_file.sheet_names:</t>
  </si>
  <si>
    <t>else:</t>
  </si>
  <si>
    <t>    for sheet in xl_file.sheet_names:</t>
  </si>
  <si>
    <t>    engine = "openpyxl"</t>
  </si>
  <si>
    <t>Workbook inventory displayed in the console.</t>
  </si>
  <si>
    <t>    print("\n------------------------------------------")</t>
  </si>
  <si>
    <t>        if "Measure" in sheet or "Rank" in sheet:</t>
  </si>
  <si>
    <t>    print(f"Workbook: {workbook.name}")</t>
  </si>
  <si>
    <t>            target_sheet = sheet</t>
  </si>
  <si>
    <t>xl_file = pd.ExcelFile(workbook, engine=engine)</t>
  </si>
  <si>
    <t>Validation</t>
  </si>
  <si>
    <t>            break</t>
  </si>
  <si>
    <t>print(f"Sheets found in {workbook.name}:")</t>
  </si>
  <si>
    <t>----------</t>
  </si>
  <si>
    <t>    try:</t>
  </si>
  <si>
    <t>print(xl_file.sheet_names)</t>
  </si>
  <si>
    <t>✓ Project folder located</t>
  </si>
  <si>
    <t>print(f"\nReading sheet: '{target_sheet}'...")</t>
  </si>
  <si>
    <t>✓ Working folder located</t>
  </si>
  <si>
    <t>        excel = pd.ExcelFile(workbook)</t>
  </si>
  <si>
    <t>worksheet_priority = [</t>
  </si>
  <si>
    <t>✓ Supported workbook count</t>
  </si>
  <si>
    <t>header_row = None</t>
  </si>
  <si>
    <t>    "Measure Data",</t>
  </si>
  <si>
    <t>✓ Workbook names discovered</t>
  </si>
  <si>
    <t>        for number, sheet in enumerate(excel.sheet_names, start=1):</t>
  </si>
  <si>
    <t>    "Ranked Measure Data",</t>
  </si>
  <si>
    <t>            print(f"   {number}. {sheet}")</t>
  </si>
  <si>
    <t>for candidate_header in range(0, 6):</t>
  </si>
  <si>
    <t>    "Select Measure Data"</t>
  </si>
  <si>
    <t>Dependencies</t>
  </si>
  <si>
    <t>            total_sheets += 1</t>
  </si>
  <si>
    <t>------------</t>
  </si>
  <si>
    <t>    test_data = pd.read_excel(</t>
  </si>
  <si>
    <t>Python 3.x</t>
  </si>
  <si>
    <t>    except Exception as error:</t>
  </si>
  <si>
    <t>        workbook,</t>
  </si>
  <si>
    <t>target_sheet = None</t>
  </si>
  <si>
    <t>pathlib</t>
  </si>
  <si>
    <t>        print(f"ERROR: {error}")</t>
  </si>
  <si>
    <t>        sheet_name=target_sheet,</t>
  </si>
  <si>
    <t>        header=candidate_header,</t>
  </si>
  <si>
    <t>for sheet_name in worksheet_priority:</t>
  </si>
  <si>
    <t>Version</t>
  </si>
  <si>
    <t>print("\n==========================================")</t>
  </si>
  <si>
    <t>        nrows=5,</t>
  </si>
  <si>
    <t>    if sheet_name in xl_file.sheet_names:</t>
  </si>
  <si>
    <t>print("Validation Summary")</t>
  </si>
  <si>
    <t>        engine="xlrd"</t>
  </si>
  <si>
    <t>        target_sheet = sheet_name</t>
  </si>
  <si>
    <t>1.0.0 - Development</t>
  </si>
  <si>
    <t>print("==========================================")</t>
  </si>
  <si>
    <t>    )</t>
  </si>
  <si>
    <t>        break</t>
  </si>
  <si>
    <t>print(f"Workbooks Opened : {total_workbooks}")</t>
  </si>
  <si>
    <t>Status</t>
  </si>
  <si>
    <t>print(f"Worksheets Found : {total_sheets}")</t>
  </si>
  <si>
    <t>    columns = {</t>
  </si>
  <si>
    <t>if target_sheet is None:</t>
  </si>
  <si>
    <t>        str(column).strip()</t>
  </si>
  <si>
    <t>    raise ValueError(</t>
  </si>
  <si>
    <t>Development</t>
  </si>
  <si>
    <t>print("SteelTool_02 Complete")</t>
  </si>
  <si>
    <t>        for column in test_data.columns</t>
  </si>
  <si>
    <t>        f"No supported worksheet found in {workbook.name}"</t>
  </si>
  <si>
    <t>    }</t>
  </si>
  <si>
    <t>    if {"FIPS", "State", "County"}.issubset(columns):</t>
  </si>
  <si>
    <t>        header_row = candidate_header</t>
  </si>
  <si>
    <t>if header_row is None:</t>
  </si>
  <si>
    <t>        "Could not locate a valid header row."</t>
  </si>
  <si>
    <t>print("SteelTool_01_Mission_Open_Health_Workbooks")</t>
  </si>
  <si>
    <t>print(f"\nHeader detected: pandas header={header_row}")</t>
  </si>
  <si>
    <t>data = pd.read_excel(</t>
  </si>
  <si>
    <t>        engine=engine</t>
  </si>
  <si>
    <t>    workbook,</t>
  </si>
  <si>
    <t>    sheet_name=target_sheet,</t>
  </si>
  <si>
    <t>    header=header_row,</t>
  </si>
  <si>
    <t>    engine="xlrd"</t>
  </si>
  <si>
    <t>print(f"\nProject Folder : {project_folder}")</t>
  </si>
  <si>
    <t>data = data.dropna(how="all")</t>
  </si>
  <si>
    <t>print(f"Raw Data Folder: {raw_data_folder}")</t>
  </si>
  <si>
    <t>print("\nFirst five rows:")</t>
  </si>
  <si>
    <t>print(data.head())</t>
  </si>
  <si>
    <t>if not raw_data_folder.exists():</t>
  </si>
  <si>
    <t>    print("\nERROR: Raw Data folder not found.")</t>
  </si>
  <si>
    <t>print("\nColumns found:")</t>
  </si>
  <si>
    <t>    raise SystemExit</t>
  </si>
  <si>
    <t>for number, column in enumerate(data.columns, start=1):</t>
  </si>
  <si>
    <t>    print(f"{number}. {column}")</t>
  </si>
  <si>
    <t>print("\nRaw Data folder located successfully.")</t>
  </si>
  <si>
    <t>print(f"\nRows extracted: {len(data)}")</t>
  </si>
  <si>
    <t>output_file = output_folder / f"{workbook.stem}_Raw.csv"</t>
  </si>
  <si>
    <t>data.to_csv(output_file, index=False)</t>
  </si>
  <si>
    <t>print(f"\nSaved successfully: {output_file}")</t>
  </si>
  <si>
    <t>print(f"\nFound {len(health_files)} workbook(s).\n")</t>
  </si>
  <si>
    <t>print("\nWorkbook Inventory")</t>
  </si>
  <si>
    <t>print("\n==========================================================")</t>
  </si>
  <si>
    <t>print("----------------------------------------------------------")</t>
  </si>
  <si>
    <t>print("Mission Complete")</t>
  </si>
  <si>
    <t>    engine=engine</t>
  </si>
  <si>
    <t>for number, workbook in enumerate(health_files, start=1):</t>
  </si>
  <si>
    <t>print("Mission : Discover Columns")</t>
  </si>
  <si>
    <t>    print(f"{number:02d}. {workbook.name}")</t>
  </si>
  <si>
    <t>print("Status  : VALIDATED")</t>
  </si>
  <si>
    <t>print("Output  : Column Inventory")</t>
  </si>
  <si>
    <t>print("SteelTool_03 Complete")</t>
  </si>
  <si>
    <t>print("Mission : Open Health Workbooks")</t>
  </si>
  <si>
    <t>print("Output  : Workbook Inventory")</t>
  </si>
  <si>
    <t>print("SteelTool_01 Complete")</t>
  </si>
  <si>
    <t>SteelTool_05</t>
  </si>
  <si>
    <t>SteelTool_06</t>
  </si>
  <si>
    <t>print("Mission : Extract Health Data")</t>
  </si>
  <si>
    <t>print("Output  : Health CSV")</t>
  </si>
  <si>
    <t>print("SteelTool_05_Mission_Standardize_And_Validate_Health_CSV")</t>
  </si>
  <si>
    <t>print("SteelTool_06_Mission_Build_And_Import_Master_CSV")</t>
  </si>
  <si>
    <t>print("SteelTool_04 Complete")</t>
  </si>
  <si>
    <t># ----------------------------------------------------------</t>
  </si>
  <si>
    <t># Define Paths</t>
  </si>
  <si>
    <t>input_folder = project_folder / "02_Output"</t>
  </si>
  <si>
    <t>output_folder = project_folder / "03_Validated_Data"</t>
  </si>
  <si>
    <t>csv_files = sorted(input_folder.glob("*.csv"))</t>
  </si>
  <si>
    <t>input_folder = project_folder / "03_Validated_Data"</t>
  </si>
  <si>
    <t>output_folder = project_folder / "04_Master_Data"</t>
  </si>
  <si>
    <t>files_processed = 0</t>
  </si>
  <si>
    <t>files_created = 0</t>
  </si>
  <si>
    <t>errors = 0</t>
  </si>
  <si>
    <t>for csv_file in csv_files:</t>
  </si>
  <si>
    <t>master_data = []</t>
  </si>
  <si>
    <t>    print("\n----------------------------------------------------------")</t>
  </si>
  <si>
    <t>    print(f"CSV File : {csv_file.name}")</t>
  </si>
  <si>
    <t>files_imported = 0</t>
  </si>
  <si>
    <t>total_records = 0</t>
  </si>
  <si>
    <t>        data = pd.read_csv(csv_file)</t>
  </si>
  <si>
    <t>        rows_before = len(data)</t>
  </si>
  <si>
    <t>        cols_before = len(data.columns)</t>
  </si>
  <si>
    <t>    print(f"Importing : {csv_file.name}")</t>
  </si>
  <si>
    <t>        data = data.dropna(how="all")</t>
  </si>
  <si>
    <t>        data = data.dropna(axis=1, how="all")</t>
  </si>
  <si>
    <t>        data.columns = (</t>
  </si>
  <si>
    <t>        master_data.append(data)</t>
  </si>
  <si>
    <t>            data.columns</t>
  </si>
  <si>
    <t>                .astype(str)</t>
  </si>
  <si>
    <t>        files_imported += 1</t>
  </si>
  <si>
    <t>                .str.strip()</t>
  </si>
  <si>
    <t>        total_records += len(data)</t>
  </si>
  <si>
    <t>        )</t>
  </si>
  <si>
    <t>        print(f"Rows Imported : {len(data)}")</t>
  </si>
  <si>
    <t>        rows_after = len(data)</t>
  </si>
  <si>
    <t>        cols_after = len(data.columns)</t>
  </si>
  <si>
    <t>        output_file = output_folder / csv_file.name</t>
  </si>
  <si>
    <t>        print(f"ERROR : {error}")</t>
  </si>
  <si>
    <t>        errors += 1</t>
  </si>
  <si>
    <t>        data.to_csv(</t>
  </si>
  <si>
    <t>master_dataset = pd.concat(</t>
  </si>
  <si>
    <t>            output_file,</t>
  </si>
  <si>
    <t>    master_data,</t>
  </si>
  <si>
    <t>            index=False</t>
  </si>
  <si>
    <t>    ignore_index=True,</t>
  </si>
  <si>
    <t>    sort=False</t>
  </si>
  <si>
    <t>        print(f"Rows : {rows_before} -&gt; {rows_after}")</t>
  </si>
  <si>
    <t>        print(f"Columns : {cols_before} -&gt; {cols_after}")</t>
  </si>
  <si>
    <t>output_file = (</t>
  </si>
  <si>
    <t>        print("Status : VALIDATED")</t>
  </si>
  <si>
    <t>    output_folder</t>
  </si>
  <si>
    <t>    / "Master_Health_Dataset.csv"</t>
  </si>
  <si>
    <t>        files_processed += 1</t>
  </si>
  <si>
    <t>        files_created += 1</t>
  </si>
  <si>
    <t>master_dataset.to_csv(</t>
  </si>
  <si>
    <t>    output_file,</t>
  </si>
  <si>
    <t>    index=False</t>
  </si>
  <si>
    <t>print(f"CSV Files Found      : {len(csv_files)}")</t>
  </si>
  <si>
    <t>print(f"CSV Files Imported   : {files_imported}")</t>
  </si>
  <si>
    <t>print(f"CSV Files Processed  : {files_processed}")</t>
  </si>
  <si>
    <t>print(f"Master Records       : {total_records}")</t>
  </si>
  <si>
    <t>print(f"Validated CSV Files  : {files_created}")</t>
  </si>
  <si>
    <t>print(f"Errors               : {errors}")</t>
  </si>
  <si>
    <t>print("Mission : Build and Import Master CSV")</t>
  </si>
  <si>
    <t>print("Mission : Standardize and Validate Health CSV")</t>
  </si>
  <si>
    <t>print("Output  : Master_Health_Dataset.csv")</t>
  </si>
  <si>
    <t>print("Output  : Standardized CSV Files")</t>
  </si>
  <si>
    <t>print("SteelTool_05 Complete")</t>
  </si>
  <si>
    <t>print("SteelTool_06 Complete")</t>
  </si>
  <si>
    <t>Data Investigation 001</t>
  </si>
  <si>
    <t>Verify why Louisiana County Health Rankings files increase from 65 rows (2011–2019) to</t>
  </si>
  <si>
    <t xml:space="preserve">83 rows (2020–2025). Determine whether this reflects a County Health Rankings methodology </t>
  </si>
  <si>
    <t>change, additional geographic records, or a workbook structure change.</t>
  </si>
  <si>
    <t>Every Number Has a Story</t>
  </si>
  <si>
    <t>SteelTool_02_Mission_Discover_Worksheets</t>
  </si>
  <si>
    <t>SteelTool_03_Mission_Discover_Columns</t>
  </si>
  <si>
    <t>SteelTool_04_Mission_Extract_Health_Data</t>
  </si>
  <si>
    <t>SteelTool_05_Mission_Standardize_And_Validate_Health_CSV</t>
  </si>
  <si>
    <t>SteelTool_06_Mission_Build_And_Import_Master_CSV</t>
  </si>
  <si>
    <t>Sheets found in 2010 workbook: ['Outcomes &amp; Factors Rankings', 'Outcomes &amp; Factors SubRankings', 'Factors-Focus Area Rankings', 'Measure Data', 'Measure Sources and Years']</t>
  </si>
  <si>
    <t>Workbook : 2010 County Health Ranking Louisiana Data - v2.xls</t>
  </si>
  <si>
    <t>Project Folder : C:\Steel Analytics\01_Portfolio Projects\Health Tool Series</t>
  </si>
  <si>
    <t>------------------------------------------</t>
  </si>
  <si>
    <t>----------------------------------------------------------</t>
  </si>
  <si>
    <t>Workbook: 2010 County Health Ranking Louisiana Data - v2.xls</t>
  </si>
  <si>
    <t>Reading sheet: 'Measure Data'...</t>
  </si>
  <si>
    <t>CSV File : 2010 County Health Ranking Louisiana Data - v2_Raw.csv</t>
  </si>
  <si>
    <t>Importing : 2010 County Health Ranking Louisiana Data - v2_Raw.csv</t>
  </si>
  <si>
    <t xml:space="preserve">   1. Outcomes &amp; Factors Rankings</t>
  </si>
  <si>
    <t>Workbook : 2010 County Health Ranking Mississippi Data - v2.xls</t>
  </si>
  <si>
    <t>Rows : 66 -&gt; 66</t>
  </si>
  <si>
    <t>Rows Imported : 66</t>
  </si>
  <si>
    <t xml:space="preserve">   2. Outcomes &amp; Factors SubRankings</t>
  </si>
  <si>
    <t>Header detected: pandas header=1</t>
  </si>
  <si>
    <t>Columns : 127 -&gt; 123</t>
  </si>
  <si>
    <t xml:space="preserve">   3. Factors-Focus Area Rankings</t>
  </si>
  <si>
    <t>Status : VALIDATED</t>
  </si>
  <si>
    <t xml:space="preserve">   4. Measure Data</t>
  </si>
  <si>
    <t>First five rows:</t>
  </si>
  <si>
    <t>Workbook : 2011 County Health Ranking Louisiana Data - v4.xls</t>
  </si>
  <si>
    <t>Importing : 2010 County Health Ranking Mississippi Data - v2_Raw.csv</t>
  </si>
  <si>
    <t xml:space="preserve">   5. Measure Sources and Years</t>
  </si>
  <si>
    <t xml:space="preserve">      FIPS      State      County   Deaths  Aggregate Population  YPLL Rate  ...  % Healthy Food  Z-Score.27  Population.2  Liquor Stores  Liquor Store Rate  Z-Score.28</t>
  </si>
  <si>
    <t>Rows Imported : 84</t>
  </si>
  <si>
    <t>0  22000.0  Louisiana         NaN  64349.0            12482742.0    10806.6  ...       38.259669         NaN     4243634.0          172.0           0.405313         NaN</t>
  </si>
  <si>
    <t>CSV File : 2010 County Health Ranking Mississippi Data - v2_Raw.csv</t>
  </si>
  <si>
    <t>1  22001.0  Louisiana      Acadia   1015.0              166784.0    12483.0  ...       45.454545    0.284412       59745.0            NaN           0.000000   -0.784956</t>
  </si>
  <si>
    <t>Workbook : 2011 County Health Ranking Mississippi Data - v4.xls</t>
  </si>
  <si>
    <t>Rows : 84 -&gt; 84</t>
  </si>
  <si>
    <t>Workbook: 2010 County Health Ranking Mississippi Data - v2.xls</t>
  </si>
  <si>
    <t>2  22003.0  Louisiana       Allen    309.0               71359.0     8830.8  ...       37.500000   -0.182482       25567.0            1.0           0.391129   -0.022571</t>
  </si>
  <si>
    <t>Importing : 2011 County Health Ranking Louisiana Data - v4_Raw.csv</t>
  </si>
  <si>
    <t>Raw Data Folder: C:\Steel Analytics\01_Portfolio Projects\Health Tool Series\00_Raw Data</t>
  </si>
  <si>
    <t>3  22005.0  Louisiana   Ascension    990.0              261418.0     9027.3  ...       36.363636   -0.249181       95449.0            6.0           0.628608    0.440320</t>
  </si>
  <si>
    <t>Rows Imported : 65</t>
  </si>
  <si>
    <t>4  22007.0  Louisiana  Assumption    303.0               65293.0     9693.9  ...       66.666667    1.529461       23065.0            NaN           0.000000   -0.784956</t>
  </si>
  <si>
    <t>Workbook : 2012 County Health Ranking Louisiana Data - v4.xls</t>
  </si>
  <si>
    <t>Raw Data folder located successfully.</t>
  </si>
  <si>
    <t>[5 rows x 127 columns]</t>
  </si>
  <si>
    <t>CSV File : 2011 County Health Ranking Louisiana Data - v4_Raw.csv</t>
  </si>
  <si>
    <t>Importing : 2011 County Health Ranking Mississippi Data - v4_Raw.csv</t>
  </si>
  <si>
    <t>Found 32 workbook(s).</t>
  </si>
  <si>
    <t>Workbook : 2012 County Health Ranking Mississippi Data - v4_0.xls</t>
  </si>
  <si>
    <t>Rows : 65 -&gt; 65</t>
  </si>
  <si>
    <t>Rows Imported : 83</t>
  </si>
  <si>
    <t>Columns found:</t>
  </si>
  <si>
    <t>Columns : 7 -&gt; 7</t>
  </si>
  <si>
    <t>1. FIPS</t>
  </si>
  <si>
    <t>Workbook Inventory</t>
  </si>
  <si>
    <t>Workbook: 2011 County Health Ranking Louisiana Data - v4.xls</t>
  </si>
  <si>
    <t>2. State</t>
  </si>
  <si>
    <t>Workbook : 2013 County Health Ranking Louisiana Data - v1_0.xls</t>
  </si>
  <si>
    <t>Importing : 2012 County Health Ranking Louisiana Data - v4_Raw.csv</t>
  </si>
  <si>
    <t xml:space="preserve">   1. Introduction</t>
  </si>
  <si>
    <t>3. County</t>
  </si>
  <si>
    <t>01. 2010 County Health Ranking Louisiana Data - v2.xls</t>
  </si>
  <si>
    <t xml:space="preserve">   2. Outcomes &amp; Factors Rankings</t>
  </si>
  <si>
    <t>4. Deaths</t>
  </si>
  <si>
    <t>CSV File : 2011 County Health Ranking Mississippi Data - v4_Raw.csv</t>
  </si>
  <si>
    <t>02. 2010 County Health Ranking Mississippi Data - v2.xls</t>
  </si>
  <si>
    <t xml:space="preserve">   3. Outcomes &amp; Factors SubRankings</t>
  </si>
  <si>
    <t>5. Aggregate Population</t>
  </si>
  <si>
    <t>Workbook : 2013 County Health Ranking Mississippi Data - v1_0.xls</t>
  </si>
  <si>
    <t>Rows : 83 -&gt; 83</t>
  </si>
  <si>
    <t>03. 2011 County Health Ranking Louisiana Data - v4.xls</t>
  </si>
  <si>
    <t xml:space="preserve">   4. Ranked Measure Data</t>
  </si>
  <si>
    <t>6. YPLL Rate</t>
  </si>
  <si>
    <t>Importing : 2012 County Health Ranking Mississippi Data - v4_0_Raw.csv</t>
  </si>
  <si>
    <t>04. 2011 County Health Ranking Mississippi Data - v4.xls</t>
  </si>
  <si>
    <t xml:space="preserve">   5. Additional Measure Data</t>
  </si>
  <si>
    <t>7. 95% CI - Low</t>
  </si>
  <si>
    <t>05. 2012 County Health Ranking Louisiana Data - v4.xls</t>
  </si>
  <si>
    <t xml:space="preserve">   6. Ranked Measure Sources &amp; Years</t>
  </si>
  <si>
    <t>8. 95% CI - High</t>
  </si>
  <si>
    <t>Workbook : 2014 County Health Rankings Louisiana Data - v6.xls</t>
  </si>
  <si>
    <t>06. 2012 County Health Ranking Mississippi Data - v4_0.xls</t>
  </si>
  <si>
    <t xml:space="preserve">   7. Addtl Measure Sources &amp; Years</t>
  </si>
  <si>
    <t>9. Z-Score</t>
  </si>
  <si>
    <t>07. 2013 County Health Ranking Louisiana Data - v1_0.xls</t>
  </si>
  <si>
    <t>10. Sample Size</t>
  </si>
  <si>
    <t>CSV File : 2012 County Health Ranking Louisiana Data - v4_Raw.csv</t>
  </si>
  <si>
    <t>Importing : 2013 County Health Ranking Louisiana Data - v1_0_Raw.csv</t>
  </si>
  <si>
    <t>08. 2013 County Health Ranking Mississippi Data - v1_0.xls</t>
  </si>
  <si>
    <t>11. % Fair/Poor</t>
  </si>
  <si>
    <t>Workbook : 2014 County Health Rankings Mississippi Data - v6.xls</t>
  </si>
  <si>
    <t>09. 2014 County Health Rankings Louisiana Data - v6.xls</t>
  </si>
  <si>
    <t>Workbook: 2011 County Health Ranking Mississippi Data - v4.xls</t>
  </si>
  <si>
    <t>12. 95% CI - Low.1</t>
  </si>
  <si>
    <t>10. 2014 County Health Rankings Mississippi Data - v6.xls</t>
  </si>
  <si>
    <t>13. 95% CI - High.1</t>
  </si>
  <si>
    <t>11. 2015 County Health Rankings Louisiana Data - v3.xls</t>
  </si>
  <si>
    <t>14. Z-Score.1</t>
  </si>
  <si>
    <t>Workbook : 2015 County Health Rankings Louisiana Data - v3.xls</t>
  </si>
  <si>
    <t>Importing : 2013 County Health Ranking Mississippi Data - v1_0_Raw.csv</t>
  </si>
  <si>
    <t>12. 2015 County Health Rankings Mississippi Data - v3.xls</t>
  </si>
  <si>
    <t>15. Sample Size.1</t>
  </si>
  <si>
    <t>13. 2016 County Health Rankings Louisiana Data - v3.xls</t>
  </si>
  <si>
    <t>16. Physically Unhealthy Days</t>
  </si>
  <si>
    <t>Tool 01 — locate workbooks</t>
  </si>
  <si>
    <t>CSV File : 2012 County Health Ranking Mississippi Data - v4_0_Raw.csv</t>
  </si>
  <si>
    <t>14. 2016 County Health Rankings Mississippi Data - v3.xls</t>
  </si>
  <si>
    <t>17. 95% CI - Low.2</t>
  </si>
  <si>
    <t>Tool 02 — discover worksheets</t>
  </si>
  <si>
    <t>Workbook : 2015 County Health Rankings Mississippi Data - v3.xls</t>
  </si>
  <si>
    <t>15. 2017 County Health Rankings Louisiana Data - v2.xls</t>
  </si>
  <si>
    <t>18. 95% CI - High.2</t>
  </si>
  <si>
    <t>Tool 03 — discover columns</t>
  </si>
  <si>
    <t>Importing : 2014 County Health Rankings Louisiana Data - v6_Raw.csv</t>
  </si>
  <si>
    <t>16. 2017 County Health Rankings Mississippi Data - v2.xls</t>
  </si>
  <si>
    <t>19. Z-Score.2</t>
  </si>
  <si>
    <t>Tool 04 — extract data to CSV</t>
  </si>
  <si>
    <t>17. 2018 County Health Rankings Louisiana Data - v3.xls</t>
  </si>
  <si>
    <t>20. Sample Size.2</t>
  </si>
  <si>
    <t>Tool 05 — standardize/validate CSVs</t>
  </si>
  <si>
    <t>Workbook : 2016 County Health Rankings Louisiana Data - v3.xls</t>
  </si>
  <si>
    <t>18. 2018 County Health Rankings Mississippi Data - v3.xls</t>
  </si>
  <si>
    <t>21. Mentally Unhealthy Days</t>
  </si>
  <si>
    <t>Tool 06 — build/import SQL</t>
  </si>
  <si>
    <t>19. 2019 County Health Rankings Louisiana Data - v1_0.xls</t>
  </si>
  <si>
    <t>Workbook: 2012 County Health Ranking Louisiana Data - v4.xls</t>
  </si>
  <si>
    <t>22. 95% CI - Low.3</t>
  </si>
  <si>
    <t>Tool 07 — final validation</t>
  </si>
  <si>
    <t>CSV File : 2013 County Health Ranking Louisiana Data - v1_0_Raw.csv</t>
  </si>
  <si>
    <t>Importing : 2014 County Health Rankings Mississippi Data - v6_Raw.csv</t>
  </si>
  <si>
    <t>20. 2019 County Health Rankings Mississippi Data - v1_0.xls</t>
  </si>
  <si>
    <t>23. 95% CI - High.3</t>
  </si>
  <si>
    <t>Workbook : 2016 County Health Rankings Mississippi Data - v3.xls</t>
  </si>
  <si>
    <t>21. 2020 County Health Rankings Louisiana Data - v1_0.xlsx</t>
  </si>
  <si>
    <t>24. Z-Score.3</t>
  </si>
  <si>
    <t>22. 2020 County Health Rankings Mississippi Data - v1_0.xlsx</t>
  </si>
  <si>
    <t>25. Sample Size.3</t>
  </si>
  <si>
    <t>23. 2021 County Health Rankings Louisiana Data - v1.xlsx</t>
  </si>
  <si>
    <t>26. % LBW</t>
  </si>
  <si>
    <t>Workbook : 2017 County Health Rankings Louisiana Data - v2.xls</t>
  </si>
  <si>
    <t>Importing : 2015 County Health Rankings Louisiana Data - v3_Raw.csv</t>
  </si>
  <si>
    <t>24. 2021 County Health Rankings Mississippi Data - v1_0.xlsx</t>
  </si>
  <si>
    <t>27. 95% CI - Low.4</t>
  </si>
  <si>
    <t>25. 2022 County Health Rankings Louisiana Data - v1.xlsx</t>
  </si>
  <si>
    <t>28. 95% CI - High.4</t>
  </si>
  <si>
    <t>CSV File : 2013 County Health Ranking Mississippi Data - v1_0_Raw.csv</t>
  </si>
  <si>
    <t>26. 2022 County Health Rankings Mississippi Data - v2.xlsx</t>
  </si>
  <si>
    <t>29. Z-Score.4</t>
  </si>
  <si>
    <t>Workbook : 2017 County Health Rankings Mississippi Data - v2.xls</t>
  </si>
  <si>
    <t>27. 2023 County Health Rankings Louisiana Data - v2.xlsx</t>
  </si>
  <si>
    <t>30. Sample Size.4</t>
  </si>
  <si>
    <t>Importing : 2015 County Health Rankings Mississippi Data - v3_Raw.csv</t>
  </si>
  <si>
    <t>28. 2023 County Health Rankings Mississippi Data - v3.xlsx</t>
  </si>
  <si>
    <t>31. % Smokers</t>
  </si>
  <si>
    <t>29. 2024 County Health Rankings Louisiana Data - v2.xlsx</t>
  </si>
  <si>
    <t>Workbook: 2012 County Health Ranking Mississippi Data - v4_0.xls</t>
  </si>
  <si>
    <t>32. 95% CI - Low.5</t>
  </si>
  <si>
    <t>Workbook : 2018 County Health Rankings Louisiana Data - v3.xls</t>
  </si>
  <si>
    <t>30. 2024 County Health Rankings Mississippi Data - v2.xlsx</t>
  </si>
  <si>
    <t>33. 95% CI - High.5</t>
  </si>
  <si>
    <t>31. 2025 County Health Rankings Louisiana Data - v3.xlsx</t>
  </si>
  <si>
    <t>34. Z-Score.5</t>
  </si>
  <si>
    <t>CSV File : 2014 County Health Rankings Louisiana Data - v6_Raw.csv</t>
  </si>
  <si>
    <t>Importing : 2016 County Health Rankings Louisiana Data - v3_Raw.csv</t>
  </si>
  <si>
    <t>32. 2025 County Health Rankings Mississippi Data - v3.xlsx</t>
  </si>
  <si>
    <t>35. % Obese</t>
  </si>
  <si>
    <t>Workbook : 2018 County Health Rankings Mississippi Data - v3.xls</t>
  </si>
  <si>
    <t>36. 95% CI - Low.6</t>
  </si>
  <si>
    <t>37. 95% CI - High.6</t>
  </si>
  <si>
    <t>Mission Complete</t>
  </si>
  <si>
    <t>38. Z-Score.6</t>
  </si>
  <si>
    <t>Workbook : 2019 County Health Rankings Louisiana Data - v1_0.xls</t>
  </si>
  <si>
    <t>Importing : 2016 County Health Rankings Mississippi Data - v3_Raw.csv</t>
  </si>
  <si>
    <t>39. Sample Size.5</t>
  </si>
  <si>
    <t>Mission : Open Health Workbooks</t>
  </si>
  <si>
    <t>40. % Binge Drinking</t>
  </si>
  <si>
    <t>CSV File : 2014 County Health Rankings Mississippi Data - v6_Raw.csv</t>
  </si>
  <si>
    <t>Status  : VALIDATED</t>
  </si>
  <si>
    <t>41. 95% CI - Low.7</t>
  </si>
  <si>
    <t>Workbook : 2019 County Health Rankings Mississippi Data - v1_0.xls</t>
  </si>
  <si>
    <t>Output  : Workbook Inventory</t>
  </si>
  <si>
    <t>Workbook: 2013 County Health Ranking Louisiana Data - v1_0.xls</t>
  </si>
  <si>
    <t>42. 95% CI - High.7</t>
  </si>
  <si>
    <t>Importing : 2017 County Health Rankings Louisiana Data - v2_Raw.csv</t>
  </si>
  <si>
    <t>43. Z-Score.7</t>
  </si>
  <si>
    <t>44. MV mortality rate</t>
  </si>
  <si>
    <t>Workbook : 2020 County Health Rankings Louisiana Data - v1_0.xlsx</t>
  </si>
  <si>
    <t>45. 95% CI - Low.8</t>
  </si>
  <si>
    <t xml:space="preserve">   4. Factors-Focus Area Rankings</t>
  </si>
  <si>
    <t>46. 95% CI - High.8</t>
  </si>
  <si>
    <t>CSV File : 2015 County Health Rankings Louisiana Data - v3_Raw.csv</t>
  </si>
  <si>
    <t>Importing : 2017 County Health Rankings Mississippi Data - v2_Raw.csv</t>
  </si>
  <si>
    <t xml:space="preserve">   5. Ranked Measure Data</t>
  </si>
  <si>
    <t>47. Z-Score.8</t>
  </si>
  <si>
    <t>Workbook : 2020 County Health Rankings Mississippi Data - v1_0.xlsx</t>
  </si>
  <si>
    <t xml:space="preserve">   6. Additional Measure Data</t>
  </si>
  <si>
    <t>48. Cases</t>
  </si>
  <si>
    <t xml:space="preserve">   7. Ranked Measure Sources &amp; Years</t>
  </si>
  <si>
    <t>49. Population</t>
  </si>
  <si>
    <t xml:space="preserve">   8. Addtl Measure Sources &amp; Years</t>
  </si>
  <si>
    <t>50. Rates per 100,000</t>
  </si>
  <si>
    <t>Workbook : 2021 County Health Rankings Louisiana Data - v1.xlsx</t>
  </si>
  <si>
    <t>Importing : 2018 County Health Rankings Louisiana Data - v3_Raw.csv</t>
  </si>
  <si>
    <t>51. Z-Score.9</t>
  </si>
  <si>
    <t xml:space="preserve">52. Teen Births </t>
  </si>
  <si>
    <t>CSV File : 2015 County Health Rankings Mississippi Data - v3_Raw.csv</t>
  </si>
  <si>
    <t>Workbook: 2013 County Health Ranking Mississippi Data - v1_0.xls</t>
  </si>
  <si>
    <t>53. Teen Birth Rate</t>
  </si>
  <si>
    <t>Workbook : 2021 County Health Rankings Mississippi Data - v1_0.xlsx</t>
  </si>
  <si>
    <t>54. 95% CI - Low.9</t>
  </si>
  <si>
    <t>Importing : 2018 County Health Rankings Mississippi Data - v3_Raw.csv</t>
  </si>
  <si>
    <t>55. 95% CI - High.9</t>
  </si>
  <si>
    <t>56. Z-Score.10</t>
  </si>
  <si>
    <t>Workbook : 2022 County Health Rankings Louisiana Data - v1.xlsx</t>
  </si>
  <si>
    <t>57. % Uninsured</t>
  </si>
  <si>
    <t>58. 95% CI - Low.10</t>
  </si>
  <si>
    <t>CSV File : 2016 County Health Rankings Louisiana Data - v3_Raw.csv</t>
  </si>
  <si>
    <t>Importing : 2019 County Health Rankings Louisiana Data - v1_0_Raw.csv</t>
  </si>
  <si>
    <t>59. 95% CI - High.10</t>
  </si>
  <si>
    <t>Workbook : 2022 County Health Rankings Mississippi Data - v2.xlsx</t>
  </si>
  <si>
    <t>60. Z-Score.11</t>
  </si>
  <si>
    <t>61. PCP No</t>
  </si>
  <si>
    <t>62. PCP Rate</t>
  </si>
  <si>
    <t>Workbook : 2023 County Health Rankings Louisiana Data - v2.xlsx</t>
  </si>
  <si>
    <t>Importing : 2019 County Health Rankings Mississippi Data - v1_0_Raw.csv</t>
  </si>
  <si>
    <t>63. Population.1</t>
  </si>
  <si>
    <t>Workbook: 2014 County Health Rankings Louisiana Data - v6.xls</t>
  </si>
  <si>
    <t>64. PCP No.1</t>
  </si>
  <si>
    <t>CSV File : 2016 County Health Rankings Mississippi Data - v3_Raw.csv</t>
  </si>
  <si>
    <t>65. PCP Rate.1</t>
  </si>
  <si>
    <t>Workbook : 2023 County Health Rankings Mississippi Data - v3.xlsx</t>
  </si>
  <si>
    <t>66. Z-Score.12</t>
  </si>
  <si>
    <t>Importing : 2020 County Health Rankings Louisiana Data - v1_0_Raw.csv</t>
  </si>
  <si>
    <t>67. No of Medicare enrollees</t>
  </si>
  <si>
    <t>68. ACSC Rate</t>
  </si>
  <si>
    <t>Workbook : 2024 County Health Rankings Louisiana Data - v2.xlsx</t>
  </si>
  <si>
    <t>69. 95% CI - Low.11</t>
  </si>
  <si>
    <t>70. 95% CI - High.11</t>
  </si>
  <si>
    <t>CSV File : 2017 County Health Rankings Louisiana Data - v2_Raw.csv</t>
  </si>
  <si>
    <t>Importing : 2020 County Health Rankings Mississippi Data - v1_0_Raw.csv</t>
  </si>
  <si>
    <t>71. Z-Score.13</t>
  </si>
  <si>
    <t>Workbook : 2024 County Health Rankings Mississippi Data - v2.xlsx</t>
  </si>
  <si>
    <t>72. No of Diabetics</t>
  </si>
  <si>
    <t>73. % HbA1c</t>
  </si>
  <si>
    <t>Workbook: 2014 County Health Rankings Mississippi Data - v6.xls</t>
  </si>
  <si>
    <t>74. 95% CI - Low.12</t>
  </si>
  <si>
    <t>Workbook : 2025 County Health Rankings Louisiana Data - v3.xlsx</t>
  </si>
  <si>
    <t>Importing : 2021 County Health Rankings Louisiana Data - v1_Raw.csv</t>
  </si>
  <si>
    <t>75. 95% CI - High.12</t>
  </si>
  <si>
    <t>76. Z-Score.14</t>
  </si>
  <si>
    <t>CSV File : 2017 County Health Rankings Mississippi Data - v2_Raw.csv</t>
  </si>
  <si>
    <t>77. % Hospice Use</t>
  </si>
  <si>
    <t>Workbook : 2025 County Health Rankings Mississippi Data - v3.xlsx</t>
  </si>
  <si>
    <t>78. 95% CI - Low.13</t>
  </si>
  <si>
    <t>Importing : 2021 County Health Rankings Mississippi Data - v1_0_Raw.csv</t>
  </si>
  <si>
    <t>79. 95% CI - High.13</t>
  </si>
  <si>
    <t>80. Z-Score.15</t>
  </si>
  <si>
    <t>Sheets found in 2025 County Health Rankings Mississippi Data - v3.xlsx:</t>
  </si>
  <si>
    <t>81. Enrollment</t>
  </si>
  <si>
    <t>['Introduction', 'Select Measure Data', 'Select Measure Sources &amp; Years', 'Additional Measure Data', 'Addtl Measure Sources &amp; Years', 'Health Groups']</t>
  </si>
  <si>
    <t>82. Diplomas</t>
  </si>
  <si>
    <t>CSV File : 2018 County Health Rankings Louisiana Data - v3_Raw.csv</t>
  </si>
  <si>
    <t>Importing : 2022 County Health Rankings Louisiana Data - v1_Raw.csv</t>
  </si>
  <si>
    <t>83. AFGR</t>
  </si>
  <si>
    <t>Reading sheet: 'Select Measure Data'...</t>
  </si>
  <si>
    <t>Workbook: 2015 County Health Rankings Louisiana Data - v3.xls</t>
  </si>
  <si>
    <t>84. Z-Score.16</t>
  </si>
  <si>
    <t>85. % College</t>
  </si>
  <si>
    <t>86. 95% CI - Low.14</t>
  </si>
  <si>
    <t>Importing : 2022 County Health Rankings Mississippi Data - v2_Raw.csv</t>
  </si>
  <si>
    <t>87. 95% CI - High.14</t>
  </si>
  <si>
    <t>88. Z-Score.17</t>
  </si>
  <si>
    <t xml:space="preserve">    FIPS        State  County Unreliable  ...  Social Association Rate  National Z-Score.27  % Household Income Required for Child Care Expenses  National Z-Score.28</t>
  </si>
  <si>
    <t>CSV File : 2018 County Health Rankings Mississippi Data - v3_Raw.csv</t>
  </si>
  <si>
    <t>89. % unemployed</t>
  </si>
  <si>
    <t>0  28000  Mississippi     NaN        NaN  ...                12.523567                  NaN                                          25.486808                    NaN</t>
  </si>
  <si>
    <t>90. 95% CI - Low.15</t>
  </si>
  <si>
    <t>1  28001  Mississippi   Adams        NaN  ...                14.784568            -0.582920                                          27.286245              -0.183554</t>
  </si>
  <si>
    <t>Importing : 2023 County Health Rankings Louisiana Data - v2_Raw.csv</t>
  </si>
  <si>
    <t>91. 95% CI - High.15</t>
  </si>
  <si>
    <t>2  28003  Mississippi  Alcorn        NaN  ...                 9.355631             0.368811                                          24.892907              -0.525257</t>
  </si>
  <si>
    <t xml:space="preserve">   8. Sheet1</t>
  </si>
  <si>
    <t>92. Z-Score.18</t>
  </si>
  <si>
    <t>3  28005  Mississippi   Amite        NaN  ...                14.264205            -0.491696                                          26.329487              -0.320153</t>
  </si>
  <si>
    <t>93. % Children in Poverty</t>
  </si>
  <si>
    <t>4  28007  Mississippi  Attala        NaN  ...                13.136101            -0.293932                                          23.505602              -0.723325</t>
  </si>
  <si>
    <t>94. 95% CI - Low.16</t>
  </si>
  <si>
    <t>CSV File : 2019 County Health Rankings Louisiana Data - v1_0_Raw.csv</t>
  </si>
  <si>
    <t>Importing : 2023 County Health Rankings Mississippi Data - v3_Raw.csv</t>
  </si>
  <si>
    <t>Workbook: 2015 County Health Rankings Mississippi Data - v3.xls</t>
  </si>
  <si>
    <t>95. 95% CI - High.16</t>
  </si>
  <si>
    <t>[5 rows x 225 columns]</t>
  </si>
  <si>
    <t>96. Z-Score.19</t>
  </si>
  <si>
    <t>97. GINI</t>
  </si>
  <si>
    <t>98. Z-Score.20</t>
  </si>
  <si>
    <t>Importing : 2024 County Health Rankings Louisiana Data - v2_Raw.csv</t>
  </si>
  <si>
    <t>99. Sample Size.6</t>
  </si>
  <si>
    <t>100. % No Social-Emotional Support</t>
  </si>
  <si>
    <t>CSV File : 2019 County Health Rankings Mississippi Data - v1_0_Raw.csv</t>
  </si>
  <si>
    <t>101. 95% CI - Low.17</t>
  </si>
  <si>
    <t>4. Unreliable</t>
  </si>
  <si>
    <t>102. 95% CI - High.17</t>
  </si>
  <si>
    <t>5. Deaths</t>
  </si>
  <si>
    <t>Importing : 2024 County Health Rankings Mississippi Data - v2_Raw.csv</t>
  </si>
  <si>
    <t>103. Z-Score.21</t>
  </si>
  <si>
    <t>6. Years of Potential Life Lost Rate</t>
  </si>
  <si>
    <t>104. % Single-Parent Households</t>
  </si>
  <si>
    <t>105. 95% CI - Low.18</t>
  </si>
  <si>
    <t>Workbook: 2016 County Health Rankings Louisiana Data - v3.xls</t>
  </si>
  <si>
    <t>106. 95% CI - High.18</t>
  </si>
  <si>
    <t>9. National Z-Score</t>
  </si>
  <si>
    <t>CSV File : 2020 County Health Rankings Louisiana Data - v1_0_Raw.csv</t>
  </si>
  <si>
    <t>Importing : 2025 County Health Rankings Louisiana Data - v3_Raw.csv</t>
  </si>
  <si>
    <t>107. Z-Score.22</t>
  </si>
  <si>
    <t>10. YPLL Rate (Hispanic (all races))</t>
  </si>
  <si>
    <t>108. Aggregate Population.1</t>
  </si>
  <si>
    <t>11. YPLL Rate (Hispanic (all races)) 95% CI - Low</t>
  </si>
  <si>
    <t>109. Violent Crimes</t>
  </si>
  <si>
    <t>12. YPLL Rate (Hispanic (all races)) 95% CI - High</t>
  </si>
  <si>
    <t>110. Violent Crime Rate</t>
  </si>
  <si>
    <t>13. YPLL Rate (Hispanic (all races)) Unreliable</t>
  </si>
  <si>
    <t>Importing : 2025 County Health Rankings Mississippi Data - v3_Raw.csv</t>
  </si>
  <si>
    <t>111. Z-Score.23</t>
  </si>
  <si>
    <t>14. YPLL Rate (Non-Hispanic AIAN)</t>
  </si>
  <si>
    <t>112. Homicide Rate</t>
  </si>
  <si>
    <t>15. YPLL Rate (Non-Hispanic AIAN) 95% CI - Low</t>
  </si>
  <si>
    <t>CSV File : 2020 County Health Rankings Mississippi Data - v1_0_Raw.csv</t>
  </si>
  <si>
    <t>113. 95% CI - Low.19</t>
  </si>
  <si>
    <t>16. YPLL Rate (Non-Hispanic AIAN) 95% CI - High</t>
  </si>
  <si>
    <t>114. 95% CI - High.19</t>
  </si>
  <si>
    <t>17. YPLL Rate (Non-Hispanic AIAN) Unreliable</t>
  </si>
  <si>
    <t>Validation Summary</t>
  </si>
  <si>
    <t>115. Z-Score.24</t>
  </si>
  <si>
    <t>18. YPLL Rate (Non-Hispanic Asian)</t>
  </si>
  <si>
    <t>116. PM Days</t>
  </si>
  <si>
    <t>19. YPLL Rate (Non-Hispanic Asian) 95% CI - Low</t>
  </si>
  <si>
    <t>CSV Files Found      : 32</t>
  </si>
  <si>
    <t>Workbook: 2016 County Health Rankings Mississippi Data - v3.xls</t>
  </si>
  <si>
    <t>117. Z-Score.25</t>
  </si>
  <si>
    <t>20. YPLL Rate (Non-Hispanic Asian) 95% CI - High</t>
  </si>
  <si>
    <t>CSV Files Imported   : 32</t>
  </si>
  <si>
    <t>118. Ozone Days</t>
  </si>
  <si>
    <t>21. YPLL Rate (Non-Hispanic Asian) Unreliable</t>
  </si>
  <si>
    <t>CSV File : 2021 County Health Rankings Louisiana Data - v1_Raw.csv</t>
  </si>
  <si>
    <t>Master Records       : 2478</t>
  </si>
  <si>
    <t>119. Z-Score.26</t>
  </si>
  <si>
    <t>22. YPLL Rate (Non-Hispanic Black)</t>
  </si>
  <si>
    <t>Errors               : 0</t>
  </si>
  <si>
    <t>120. Zip Codes with Healthy Food</t>
  </si>
  <si>
    <t>23. YPLL Rate (Non-Hispanic Black) 95% CI - Low</t>
  </si>
  <si>
    <t>121. # Zip Codes</t>
  </si>
  <si>
    <t>24. YPLL Rate (Non-Hispanic Black) 95% CI - High</t>
  </si>
  <si>
    <t>122. % Healthy Food</t>
  </si>
  <si>
    <t>25. YPLL Rate (Non-Hispanic Black) Unreliable</t>
  </si>
  <si>
    <t>123. Z-Score.27</t>
  </si>
  <si>
    <t>26. YPLL Rate (Non-Hispanic Native Hawaiian and Other Pacific Islander)</t>
  </si>
  <si>
    <t>124. Population.2</t>
  </si>
  <si>
    <t>27. YPLL Rate (Non-Hispanic Native Hawaiian and Other Pacific Islander) 95% CI - Low</t>
  </si>
  <si>
    <t>CSV File : 2021 County Health Rankings Mississippi Data - v1_0_Raw.csv</t>
  </si>
  <si>
    <t>125. Liquor Stores</t>
  </si>
  <si>
    <t>28. YPLL Rate (Non-Hispanic Native Hawaiian and Other Pacific Islander) 95% CI - High</t>
  </si>
  <si>
    <t>Mission : Build and Import Master CSV</t>
  </si>
  <si>
    <t>126. Liquor Store Rate</t>
  </si>
  <si>
    <t>29. YPLL Rate (Non-Hispanic Native Hawaiian and Other Pacific Islander) Unreliable</t>
  </si>
  <si>
    <t>127. Z-Score.28</t>
  </si>
  <si>
    <t>30. YPLL Rate (Non-Hispanic 2+ races)</t>
  </si>
  <si>
    <t>Output  : Master_Health_Dataset.csv</t>
  </si>
  <si>
    <t>Workbook: 2017 County Health Rankings Louisiana Data - v2.xls</t>
  </si>
  <si>
    <t>31. YPLL Rate (Non-Hispanic 2+ races) 95% CI - Low</t>
  </si>
  <si>
    <t>Rows extracted: 66</t>
  </si>
  <si>
    <t>32. YPLL Rate (Non-Hispanic 2+ races) 95% CI - High</t>
  </si>
  <si>
    <t>SteelTool_06 Complete</t>
  </si>
  <si>
    <t>33. YPLL Rate (Non-Hispanic 2+ races) Unreliable</t>
  </si>
  <si>
    <t>CSV File : 2022 County Health Rankings Louisiana Data - v1_Raw.csv</t>
  </si>
  <si>
    <t>Saved successfully: C:\Steel Analytics\01_Portfolio Projects\Health Tool Series\02_Output\2010 County Health Ranking Louisiana Data - v2_Raw.csv</t>
  </si>
  <si>
    <t>34. YPLL Rate (Non-Hispanic White)</t>
  </si>
  <si>
    <t>35. YPLL Rate (Non-Hispanic White) 95% CI - Low</t>
  </si>
  <si>
    <t>36. YPLL Rate (Non-Hispanic White) 95% CI - High</t>
  </si>
  <si>
    <t>37. YPLL Rate (Non-Hispanic White) Unreliable</t>
  </si>
  <si>
    <t>38. Average Number of Physically Unhealthy Days</t>
  </si>
  <si>
    <t>Mission : Discover Columns</t>
  </si>
  <si>
    <t>39. 95% CI - Low.1</t>
  </si>
  <si>
    <t>CSV File : 2022 County Health Rankings Mississippi Data - v2_Raw.csv</t>
  </si>
  <si>
    <t>40. 95% CI - High.1</t>
  </si>
  <si>
    <t>Workbook: 2017 County Health Rankings Mississippi Data - v2.xls</t>
  </si>
  <si>
    <t>Output  : Column Inventory</t>
  </si>
  <si>
    <t>41. National Z-Score.1</t>
  </si>
  <si>
    <t>42. Unreliable.1</t>
  </si>
  <si>
    <t>43. % Low Birth Weight</t>
  </si>
  <si>
    <t>44. 95% CI - Low.2</t>
  </si>
  <si>
    <t>45. 95% CI - High.2</t>
  </si>
  <si>
    <t>CSV File : 2023 County Health Rankings Louisiana Data - v2_Raw.csv</t>
  </si>
  <si>
    <t>46. National Z-Score.2</t>
  </si>
  <si>
    <t>47. % LBW (Hispanic (all races))</t>
  </si>
  <si>
    <t>48. % LBW (Hispanic (all races)) 95% CI - Low</t>
  </si>
  <si>
    <t>49. % LBW (Hispanic (all races)) 95% CI - High</t>
  </si>
  <si>
    <t>50. % LBW (Non-Hispanic AIAN)</t>
  </si>
  <si>
    <t>Workbook: 2018 County Health Rankings Louisiana Data - v3.xls</t>
  </si>
  <si>
    <t>51. % LBW (Non-Hispanic AIAN) 95% CI - Low</t>
  </si>
  <si>
    <t>CSV File : 2023 County Health Rankings Mississippi Data - v3_Raw.csv</t>
  </si>
  <si>
    <t>52. % LBW (Non-Hispanic AIAN) 95% CI - High</t>
  </si>
  <si>
    <t>53. % LBW (Non-Hispanic Asian)</t>
  </si>
  <si>
    <t>54. % LBW (Non-Hispanic Asian) 95% CI - Low</t>
  </si>
  <si>
    <t>55. % LBW (Non-Hispanic Asian) 95% CI - High</t>
  </si>
  <si>
    <t>56. % LBW (Non-Hispanic Black)</t>
  </si>
  <si>
    <t>57. % LBW (Non-Hispanic Black) 95% CI - Low</t>
  </si>
  <si>
    <t>CSV File : 2024 County Health Rankings Louisiana Data - v2_Raw.csv</t>
  </si>
  <si>
    <t>58. % LBW (Non-Hispanic Black) 95% CI - High</t>
  </si>
  <si>
    <t>59. % LBW (Non-Hispanic Native Hawaiian and Other Pacific Islander)</t>
  </si>
  <si>
    <t>60. % LBW (Non-Hispanic Native Hawaiian and Other Pacific Islander) 95% CI - Low</t>
  </si>
  <si>
    <t>Workbook: 2018 County Health Rankings Mississippi Data - v3.xls</t>
  </si>
  <si>
    <t>61. % LBW (Non-Hispanic Native Hawaiian and Other Pacific Islander) 95% CI - High</t>
  </si>
  <si>
    <t>62. % LBW (Non-Hispanic 2+ races)</t>
  </si>
  <si>
    <t>63. % LBW (Non-Hispanic 2+ races) 95% CI - Low</t>
  </si>
  <si>
    <t>CSV File : 2024 County Health Rankings Mississippi Data - v2_Raw.csv</t>
  </si>
  <si>
    <t>64. % LBW (Non-Hispanic 2+ races) 95% CI - High</t>
  </si>
  <si>
    <t>65. % LBW (Non-Hispanic White)</t>
  </si>
  <si>
    <t>Columns : 272 -&gt; 244</t>
  </si>
  <si>
    <t>66. % LBW (Non-Hispanic White) 95% CI - Low</t>
  </si>
  <si>
    <t>67. % LBW (Non-Hispanic White) 95% CI - High</t>
  </si>
  <si>
    <t>68. Average Number of Mentally Unhealthy Days</t>
  </si>
  <si>
    <t>69. 95% CI - Low.3</t>
  </si>
  <si>
    <t>CSV File : 2025 County Health Rankings Louisiana Data - v3_Raw.csv</t>
  </si>
  <si>
    <t>70. 95% CI - High.3</t>
  </si>
  <si>
    <t>Workbook: 2019 County Health Rankings Louisiana Data - v1_0.xls</t>
  </si>
  <si>
    <t>71. National Z-Score.3</t>
  </si>
  <si>
    <t>72. % Fair or Poor Health</t>
  </si>
  <si>
    <t>73. 95% CI - Low.4</t>
  </si>
  <si>
    <t>74. 95% CI - High.4</t>
  </si>
  <si>
    <t>75. National Z-Score.4</t>
  </si>
  <si>
    <t>CSV File : 2025 County Health Rankings Mississippi Data - v3_Raw.csv</t>
  </si>
  <si>
    <t>76. % Vaccinated</t>
  </si>
  <si>
    <t>77. National Z-Score.5</t>
  </si>
  <si>
    <t>Columns : 225 -&gt; 202</t>
  </si>
  <si>
    <t>78. % Vaccinated (AIAN)</t>
  </si>
  <si>
    <t>79. % Vaccinated (Asian)</t>
  </si>
  <si>
    <t>80. % Vaccinated (Black)</t>
  </si>
  <si>
    <t>Workbook: 2019 County Health Rankings Mississippi Data - v1_0.xls</t>
  </si>
  <si>
    <t>81. % Vaccinated (Hispanic)</t>
  </si>
  <si>
    <t>82. % Vaccinated (White)</t>
  </si>
  <si>
    <t>83. % With Access to Exercise Opportunities</t>
  </si>
  <si>
    <t>84. National Z-Score.6</t>
  </si>
  <si>
    <t>CSV Files Processed  : 32</t>
  </si>
  <si>
    <t>85. Food Environment Index</t>
  </si>
  <si>
    <t>Validated CSV Files  : 32</t>
  </si>
  <si>
    <t>86. National Z-Score.7</t>
  </si>
  <si>
    <t>87. # Primary Care Physicians</t>
  </si>
  <si>
    <t>88. Primary Care Physicians Rate</t>
  </si>
  <si>
    <t>89. Primary Care Physicians Ratio</t>
  </si>
  <si>
    <t>90. National Z-Score.8</t>
  </si>
  <si>
    <t>Workbook: 2020 County Health Rankings Louisiana Data - v1_0.xlsx</t>
  </si>
  <si>
    <t>91. # Mental Health Providers</t>
  </si>
  <si>
    <t>92. Mental Health Provider Rate</t>
  </si>
  <si>
    <t>Mission : Standardize and Validate Health CSV</t>
  </si>
  <si>
    <t>93. Mental Health Provider Ratio</t>
  </si>
  <si>
    <t>94. National Z-Score.9</t>
  </si>
  <si>
    <t>Output  : Standardized CSV Files</t>
  </si>
  <si>
    <t>95. # Dentists</t>
  </si>
  <si>
    <t>96. Dentist Rate</t>
  </si>
  <si>
    <t>SteelTool_05 Complete</t>
  </si>
  <si>
    <t>97. Dentist Ratio</t>
  </si>
  <si>
    <t>98. National Z-Score.10</t>
  </si>
  <si>
    <t>99. Preventable Hospitalization Rate</t>
  </si>
  <si>
    <t>100. National Z-Score.11</t>
  </si>
  <si>
    <t>Workbook: 2020 County Health Rankings Mississippi Data - v1_0.xlsx</t>
  </si>
  <si>
    <t>101. Preventable Hosp. Rate (AIAN)</t>
  </si>
  <si>
    <t>102. Preventable Hosp. Rate (Asian)</t>
  </si>
  <si>
    <t>103. Preventable Hosp. Rate (Black)</t>
  </si>
  <si>
    <t>104. Preventable Hosp. Rate (Hispanic)</t>
  </si>
  <si>
    <t>105. Preventable Hosp. Rate (White)</t>
  </si>
  <si>
    <t>106. % with Annual Mammogram</t>
  </si>
  <si>
    <t>107. National Z-Score.12</t>
  </si>
  <si>
    <t>108. % Screened (AIAN)</t>
  </si>
  <si>
    <t>109. % Screened (Asian)</t>
  </si>
  <si>
    <t>110. % Screened (Black)</t>
  </si>
  <si>
    <t>Workbook: 2021 County Health Rankings Louisiana Data - v1.xlsx</t>
  </si>
  <si>
    <t>111. % Screened (Hispanic)</t>
  </si>
  <si>
    <t>112. % Screened (White)</t>
  </si>
  <si>
    <t>113. # Uninsured</t>
  </si>
  <si>
    <t>114. % Uninsured</t>
  </si>
  <si>
    <t>115. 95% CI - Low.5</t>
  </si>
  <si>
    <t>116. 95% CI - High.5</t>
  </si>
  <si>
    <t>117. National Z-Score.13</t>
  </si>
  <si>
    <t>118. % Severe Housing Problems</t>
  </si>
  <si>
    <t>119. 95% CI - Low.6</t>
  </si>
  <si>
    <t>120. 95% CI - High.6</t>
  </si>
  <si>
    <t>Workbook: 2021 County Health Rankings Mississippi Data - v1_0.xlsx</t>
  </si>
  <si>
    <t>121. Severe Housing Cost Burden</t>
  </si>
  <si>
    <t>122. Severe Housing Cost Burden 95% CI - Low</t>
  </si>
  <si>
    <t>123. Severe Housing Cost Burden 95% CI - High</t>
  </si>
  <si>
    <t>124. Overcrowding</t>
  </si>
  <si>
    <t>125. Overcrowding 95% CI - Low</t>
  </si>
  <si>
    <t>126. Overcrowding 95% CI - High</t>
  </si>
  <si>
    <t>127. Inadequate Facilities</t>
  </si>
  <si>
    <t>128. Inadequate Facilities 95% CI - Low</t>
  </si>
  <si>
    <t>129. Inadequate Facilities 95% CI - High</t>
  </si>
  <si>
    <t>130. National Z-Score.14</t>
  </si>
  <si>
    <t>Workbook: 2022 County Health Rankings Louisiana Data - v1.xlsx</t>
  </si>
  <si>
    <t>131. % Drive Alone to Work</t>
  </si>
  <si>
    <t>132. 95% CI - Low.7</t>
  </si>
  <si>
    <t>133. 95% CI - High.7</t>
  </si>
  <si>
    <t>134. National Z-Score.15</t>
  </si>
  <si>
    <t>135. % Drive Alone (AIAN)</t>
  </si>
  <si>
    <t>136. % Drive Alone (AIAN) 95% CI - Low</t>
  </si>
  <si>
    <t>137. % Drive Alone (AIAN) 95% CI - High</t>
  </si>
  <si>
    <t>138. % Drive Alone (Asian)</t>
  </si>
  <si>
    <t>139. % Drive Alone (Asian) 95% CI - Low</t>
  </si>
  <si>
    <t>140. % Drive Alone (Asian) 95% CI - High</t>
  </si>
  <si>
    <t>Workbook: 2022 County Health Rankings Mississippi Data - v2.xlsx</t>
  </si>
  <si>
    <t>141. % Drive Alone (Black)</t>
  </si>
  <si>
    <t>142. % Drive Alone (Black) 95% CI - Low</t>
  </si>
  <si>
    <t>143. % Drive Alone (Black) 95% CI - High</t>
  </si>
  <si>
    <t>144. % Drive Alone (Hispanic)</t>
  </si>
  <si>
    <t>145. % Drive Alone (Hispanic) 95% CI - Low</t>
  </si>
  <si>
    <t>146. % Drive Alone (Hispanic) 95% CI - High</t>
  </si>
  <si>
    <t>147. % Drive Alone (White)</t>
  </si>
  <si>
    <t>148. % Drive Alone (White) 95% CI - Low</t>
  </si>
  <si>
    <t>149. % Drive Alone (White) 95% CI - High</t>
  </si>
  <si>
    <t>150. # Workers who Drive Alone</t>
  </si>
  <si>
    <t>Workbook: 2023 County Health Rankings Louisiana Data - v2.xlsx</t>
  </si>
  <si>
    <t>151. % Long Commute - Drives Alone</t>
  </si>
  <si>
    <t>152. 95% CI - Low.8</t>
  </si>
  <si>
    <t>153. 95% CI - High.8</t>
  </si>
  <si>
    <t>154. National Z-Score.16</t>
  </si>
  <si>
    <t>155. Average Daily PM2.5</t>
  </si>
  <si>
    <t>156. National Z-Score.17</t>
  </si>
  <si>
    <t>157. Presence of Water Violation</t>
  </si>
  <si>
    <t>158. National Z-Score.18</t>
  </si>
  <si>
    <t>159. % Households with Broadband Access</t>
  </si>
  <si>
    <t>160. # Households with Broadband Access</t>
  </si>
  <si>
    <t>Workbook: 2023 County Health Rankings Mississippi Data - v3.xlsx</t>
  </si>
  <si>
    <t>161. 95% CI - Low.9</t>
  </si>
  <si>
    <t>162. 95% CI - High.9</t>
  </si>
  <si>
    <t>163. National Z-Score.19</t>
  </si>
  <si>
    <t>164. Visits per service area population</t>
  </si>
  <si>
    <t>165. National Z-Score.20</t>
  </si>
  <si>
    <t>166. # Some College</t>
  </si>
  <si>
    <t>167. Population</t>
  </si>
  <si>
    <t>168. % Some College</t>
  </si>
  <si>
    <t>169. 95% CI - Low.10</t>
  </si>
  <si>
    <t>170. 95% CI - High.10</t>
  </si>
  <si>
    <t>Workbook: 2024 County Health Rankings Louisiana Data - v2.xlsx</t>
  </si>
  <si>
    <t>171. National Z-Score.21</t>
  </si>
  <si>
    <t>172. # Completed High School</t>
  </si>
  <si>
    <t xml:space="preserve">   2. Select Measure Data</t>
  </si>
  <si>
    <t>173. Population.1</t>
  </si>
  <si>
    <t xml:space="preserve">   3. Select Measure Sources &amp; Years</t>
  </si>
  <si>
    <t>174. % Completed High School</t>
  </si>
  <si>
    <t xml:space="preserve">   4. Additional Measure Data</t>
  </si>
  <si>
    <t>175. 95% CI - Low.11</t>
  </si>
  <si>
    <t xml:space="preserve">   5. Addtl Measure Sources &amp; Years</t>
  </si>
  <si>
    <t>176. 95% CI - High.11</t>
  </si>
  <si>
    <t xml:space="preserve">   6. Health Outcomes &amp; Factors</t>
  </si>
  <si>
    <t>177. National Z-Score.22</t>
  </si>
  <si>
    <t>178. # Unemployed</t>
  </si>
  <si>
    <t>179. Labor Force</t>
  </si>
  <si>
    <t>Workbook: 2024 County Health Rankings Mississippi Data - v2.xlsx</t>
  </si>
  <si>
    <t>180. % Unemployed</t>
  </si>
  <si>
    <t>181. National Z-Score.23</t>
  </si>
  <si>
    <t>182. 80th Percentile Income</t>
  </si>
  <si>
    <t>183. 20th Percentile Income</t>
  </si>
  <si>
    <t>184. Income Ratio</t>
  </si>
  <si>
    <t>185. National Z-Score.24</t>
  </si>
  <si>
    <t>186. % Children in Poverty</t>
  </si>
  <si>
    <t>187. 95% CI - Low.12</t>
  </si>
  <si>
    <t>188. 95% CI - High.12</t>
  </si>
  <si>
    <t>Workbook: 2025 County Health Rankings Louisiana Data - v3.xlsx</t>
  </si>
  <si>
    <t>189. National Z-Score.25</t>
  </si>
  <si>
    <t>190. % Children in Poverty (AIAN)</t>
  </si>
  <si>
    <t>191. % Children in Poverty (Asian)</t>
  </si>
  <si>
    <t>192. % Children in Poverty (Black)</t>
  </si>
  <si>
    <t>193. % Children in Poverty (Hispanic)</t>
  </si>
  <si>
    <t>194. % Children in Poverty (White)</t>
  </si>
  <si>
    <t xml:space="preserve">   6. Health Groups</t>
  </si>
  <si>
    <t>195. # Injury Deaths</t>
  </si>
  <si>
    <t>196. Injury Death Rate</t>
  </si>
  <si>
    <t>197. 95% CI - Low.13</t>
  </si>
  <si>
    <t>Workbook: 2025 County Health Rankings Mississippi Data - v3.xlsx</t>
  </si>
  <si>
    <t>198. 95% CI - High.13</t>
  </si>
  <si>
    <t>199. National Z-Score.26</t>
  </si>
  <si>
    <t>200. Injury Death Rate (Hispanic (all races))</t>
  </si>
  <si>
    <t>201. Injury Death Rate (Hispanic (all races)) 95% CI - Low</t>
  </si>
  <si>
    <t>202. Injury Death Rate (Hispanic (all races)) 95% CI - High</t>
  </si>
  <si>
    <t>203. Injury Death Rate (Non-Hispanic AIAN)</t>
  </si>
  <si>
    <t>204. Injury Death Rate (Non-Hispanic AIAN) 95% CI - Low</t>
  </si>
  <si>
    <t>205. Injury Death Rate (Non-Hispanic AIAN) 95% CI - High</t>
  </si>
  <si>
    <t>206. Injury Death Rate (Non-Hispanic Asian)</t>
  </si>
  <si>
    <t>207. Injury Death Rate (Non-Hispanic Asian) 95% CI - Low</t>
  </si>
  <si>
    <t>208. Injury Death Rate (Non-Hispanic Asian) 95% CI - High</t>
  </si>
  <si>
    <t>Workbooks Opened : 32</t>
  </si>
  <si>
    <t>209. Injury Death Rate (Non-Hispanic Black)</t>
  </si>
  <si>
    <t>Worksheets Found : 222</t>
  </si>
  <si>
    <t>210. Injury Death Rate (Non-Hispanic Black) 95% CI - Low</t>
  </si>
  <si>
    <t>211. Injury Death Rate (Non-Hispanic Black) 95% CI - High</t>
  </si>
  <si>
    <t>SteelTool_02 Complete</t>
  </si>
  <si>
    <t>212. Injury Death Rate (Non-Hispanic Native Hawaiian and Other Pacific Islander)</t>
  </si>
  <si>
    <t>213. Injury Death Rate (Non-Hispanic Native Hawaiian and Other Pacific Islander) 95% CI - Low</t>
  </si>
  <si>
    <t>214. Injury Death Rate (Non-Hispanic Native Hawaiian and Other Pacific Islander) 95% CI - High</t>
  </si>
  <si>
    <t>215. Injury Death Rate (Non-Hispanic 2+ races)</t>
  </si>
  <si>
    <t>216. Injury Death Rate (Non-Hispanic 2+ races) 95% CI - Low</t>
  </si>
  <si>
    <t>217. Injury Death Rate (Non-Hispanic 2+ races) 95% CI - High</t>
  </si>
  <si>
    <t>218. Injury Death Rate (Non-Hispanic White)</t>
  </si>
  <si>
    <t>219. Injury Death Rate (Non-Hispanic White) 95% CI - Low</t>
  </si>
  <si>
    <t>220. Injury Death Rate (Non-Hispanic White) 95% CI - High</t>
  </si>
  <si>
    <t>221. # Associations</t>
  </si>
  <si>
    <t>222. Social Association Rate</t>
  </si>
  <si>
    <t>223. National Z-Score.27</t>
  </si>
  <si>
    <t>224. % Household Income Required for Child Care Expenses</t>
  </si>
  <si>
    <t>225. National Z-Score.28</t>
  </si>
  <si>
    <t>Rows extracted: 83</t>
  </si>
  <si>
    <t>Saved successfully: C:\Steel Analytics\01_Portfolio Projects\Health Tool Series\02_Output\2025 County Health Rankings Mississippi Data - v3_Raw.csv</t>
  </si>
  <si>
    <t>Mission : Extract Health Data</t>
  </si>
  <si>
    <t>Output  : Health CSV</t>
  </si>
  <si>
    <t>SteelTool_04 Complete</t>
  </si>
  <si>
    <t>Metric</t>
  </si>
  <si>
    <t>Source</t>
  </si>
  <si>
    <t>Definition</t>
  </si>
  <si>
    <t>Adult Obesity</t>
  </si>
  <si>
    <t>BRFSS</t>
  </si>
  <si>
    <t>Adult obesity prevalence (%)</t>
  </si>
  <si>
    <t xml:space="preserve"> Validated</t>
  </si>
  <si>
    <t>Uninsured Adults</t>
  </si>
  <si>
    <t>Percentage uninsured</t>
  </si>
  <si>
    <t>Frequent Mental Distress</t>
  </si>
  <si>
    <t>≥14 poor mental health days</t>
  </si>
  <si>
    <t>Binge Drinking</t>
  </si>
  <si>
    <t>Standard CDC definition</t>
  </si>
  <si>
    <t>CKD Prevalence</t>
  </si>
  <si>
    <t>CDC Wonder/ NCHS</t>
  </si>
  <si>
    <t>Chronic kidney disease prevalence</t>
  </si>
  <si>
    <t>Opioid Prescribing</t>
  </si>
  <si>
    <t>Archive.CDC.</t>
  </si>
  <si>
    <t>Prescriptions</t>
  </si>
  <si>
    <t>archive.cdc.gov/www_cdc_gov/drugoverdose/rxrate-maps</t>
  </si>
  <si>
    <t>Naloxone Dispensing</t>
  </si>
  <si>
    <t>IQVIA</t>
  </si>
  <si>
    <t>Retail naloxone</t>
  </si>
  <si>
    <t>Underlying cause</t>
  </si>
  <si>
    <t>Chronic Liver Disease Mortality</t>
  </si>
  <si>
    <t>CDI vs USDSS comparison</t>
  </si>
  <si>
    <t>1. What data are available?</t>
  </si>
  <si>
    <t>2. Which sources are authoritative and appropriate for this analysis?</t>
  </si>
  <si>
    <t>3. Which years are available for each metric?</t>
  </si>
  <si>
    <t>4. Which metrics are comparable across sources and years?</t>
  </si>
  <si>
    <t>5. How do units and definitions differ?</t>
  </si>
  <si>
    <t>6. How should the metrics be standardized?</t>
  </si>
  <si>
    <t>7. Which comparisons are analytically valid?</t>
  </si>
  <si>
    <t>8. Document limitations and data gaps transparently.</t>
  </si>
  <si>
    <t>file_path = r"C:\Steel Analytics\01_Portfolio Projects\Homelessness\00_Raw Data\BRFSS\2007\CDBRFS07.XPT"</t>
  </si>
  <si>
    <t>file_path = Path(</t>
  </si>
  <si>
    <t>    r""C:\Steel Analytics\01_Portfolio Projects\Homelessness\00_Raw Data\BRFSS\2008\CDBRFS08.XPT"</t>
  </si>
  <si>
    <t># Read the XPT file</t>
  </si>
  <si>
    <t>df = pd.read_sas(file_path)</t>
  </si>
  <si>
    <t>print("File exists:", file_path.exists())</t>
  </si>
  <si>
    <t># Show basic information</t>
  </si>
  <si>
    <t>print("File size:", file_path.stat().st_size if file_path.exists() else "Not found")</t>
  </si>
  <si>
    <t>print("Rows:", df.shape[0])</t>
  </si>
  <si>
    <t>print("Columns:", df.shape[1])</t>
  </si>
  <si>
    <t>df = pd.read_sas(file_path, format="xport")</t>
  </si>
  <si>
    <t>print("\nFirst 10 variables:")</t>
  </si>
  <si>
    <t>print(df.columns[:10])</t>
  </si>
  <si>
    <t>print(df.columns[:10].tolist())</t>
  </si>
  <si>
    <t>print(df.shape)</t>
  </si>
  <si>
    <t>print(df.head())</t>
  </si>
  <si>
    <t>for year in range(2007, 2025):</t>
  </si>
  <si>
    <r>
      <t>07-10:CDBRFS, 11-24 LLCP</t>
    </r>
    <r>
      <rPr>
        <b/>
        <sz val="11"/>
        <color rgb="FF4A2D75"/>
        <rFont val="Aptos"/>
        <family val="2"/>
      </rPr>
      <t>Year</t>
    </r>
    <r>
      <rPr>
        <b/>
        <sz val="11"/>
        <rFont val="Aptos"/>
        <family val="2"/>
      </rPr>
      <t>.XPT</t>
    </r>
  </si>
  <si>
    <t>2007- 2010 CBDRFS11.XPT</t>
  </si>
  <si>
    <t># -----------------------------------------------------</t>
  </si>
  <si>
    <t>Replace line 4  - 7 with print(df.columns.tolist())</t>
  </si>
  <si>
    <t># SteelTool_02_Build_Variable_Dictionary.py</t>
  </si>
  <si>
    <t>#</t>
  </si>
  <si>
    <t># Purpose:</t>
  </si>
  <si>
    <t># Build a BRFSS Variable Dictionary (2007–2024)</t>
  </si>
  <si>
    <t># Output:</t>
  </si>
  <si>
    <t># Variable Name</t>
  </si>
  <si>
    <t># Variable Label (if available)</t>
  </si>
  <si>
    <t>keywords = [</t>
  </si>
  <si>
    <t>    "MENT",</t>
  </si>
  <si>
    <t>    "DEPR",</t>
  </si>
  <si>
    <t>    "DIST",</t>
  </si>
  <si>
    <t>base_folder = Path(</t>
  </si>
  <si>
    <t>    "POOR",</t>
  </si>
  <si>
    <t>    r"C:\Steel Analytics\01_Portfolio Projects\Homelessness\00_Raw Data\BRFSS"</t>
  </si>
  <si>
    <t>    "INSUR",</t>
  </si>
  <si>
    <t>    "BMI",</t>
  </si>
  <si>
    <t>    "OBE",</t>
  </si>
  <si>
    <t>records = []</t>
  </si>
  <si>
    <t>Code to add from line 20 - 40 to cover any change of name</t>
  </si>
  <si>
    <t>    "KID",</t>
  </si>
  <si>
    <t>    "REN",</t>
  </si>
  <si>
    <t>    file_name = f"CDBRFS{str(year)[2:]}.XPT"</t>
  </si>
  <si>
    <t>    "DIAB",</t>
  </si>
  <si>
    <t>    file_path = base_folder / str(year) / file_name</t>
  </si>
  <si>
    <t>year_folder = base_folder / str(year)</t>
  </si>
  <si>
    <t>    "ALCO",</t>
  </si>
  <si>
    <t>xpt_files = list(year_folder.glob("*.XPT"))</t>
  </si>
  <si>
    <t>    "DRINK"</t>
  </si>
  <si>
    <t>    print(f"Opening {year}...")</t>
  </si>
  <si>
    <t>if not xpt_files:</t>
  </si>
  <si>
    <t>    if not file_path.exists():</t>
  </si>
  <si>
    <t>    print(f"❌ No XPT file found for {year}")</t>
  </si>
  <si>
    <t>for col in df.columns:</t>
  </si>
  <si>
    <t>        print(f"❌ Missing: {file_name}")</t>
  </si>
  <si>
    <t>    continue</t>
  </si>
  <si>
    <t>    upper = col.upper()</t>
  </si>
  <si>
    <t>        continue</t>
  </si>
  <si>
    <t>    if any(word in upper for word in keywords):</t>
  </si>
  <si>
    <t>file_path = xpt_files[0]</t>
  </si>
  <si>
    <t>        print(col)</t>
  </si>
  <si>
    <t>    df = pd.read_sas(file_path, format="xport")</t>
  </si>
  <si>
    <t>print(f"Opening {file_path.name}...")</t>
  </si>
  <si>
    <t>print(df["QLMENTL2"].value_counts(dropna=False))</t>
  </si>
  <si>
    <t>    for column in df.columns:</t>
  </si>
  <si>
    <t>        records.append({</t>
  </si>
  <si>
    <t>            "Year": year,</t>
  </si>
  <si>
    <t>            "Variable": column,</t>
  </si>
  <si>
    <t>            "Label": ""      # We'll fill this in next</t>
  </si>
  <si>
    <t>        })</t>
  </si>
  <si>
    <t>dictionary = pd.DataFrame(records)</t>
  </si>
  <si>
    <t>dictionary.to_excel(</t>
  </si>
  <si>
    <t>    "BRFSS_Variable_Dictionary.xlsx",</t>
  </si>
  <si>
    <t>print("Done!")</t>
  </si>
  <si>
    <t>print(dictionary.head())</t>
  </si>
  <si>
    <t>Extracted from the final saved PBIX. These are source expressions; this sheet does not evaluate DAX.</t>
  </si>
  <si>
    <t>Multi-year PIT cards add annual snapshots, not distinct people. Blank years for a demographic measure mean unavailable data.</t>
  </si>
  <si>
    <t>Model table</t>
  </si>
  <si>
    <t>Measure</t>
  </si>
  <si>
    <t>Exact DAX expression</t>
  </si>
  <si>
    <t>What it shows / interpretation</t>
  </si>
  <si>
    <t>Health_Master_Data</t>
  </si>
  <si>
    <t>Health Direction</t>
  </si>
  <si>
    <t>SWITCH(
    SELECTEDVALUE(Health_Master_Data[Display_Name]),
    "Naloxone Prescriptions", "Higher",
    "Lower"
)</t>
  </si>
  <si>
    <t>Interprets whether a higher or lower value is favorable for the selected indicator.</t>
  </si>
  <si>
    <t>Health Metric Value</t>
  </si>
  <si>
    <t>AVERAGE(Health_Master_Data[Metric_Value])</t>
  </si>
  <si>
    <t>Defined by the DAX expression and active report filters.</t>
  </si>
  <si>
    <t>LA Health Change</t>
  </si>
  <si>
    <t>[LA Health Value] - [LA Previous Health Value]</t>
  </si>
  <si>
    <t>Louisiana current health value minus its previous-year value.</t>
  </si>
  <si>
    <t>LA Health Status</t>
  </si>
  <si>
    <t>VAR ChangeValue = [LA Health Change]
VAR Direction = [Health Direction]
VAR Indicator =
    SELECTEDVALUE(Health_Master_Data[Display_Name])
RETURN
    SWITCH(
        TRUE(),
        ISBLANK(ChangeValue), BLANK(),
        Indicator = "Naloxone Prescriptions" &amp;&amp; ChangeValue &gt; 0,
            "Access Increased",
        Indicator = "Naloxone Prescriptions" &amp;&amp; ChangeValue &lt; 0,
            "Access Decreased",
        ChangeValue = 0,
            "No Change",
        Direction = "Lower" &amp;&amp; ChangeValue &lt; 0,
            "Improvement",
        Direction = "Lower" &amp;&amp; ChangeValue &gt; 0,
            "Worsening",
        Direction = "Higher" &amp;&amp; ChangeValue &gt; 0,
            "Improvement",
        Direction = "Higher" &amp;&amp; ChangeValue &lt; 0,
            "Worsening",
        "Context"
    )</t>
  </si>
  <si>
    <t>Interprets Louisiana change for the selected health indicator.</t>
  </si>
  <si>
    <t>LA Health Value</t>
  </si>
  <si>
    <t>CALCULATE(
    SELECTEDVALUE(Health_Master_Data[Metric_Value]),
    REMOVEFILTERS(Health_Master_Data[State]),
    Health_Master_Data[State] = "LA"
)</t>
  </si>
  <si>
    <t>LA Previous Health Value</t>
  </si>
  <si>
    <t>VAR SelectedYr = SELECTEDVALUE(Health_Master_Data[Year])
RETURN
    CALCULATE(
        SELECTEDVALUE(Health_Master_Data[Metric_Value]),
        REMOVEFILTERS(Health_Master_Data[Year]),
        REMOVEFILTERS(Health_Master_Data[State]),
        Health_Master_Data[State] = "LA",
        Health_Master_Data[Year] = SelectedYr - 1
    )</t>
  </si>
  <si>
    <t>Latest Health Value</t>
  </si>
  <si>
    <t>VAR LatestYear =
    MAX(Health_Master_Data[Year])
RETURN
    CALCULATE(
        AVERAGE(Health_Master_Data[Metric_Value]),
        Health_Master_Data[Year] = LatestYear
    )</t>
  </si>
  <si>
    <t>Latest Health Year</t>
  </si>
  <si>
    <t>MAX(Health_Master_Data[Year])</t>
  </si>
  <si>
    <t>MS Health Change</t>
  </si>
  <si>
    <t>[MS Health Value] - [MS Previous Health Value]</t>
  </si>
  <si>
    <t>Mississippi current health value minus its previous-year value.</t>
  </si>
  <si>
    <t>MS Health Status</t>
  </si>
  <si>
    <t>VAR ChangeValue = [MS Health Change]
VAR Direction = [Health Direction]
VAR Indicator =
    SELECTEDVALUE(Health_Master_Data[Display_Name])
RETURN
    SWITCH(
        TRUE(),
        ISBLANK(ChangeValue), BLANK(),
        Indicator = "Naloxone Prescriptions" &amp;&amp; ChangeValue &gt; 0,
            "Access Increased",
        Indicator = "Naloxone Prescriptions" &amp;&amp; ChangeValue &lt; 0,
            "Access Decreased",
        ChangeValue = 0,
            "No Change",
        Direction = "Lower" &amp;&amp; ChangeValue &lt; 0,
            "Improvement",
        Direction = "Lower" &amp;&amp; ChangeValue &gt; 0,
            "Worsening",
        Direction = "Higher" &amp;&amp; ChangeValue &gt; 0,
            "Improvement",
        Direction = "Higher" &amp;&amp; ChangeValue &lt; 0,
            "Worsening",
        "Context"
    )</t>
  </si>
  <si>
    <t>Interprets Mississippi change for the selected health indicator.</t>
  </si>
  <si>
    <t>MS Health Value</t>
  </si>
  <si>
    <t>CALCULATE(
    SELECTEDVALUE(Health_Master_Data[Metric_Value]),
    REMOVEFILTERS(Health_Master_Data[State]),
    Health_Master_Data[State] = "MS"
)</t>
  </si>
  <si>
    <t>MS Previous Health Value</t>
  </si>
  <si>
    <t>VAR SelectedYr = SELECTEDVALUE(Health_Master_Data[Year])
RETURN
    CALCULATE(
        SELECTEDVALUE(Health_Master_Data[Metric_Value]),
        REMOVEFILTERS(Health_Master_Data[Year]),
        REMOVEFILTERS(Health_Master_Data[State]),
        Health_Master_Data[State] = "MS",
        Health_Master_Data[Year] = SelectedYr - 1
    )</t>
  </si>
  <si>
    <t>Previous Health Value</t>
  </si>
  <si>
    <t>VAR PrevHealthYr = [Previous Health Year]
RETURN
    CALCULATE(
        AVERAGE(Health_Master_Data[Metric_Value]),
        REMOVEFILTERS(Health_Master_Data[Year]),
        Health_Master_Data[Year] = PrevHealthYr
    )</t>
  </si>
  <si>
    <t>Previous Health Year</t>
  </si>
  <si>
    <t>VAR LatestYear =
    MAX(Health_Master_Data[Year])
RETURN
    CALCULATE(
        MAX(Health_Master_Data[Year]),
        FILTER(
            ALLSELECTED(Health_Master_Data[Year]),
            Health_Master_Data[Year] &lt; LatestYear
        )
    )</t>
  </si>
  <si>
    <t>Resources_Master_Data</t>
  </si>
  <si>
    <t>Resource Card Background</t>
  </si>
  <si>
    <t>IF(
    HASONEVALUE(Resources_Master_Data[Program Name]),
    "#2A2940",
    "#080820"
)</t>
  </si>
  <si>
    <t>Resource Card Color</t>
  </si>
  <si>
    <t>IF(
    HASONEVALUE(Resources_Master_Data[Program Name]),
    "#D6C8FF",
    "#080820"
)</t>
  </si>
  <si>
    <t>homelessness_master_data</t>
  </si>
  <si>
    <t>Age 18–24 in Selected Years</t>
  </si>
  <si>
    <t>SUM('homelessness_master_data'[Overall_18_24])</t>
  </si>
  <si>
    <t>Sum of reported age 18–24 counts; this field starts in 2013.</t>
  </si>
  <si>
    <t>Chronic in Selected Years</t>
  </si>
  <si>
    <t>SUM('homelessness_master_data'[Overall_Chronically_Homeless])</t>
  </si>
  <si>
    <t>Sum of chronically homeless counts within the selected years.</t>
  </si>
  <si>
    <t>Men in Selected Years</t>
  </si>
  <si>
    <t>SUM('homelessness_master_data'[Men])</t>
  </si>
  <si>
    <t>Sum of reported men; this field starts in 2014.</t>
  </si>
  <si>
    <t>Over 24 in Selected Years</t>
  </si>
  <si>
    <t>SUM('homelessness_master_data'[Over_24])</t>
  </si>
  <si>
    <t>Sum of reported over-24 counts; this field starts in 2013.</t>
  </si>
  <si>
    <t>PIT Count in Selected Years</t>
  </si>
  <si>
    <t>SUM('homelessness_master_data'[Overall_Homeless])</t>
  </si>
  <si>
    <t>Sum of PIT snapshots within the selected years.</t>
  </si>
  <si>
    <t>Sheltered in Selected Years</t>
  </si>
  <si>
    <t>SUM('homelessness_master_data'[Sheltered_Individuals])</t>
  </si>
  <si>
    <t>Sum of sheltered counts within the selected years.</t>
  </si>
  <si>
    <t>Under 18 in Selected Years</t>
  </si>
  <si>
    <t>SUM('homelessness_master_data'[Under_18])</t>
  </si>
  <si>
    <t>Sum of reported under-18 counts; this field starts in 2011.</t>
  </si>
  <si>
    <t>Unsheltered in Selected Years</t>
  </si>
  <si>
    <t>SUM('homelessness_master_data'[Unsheltered_Individuals])</t>
  </si>
  <si>
    <t>Sum of unsheltered counts within the selected years.</t>
  </si>
  <si>
    <t>Veterans in Selected Years</t>
  </si>
  <si>
    <t>SUM('homelessness_master_data'[Overall_Veterans])</t>
  </si>
  <si>
    <t>Sum of reported veteran counts; this field starts in 2011.</t>
  </si>
  <si>
    <t>Women in Selected Years</t>
  </si>
  <si>
    <t>SUM('homelessness_master_data'[Women])</t>
  </si>
  <si>
    <t>Sum of reported women; this field starts in 2014.</t>
  </si>
  <si>
    <t>Housing Type</t>
  </si>
  <si>
    <t>Selected Housing</t>
  </si>
  <si>
    <t>VAR HousingSelected =
    SELECTEDVALUE ( 'Housing Type'[Housing Type] )
RETURN
SWITCH (
    HousingSelected,
    "Emergency Shelter", SUM ( homelessness_master_data[ES_Beds] ),
    "Transitional Housing", SUM ( homelessness_master_data[TH_Beds] ),
    "Rapid Rehousing", SUM ( homelessness_master_data[RRH_Beds] ),
    "Permanent Supportive Housing", SUM ( homelessness_master_data[PSH_Beds] ),
    BLANK ()
)</t>
  </si>
  <si>
    <t>Sum of the selected bed type in the current filter context; review year selection for a capacity snapshot.</t>
  </si>
  <si>
    <t>Calculated table</t>
  </si>
  <si>
    <t>Role</t>
  </si>
  <si>
    <t>2007–2024</t>
  </si>
  <si>
    <t>GENERATESERIES(2007, 2024, 1)</t>
  </si>
  <si>
    <t>Shared year selection for the report.</t>
  </si>
  <si>
    <t>Bed categories</t>
  </si>
  <si>
    <t>DATATABLE (
    "Housing Type", STRING,
    {
        { "Emergency Shelter" },
        { "Transitional Housing" },
        { "Rapid Rehousing" },
        { "Permanent Supportive Housing" }
    }
)</t>
  </si>
  <si>
    <t>Housing type selection table.</t>
  </si>
  <si>
    <t>Correlation Table</t>
  </si>
  <si>
    <t>Health Indicator</t>
  </si>
  <si>
    <t>Correlation (r) with Overall Homelessness</t>
  </si>
  <si>
    <t>Correlation (r) with Chronic Homelessness</t>
  </si>
  <si>
    <t>Correlation (r) with Unsheltered Homelessness</t>
  </si>
  <si>
    <t>Historical working notes. See DAX for the 27 exact measures in the final PBIX.</t>
  </si>
  <si>
    <t>Selected Housing =</t>
  </si>
  <si>
    <t>Health:</t>
  </si>
  <si>
    <t>Created a column to simplify names in Health</t>
  </si>
  <si>
    <t>State separation</t>
  </si>
  <si>
    <t>VAR HousingSelected =</t>
  </si>
  <si>
    <t>Adult Obesity KPI =</t>
  </si>
  <si>
    <t>Display Name</t>
  </si>
  <si>
    <t>LA Health Value =</t>
  </si>
  <si>
    <t>    SELECTEDVALUE ( 'Housing Type'[Housing Type] )</t>
  </si>
  <si>
    <t xml:space="preserve">Adult Obesity </t>
  </si>
  <si>
    <t>    SUM('Health'[Metric_Value]),</t>
  </si>
  <si>
    <t>Mental Distress</t>
  </si>
  <si>
    <t xml:space="preserve">    SELECTEDVALUE(Health_Master_Data[Metric_Value]),</t>
  </si>
  <si>
    <t>    'Health'[Metric_Name] = "Adult Obesity Prevalence (%)"</t>
  </si>
  <si>
    <t xml:space="preserve">Uninsured Adults </t>
  </si>
  <si>
    <t xml:space="preserve">    REMOVEFILTERS(Health_Master_Data[State]),</t>
  </si>
  <si>
    <t>SWITCH (</t>
  </si>
  <si>
    <t>Kidney Disease</t>
  </si>
  <si>
    <t xml:space="preserve">    Health_Master_Data[State] = "LA"</t>
  </si>
  <si>
    <t>    HousingSelected,</t>
  </si>
  <si>
    <t>    "Emergency Shelter", SUM ( homelessness_data[ES_Beds] ),</t>
  </si>
  <si>
    <t>Opioid Prescriptions KPI =</t>
  </si>
  <si>
    <t>Liver Disease Mortality</t>
  </si>
  <si>
    <t>    "Transitional Housing", SUM ( homelessness_data[TH_Beds] ),</t>
  </si>
  <si>
    <t>Opioid Prescriptions</t>
  </si>
  <si>
    <t>    "Rapid Rehousing", SUM ( homelessness_data[RRH_Beds] ),</t>
  </si>
  <si>
    <t>Naloxone Prescriptions</t>
  </si>
  <si>
    <t>    "Permanent Supportive Housing", SUM ( homelessness_data[PSH_Beds] ),</t>
  </si>
  <si>
    <t>    'Health'[Metric_Name] = "Opioid Prescriptions (Total Count)"</t>
  </si>
  <si>
    <t>Overdose Deaths</t>
  </si>
  <si>
    <t>    BLANK ()</t>
  </si>
  <si>
    <t>Naloxone Prescriptions KPI =</t>
  </si>
  <si>
    <t>    'Health'[Metric_Name] = "Naloxone Prescriptions (Total Count)"</t>
  </si>
  <si>
    <t>Overdose Deaths KPI =</t>
  </si>
  <si>
    <t>    'Health'[Metric_Name] = "Overdose Deaths (Total Count)"</t>
  </si>
  <si>
    <t>https://www.huduser.gov/portal/datasets/ahar/2024-ahar-part-1-pit-estimates-of-homelessness-in-the-us.html</t>
  </si>
  <si>
    <t>PIT- CoC Sheltered/Unsheltered people</t>
  </si>
  <si>
    <t>CDC Codes</t>
  </si>
  <si>
    <t>Sources: BRFSS/ Places, CDC Wonder,CDC Archives,CDC Dashboard for current years, IQVIA</t>
  </si>
  <si>
    <t>HIC-CoC Beds,Transitioning</t>
  </si>
  <si>
    <t>Kidney Disease:</t>
  </si>
  <si>
    <t>Adult Obesity (%)</t>
  </si>
  <si>
    <t>Drug OverDose Deaths</t>
  </si>
  <si>
    <t>Naloxone  Total Dispensed (NULL for 2007-2011</t>
  </si>
  <si>
    <t>N00-N07</t>
  </si>
  <si>
    <t>Glomerular diseases</t>
  </si>
  <si>
    <t>N17-N19</t>
  </si>
  <si>
    <t>Acute kidney failure</t>
  </si>
  <si>
    <t>Uninsured Adults(%)</t>
  </si>
  <si>
    <t>N25-N27</t>
  </si>
  <si>
    <t>Chronic Kidney failure</t>
  </si>
  <si>
    <t>Binge Drinking (%)</t>
  </si>
  <si>
    <t>Chronic Kidney Disease Mortality</t>
  </si>
  <si>
    <t>Other kidney disorders</t>
  </si>
  <si>
    <t>Opioid Dispensed (per 100)</t>
  </si>
  <si>
    <t>Chronic Liver Disease:</t>
  </si>
  <si>
    <t>K70</t>
  </si>
  <si>
    <t>Alcohol liver disease</t>
  </si>
  <si>
    <t>K73-K74</t>
  </si>
  <si>
    <t>Chronic hepatitis</t>
  </si>
  <si>
    <t>Fibrosis</t>
  </si>
  <si>
    <t>Cirrhosis</t>
  </si>
  <si>
    <t>Diabetes Mellitus:</t>
  </si>
  <si>
    <t>E10-E14</t>
  </si>
  <si>
    <t>E10 Type 1</t>
  </si>
  <si>
    <t>E11 Type 2</t>
  </si>
  <si>
    <t>E12 Malnutrition- related</t>
  </si>
  <si>
    <t>Key findings:</t>
  </si>
  <si>
    <t>E13 Other Specified</t>
  </si>
  <si>
    <t>E14 Unspecified Diabetes</t>
  </si>
  <si>
    <t>The number of naloxone prescriptions dispensed doubled from 2017 to 2018.</t>
  </si>
  <si>
    <t>Only one naloxone prescription is dispensed for every 70 high-dose opioid prescriptions nationwide.</t>
  </si>
  <si>
    <t>Drug Overdose Deaths:</t>
  </si>
  <si>
    <t>Most (71%) Medicare prescriptions for naloxone required a copay, compared to 42% for commercial insurance.</t>
  </si>
  <si>
    <t>X40-X44</t>
  </si>
  <si>
    <t>Unintentional overdoses</t>
  </si>
  <si>
    <t>Rural counties were nearly 3 times more likely to be a low-dispensing county compared to metropolitan counties.</t>
  </si>
  <si>
    <t>X60-X64</t>
  </si>
  <si>
    <t>Suicide</t>
  </si>
  <si>
    <t>Naloxone dispensing is 25 times greater in the highest-dispensing counties than the lowest-dispensing counties.</t>
  </si>
  <si>
    <t>X85</t>
  </si>
  <si>
    <t>homicide</t>
  </si>
  <si>
    <t xml:space="preserve">CDC reports that only one naloxone prescription was dispensed for every 70 high-dose opioid prescriptions nationwide, </t>
  </si>
  <si>
    <t>X10-Y14</t>
  </si>
  <si>
    <t>Undetermined intent</t>
  </si>
  <si>
    <t>highlighting a substantial gap between high-risk opioid prescribing and pharmacy naloxone dispensing.</t>
  </si>
  <si>
    <t>https://journals.sagepub.com/doi/10.1177/00333549241245624?url_ver=Z39.88-2003&amp;rfr_id=ori:rid:crossref.org&amp;rfr_dat=cr_pub%20%200pubmed</t>
  </si>
  <si>
    <t>https://www.mdhs.ms.gov/wp-content/uploads/2020/02/MS-County-FIPS-Codes.pdf</t>
  </si>
  <si>
    <t>This dashboard integrates homelessness, housing, health, and community-resource data because</t>
  </si>
  <si>
    <t xml:space="preserve">Find help  </t>
  </si>
  <si>
    <t>fragmented surveillance systems can obscure the health needs of people experiencing homelessness.</t>
  </si>
  <si>
    <t>Published public-health research has identified inconsistent definitions, incomplete reporting, limited</t>
  </si>
  <si>
    <t>One-on-one support, individualized guidance, case management, service navigation, referrals, and personal assistance accessing community resources</t>
  </si>
  <si>
    <t>interoperability, and fragmented data systems as barriers to actionable surveillance.</t>
  </si>
  <si>
    <t>Resources Database Highlights</t>
  </si>
  <si>
    <t>County-Level Health Data Limitation</t>
  </si>
  <si>
    <t>County-level health data were evaluated for inclusion; however, no single source provided consistent</t>
  </si>
  <si>
    <t>158 verified resource records</t>
  </si>
  <si>
    <t>annual coverage across the full 2007–2024 project period for the selected health indicators. CDC PLACES</t>
  </si>
  <si>
    <t>Louisiana and Mississippi coverage</t>
  </si>
  <si>
    <t>provides valuable recent county-level modeled estimates, but its county coverage begins much later and</t>
  </si>
  <si>
    <t>Official HUD CoC alignment</t>
  </si>
  <si>
    <t>is not designed to serve as a continuous longitudinal series across the full study period. To preserve</t>
  </si>
  <si>
    <t>Latitude/Longitude validation</t>
  </si>
  <si>
    <t>consistency, comparability, and methodological integrity, health trends were therefore analyzed at the</t>
  </si>
  <si>
    <t>SQL quality assurance queries</t>
  </si>
  <si>
    <t>state level for Louisiana and Mississippi.</t>
  </si>
  <si>
    <t>Duplicate detection</t>
  </si>
  <si>
    <t>Missing data validation</t>
  </si>
  <si>
    <t>Custom Health Dataset Development</t>
  </si>
  <si>
    <t>Manual verification against official provider sources</t>
  </si>
  <si>
    <t>Because the required health indicators were distributed across multiple public-health sources, no ready-</t>
  </si>
  <si>
    <t>LA-502 Continuum of Care recovery and reconstruction</t>
  </si>
  <si>
    <t>made dataset matched the project’s full scope. A custom longitudinal dataset was constructed by</t>
  </si>
  <si>
    <t>identifying, validating, standardizing, and integrating measures across sources for Louisiana and</t>
  </si>
  <si>
    <t>Mississippi from 2007–2024. Indicator names, years, units, state identifiers, and display labels were</t>
  </si>
  <si>
    <t>standardized to support consistent analysis in Power BI.</t>
  </si>
  <si>
    <t>1. Establish the "Geographic Join" Tab (My Data Bridge)</t>
  </si>
  <si>
    <t>The biggest challenge with data is that HUD uses Continuums of Care (CoCs), the U.S. Census Bureau uses Counties/Parishes, and local nonprofits like the Open Doors Coalition or Back Bay Mission look at specific municipal or regional levels.</t>
  </si>
  <si>
    <t>Create a master mapping tab called GEO_MAPPING.</t>
  </si>
  <si>
    <t>Use this tab for central XLOOKUP reference so it can seamlessly merge BRFSS health metrics with PIT (Point-in-Time) Count data.</t>
  </si>
  <si>
    <t>2. Clean-Up Checklist for Specific Sources</t>
  </si>
  <si>
    <t>When cleaning public health and federal data, look out for these common issues:</t>
  </si>
  <si>
    <t>Suppressed Data / Small Sample Sizes: Sources like CDC WONDER or NVSS often hide small numbers (showing Suppressed or &lt;10 deaths to protect privacy).</t>
  </si>
  <si>
    <t>Convert the text strings to a blank cell or an N/A code so they do not break my average or sum formulas.</t>
  </si>
  <si>
    <t>Year Alignments: BRFSS data is often multi-year or biannual, while HUD PIT Counts happen every January. Create an explicit Data_Year column in every raw data tab to track exactly which timelines I am comparing.</t>
  </si>
  <si>
    <t>5. Geographical Context Map</t>
  </si>
  <si>
    <t>Since my project relies heavily on regional coordination across Louisiana and Mississippi, it is vital to map out the core hubs. The physical locations of the local agencies listed serve as excellent geographic anchor points for the study:</t>
  </si>
  <si>
    <t>Map data ©2026 GoogleTerms</t>
  </si>
  <si>
    <t>200 m </t>
  </si>
  <si>
    <t>To dive deeper into the formula stage next:</t>
  </si>
  <si>
    <t>Which metric am I  trying to use as my primary anchor or dependent variable (e.g., total homeless population count, or a specific health rate like diabetes/mortality)?</t>
  </si>
  <si>
    <t>Writing the XLOOKUP or INDEX/MATCH formulas to link the county-level health data to the CoC-level homelessness data?</t>
  </si>
  <si>
    <t>1. The Statistical Analysis Tab</t>
  </si>
  <si>
    <t>Use this formula to show if counties with higher rates of homelessness also face higher rates of chronic health conditions.</t>
  </si>
  <si>
    <t xml:space="preserve">The Formula: =CORREL(Array1, Array2) </t>
  </si>
  <si>
    <t xml:space="preserve">Portfolio Documentation Note: Add a cell comment explaining the output. A result close to 1 means a strong positive relationship. A result close to 0 means no relationship. </t>
  </si>
  <si>
    <t>Identify which counties or parishes are in the worst 10% for specific health crises to help local nonprofits target their aid.</t>
  </si>
  <si>
    <t>Portfolio Documentation Note: This finds the 90th percentile cutoff line. Any county with a health rate higher than this number is classified as a high-risk outlier.</t>
  </si>
  <si>
    <t>Conditional Formatting Link: Use this formula as a rule to automatically highlight high-risk counties in a soft red hue.</t>
  </si>
  <si>
    <t>Because a massive county like East Baton Rouge Parish has a much larger population than a rural parish, I cannot simply average their health percentages together. I must weight them by population.</t>
  </si>
  <si>
    <t>Portfolio Documentation Note: This calculates the true, accurate health baseline for an entire HUD CoC region by giving larger population centers a fair weight.</t>
  </si>
  <si>
    <t>2. Interactive Dashboard Layout</t>
  </si>
  <si>
    <t>+------------------------------------------------------------------------------------+</t>
  </si>
  <si>
    <t>|                             [ZONE 1: CONTROL PANEL]                                |</t>
  </si>
  <si>
    <t>|  Select State: [ Louisiana  ▼ ]          Select CoC Region: [ LA-500 Lafayette  ▼ ] |</t>
  </si>
  <si>
    <t>+------------------------------------------------------------+-----------------------+</t>
  </si>
  <si>
    <t>|                                                            |                       |</t>
  </si>
  <si>
    <t>|                 [ZONE 2: KEY PERFORMANCE METRICS]          |   [ZONE 4: CONTEXT]   |</t>
  </si>
  <si>
    <t>|   Total Homeless (PIT Count): 1,240                        |                       |</t>
  </si>
  <si>
    <t>|   Unsheltered Population:     45%                          |   Literature Link:    |</t>
  </si>
  <si>
    <t>|   Average Mentally Unhealthy Days: 5.4 days/mo             |   "Local health data  |</t>
  </si>
  <si>
    <t>|                                                            |   reflects findings   |</t>
  </si>
  <si>
    <t>+------------------------------------------------------------+   from Smith et al.   |</t>
  </si>
  <si>
    <t>|                                                            |   (2022) regarding    |</t>
  </si>
  <si>
    <t>|                 [ZONE 3: VISUAL TRENDS &amp; CHARTS]           |   respiratory risks   |</t>
  </si>
  <si>
    <t>|   [ Bar Chart: Chronic Disease Rates vs. Shelter Status ]  |   in the Gulf Coast." |</t>
  </si>
  <si>
    <t>Zone 1: Control Panel (Top Row)</t>
  </si>
  <si>
    <t>Place interactive elements at the very top left.</t>
  </si>
  <si>
    <t>Zone 2: Key Performance Metrics (Top Middle)</t>
  </si>
  <si>
    <t>Display the most critical summary numbers in large, bold font.</t>
  </si>
  <si>
    <t>Keep these cells completely separate from raw data rows.</t>
  </si>
  <si>
    <t>Use simple, clean labels like Total Homeless (PIT Count) or Uninsured Rate (%).</t>
  </si>
  <si>
    <t>Zone 3: Visual Trends &amp; Charts (Bottom Left)</t>
  </si>
  <si>
    <t>Create a clean Combo Chart to visualize calculated correlation.</t>
  </si>
  <si>
    <t>Plot the PIT Homeless Count on a primary vertical bar axis.</t>
  </si>
  <si>
    <t>Plot a health metric (like Chronic Kidney Disease Prevalence %) as a overlaying trend line on a secondary axis.</t>
  </si>
  <si>
    <t>Zone 4: Academic Context Panel (Right Column)</t>
  </si>
  <si>
    <t>Dedicate the right side of dashboard to text cards linking numbers to the peer-reviewed research collected.</t>
  </si>
  <si>
    <t>Merge a small block of cells and enable text wrapping.</t>
  </si>
  <si>
    <t>3. Professional Final Touches</t>
  </si>
  <si>
    <t>This should allow hiring managers to click dropdowns and interact with dashboard without any risk of accidentally deleting  intricate formulas.</t>
  </si>
  <si>
    <t>1. Executive summary</t>
  </si>
  <si>
    <t>Project purpose</t>
  </si>
  <si>
    <t>Scope</t>
  </si>
  <si>
    <t>Timeframe (2007 - 2024)</t>
  </si>
  <si>
    <t>2. Project Questions</t>
  </si>
  <si>
    <t>Data Collection Notes:</t>
  </si>
  <si>
    <t>DATA Collection Notes:</t>
  </si>
  <si>
    <t>Processing Notes:</t>
  </si>
  <si>
    <t>Which populations experience the greatest documented need?</t>
  </si>
  <si>
    <t>Health metrics for 2007–2010 were supplemented with official interactive dashboards</t>
  </si>
  <si>
    <t>Health Metrics for 2007 - 2010 were supplemented using official interactive dashboards</t>
  </si>
  <si>
    <t>Standardized state names</t>
  </si>
  <si>
    <t>Standardized State Names</t>
  </si>
  <si>
    <t>Is housing capacity keeping pace with documented homelessness?</t>
  </si>
  <si>
    <t>when historical downloadable files were unavailable.</t>
  </si>
  <si>
    <t>where historical downloads were not available</t>
  </si>
  <si>
    <t>Standardized Continuum of Care identifiers</t>
  </si>
  <si>
    <t>How do public health indicators align with homelessness trends?</t>
  </si>
  <si>
    <t>For 2024, values were obtained from official interactive dashboards or the most current</t>
  </si>
  <si>
    <t>2024 values were obtained from official interactive dashboards or the most current</t>
  </si>
  <si>
    <t>Converted health data to a Metric Name / Metric Value structure for dynamic Power BI filtering</t>
  </si>
  <si>
    <t>Converted data into a Metric Name/ Metric Value structure for dynamic Power BI filtering</t>
  </si>
  <si>
    <t>What barriers may affect access to recovery and supportive services?</t>
  </si>
  <si>
    <t>published datasets when annual downloadable files had not yet been released.</t>
  </si>
  <si>
    <t>published datasets when annual downloadable files had not yet been released</t>
  </si>
  <si>
    <t>Verified calculations against source datasets before dashboard publication</t>
  </si>
  <si>
    <t>Verified calculations against source datasets prior to dashboard publication</t>
  </si>
  <si>
    <t>What service gaps may affect children and families experiencing homelessness?</t>
  </si>
  <si>
    <t>All dashboard values were validated against their originating sources</t>
  </si>
  <si>
    <t>All dashboard values were validated against the</t>
  </si>
  <si>
    <t>What service gaps may affect women experiencing homelessness?</t>
  </si>
  <si>
    <t>before inclusion in the final analytical model.</t>
  </si>
  <si>
    <t>originating source before inclusion in the final Power BI model</t>
  </si>
  <si>
    <t>3. External Data Sources</t>
  </si>
  <si>
    <t>HUD Exchange</t>
  </si>
  <si>
    <t>PIT (Point in Time)</t>
  </si>
  <si>
    <t>HIC</t>
  </si>
  <si>
    <t>CDC WONDER</t>
  </si>
  <si>
    <t>CDI</t>
  </si>
  <si>
    <t>NCHS</t>
  </si>
  <si>
    <t>Louisiana Department of Health</t>
  </si>
  <si>
    <t>Mississippi State Department of Health</t>
  </si>
  <si>
    <t>Back Bay</t>
  </si>
  <si>
    <t>Open Doors</t>
  </si>
  <si>
    <t>Peer-reviewed literature (APA references)</t>
  </si>
  <si>
    <t>4. Raw Data</t>
  </si>
  <si>
    <t>Unedited Housing</t>
  </si>
  <si>
    <t>Unedited Health</t>
  </si>
  <si>
    <t>5. Processing Documentation</t>
  </si>
  <si>
    <t>Standardized metric names</t>
  </si>
  <si>
    <t>Standardized CoC IDs</t>
  </si>
  <si>
    <t>Raw Data:</t>
  </si>
  <si>
    <t>RAW Data :</t>
  </si>
  <si>
    <t>Cleaned names</t>
  </si>
  <si>
    <t>Metric Name / Metric Value structure</t>
  </si>
  <si>
    <t>Standardized region names</t>
  </si>
  <si>
    <t>Combined Louisiana and Mississippi datasets</t>
  </si>
  <si>
    <t>Converted data to long format for Power BI</t>
  </si>
  <si>
    <t>Created health indicators table</t>
  </si>
  <si>
    <t>Validated annual totals</t>
  </si>
  <si>
    <t>CONCAT logic for overall individuals</t>
  </si>
  <si>
    <t>Created Metric Name / Metric Value structure</t>
  </si>
  <si>
    <t>NULL handling</t>
  </si>
  <si>
    <t>Verified dashboard outputs against source tables</t>
  </si>
  <si>
    <t>Crosswalk tables</t>
  </si>
  <si>
    <t>Regional mapping</t>
  </si>
  <si>
    <t>Homelessness Portfolio</t>
  </si>
  <si>
    <t>6. Output</t>
  </si>
  <si>
    <t>Dashboard</t>
  </si>
  <si>
    <t>Executive Workbook</t>
  </si>
  <si>
    <t>Raw data</t>
  </si>
  <si>
    <t>Executive PDF</t>
  </si>
  <si>
    <t>SteelTool_01_OpenBRFFS.py</t>
  </si>
  <si>
    <t>SteelTool_02_Build_Variable_Dictionary.py</t>
  </si>
  <si>
    <t>Homelessness &amp; Housing</t>
  </si>
  <si>
    <t>Community Health</t>
  </si>
  <si>
    <t>SteelTool_03_Extract_Health_Metrics.py</t>
  </si>
  <si>
    <t>Topic</t>
  </si>
  <si>
    <t>Why it was Used</t>
  </si>
  <si>
    <t>README.md</t>
  </si>
  <si>
    <t>Naloxone</t>
  </si>
  <si>
    <t>AVA/ CDC</t>
  </si>
  <si>
    <t>Historical Dispensing Trends</t>
  </si>
  <si>
    <t>This repository documents an evidence-driven analysis of homelessness and public health.</t>
  </si>
  <si>
    <t>PIT Count</t>
  </si>
  <si>
    <t>HUD</t>
  </si>
  <si>
    <t>Homeless Population</t>
  </si>
  <si>
    <t>IQVIA/CDC</t>
  </si>
  <si>
    <t>Prescription Rates</t>
  </si>
  <si>
    <t>Documentation</t>
  </si>
  <si>
    <t>Transformations are documented to support reproducibility from original public datasets.</t>
  </si>
  <si>
    <t>Housing Inventory Count</t>
  </si>
  <si>
    <t>CDC</t>
  </si>
  <si>
    <t>BRFSS Variable Dictionary</t>
  </si>
  <si>
    <t>Louisiana Continuum of Care (CoC)</t>
  </si>
  <si>
    <t>Data Sources</t>
  </si>
  <si>
    <t>Mississippi Continuum of Care (CoC)</t>
  </si>
  <si>
    <t>Methodology</t>
  </si>
  <si>
    <t>SAMHSA</t>
  </si>
  <si>
    <t>Investigation Notes</t>
  </si>
  <si>
    <t>USAFacts</t>
  </si>
  <si>
    <t>Time Period: 2007–2024</t>
  </si>
  <si>
    <t>Homelessness Analysis:</t>
  </si>
  <si>
    <t>Total Homeless</t>
  </si>
  <si>
    <t>Men</t>
  </si>
  <si>
    <t>Women</t>
  </si>
  <si>
    <t>Veterans</t>
  </si>
  <si>
    <t>Under 18</t>
  </si>
  <si>
    <t>Ages 18–24</t>
  </si>
  <si>
    <t>Over 24</t>
  </si>
  <si>
    <t>Family Households</t>
  </si>
  <si>
    <t>Chronic Homelessness</t>
  </si>
  <si>
    <t>Sheltered / Unsheltered</t>
  </si>
  <si>
    <t>Housing Capacity:</t>
  </si>
  <si>
    <t>Emergency Shelter (ES)</t>
  </si>
  <si>
    <t>Transitional Housing (TH)</t>
  </si>
  <si>
    <t>Rapid Rehousing (RRH)</t>
  </si>
  <si>
    <t>Permanent Supportive Housing (PSH)</t>
  </si>
  <si>
    <t>Community Health Indicators:</t>
  </si>
  <si>
    <t>Data prepared using Excel, SQL, and Python</t>
  </si>
  <si>
    <t>HOMELESSNESS &amp; PUBLIC HEALTH | WORKBOOK GUIDE</t>
  </si>
  <si>
    <t>Portfolio snapshot</t>
  </si>
  <si>
    <t>Live value</t>
  </si>
  <si>
    <t>How to review this portfolio</t>
  </si>
  <si>
    <t>Verified resource records</t>
  </si>
  <si>
    <t>Homelessness output rows</t>
  </si>
  <si>
    <t>Earliest year</t>
  </si>
  <si>
    <t>Latest year</t>
  </si>
  <si>
    <t>Worksheet count</t>
  </si>
  <si>
    <t>Tab color</t>
  </si>
  <si>
    <t>Meaning</t>
  </si>
  <si>
    <t>Examples</t>
  </si>
  <si>
    <t>Data-quality notes</t>
  </si>
  <si>
    <t>Blue</t>
  </si>
  <si>
    <t>Analysis-ready or source data</t>
  </si>
  <si>
    <t>Resources, Output, Health Metrics</t>
  </si>
  <si>
    <t>• CoC identifiers in the analysis output were standardized to hyphenated HUD format.
• Accidental trailing spaces in four worksheet names were removed.
• No visible Excel formula-error values were found during the audit.
• County-level health coverage remains a documented limitation; state-level trends protect comparability.
• Resource coordinates follow each row’s verification note; some are city or regional reference points.</t>
  </si>
  <si>
    <t>Reproducible code / queries</t>
  </si>
  <si>
    <t>Narrative documentation</t>
  </si>
  <si>
    <t>Workbook orientation</t>
  </si>
  <si>
    <t>Portfolio Guide</t>
  </si>
  <si>
    <t>Portfolio strengths</t>
  </si>
  <si>
    <t>Exploratory analysis identified a moderate positive association between uninsured adult rates and chronic homelessness counts (Pearson r ≈ +0.47).</t>
  </si>
  <si>
    <t>1. Healthcare Access: Uninsured adult rates showed a moderate positive association with chronic homelessness counts (r ≈ +0.47); opioid dispensing rate also showed a positive association (r ≈ +0.52).</t>
  </si>
  <si>
    <t>2. Mental Health Context: Frequent mental distress showed a weak negative association with chronic homelessness counts (r ≈ -0.21) in the aligned State×Year analysis. This association should not be interpreted as causal.</t>
  </si>
  <si>
    <t>Uninsured Adults vs. Chronic Homelessness (r = +0.4719): Moderate positive association across aligned State×Year observations (n = 36).</t>
  </si>
  <si>
    <t>Opioid Dispensing Rate vs. Chronic Homelessness (r = +0.5212): Moderate positive association across aligned State×Year observations (n = 36).</t>
  </si>
  <si>
    <t>Chronic Kidney Disease (Age Adjusted Rate) vs. Overall Homelessness (r = +0.3293): Weak-to-moderate positive association across aligned State×Year observations (n = 36).</t>
  </si>
  <si>
    <t>Binge Drinking vs. Unsheltered Homelessness (r = -0.6725): Strong inverse association across aligned State×Year observations (n = 36). This association should not be interpreted as causal.</t>
  </si>
  <si>
    <t>Pearson correlations use aligned State×Year observations; n = 36 for all indicators except naloxone prescriptions (n = 26). Associations do not imply causation.</t>
  </si>
  <si>
    <t>90th Percentile Outlier Benchmarks (=PERCENTILE.INC())</t>
  </si>
  <si>
    <t>Use these thresholds for conditional formatting in Excel and Power BI to flag comparatively high values for review:</t>
  </si>
  <si>
    <t>Frequent Mental Distress Threshold: 15.50%</t>
  </si>
  <si>
    <t>Uninsured Adults Threshold: 26.65%</t>
  </si>
  <si>
    <t>Adult Obesity Threshold: 40.00%</t>
  </si>
  <si>
    <t>Chronic Kidney Disease Threshold: 26.05%</t>
  </si>
  <si>
    <t>CORRELATION METHODOLOGY &amp; REPRODUCIBILITY</t>
  </si>
  <si>
    <t>Step 1 — Define the Analytical Grain</t>
  </si>
  <si>
    <t>Step 2 — Prepare the Analysis Inputs</t>
  </si>
  <si>
    <t>Step 3 — Aggregate and Align the State×Year Data in Python</t>
  </si>
  <si>
    <t># Health metrics: one value per State × Year × Metric</t>
  </si>
  <si>
    <t>health_state_year = (</t>
  </si>
  <si>
    <t xml:space="preserve">    health.groupby(</t>
  </si>
  <si>
    <t xml:space="preserve">        ["State", "Year", "Metric_Name"],</t>
  </si>
  <si>
    <t xml:space="preserve">        as_index=False</t>
  </si>
  <si>
    <t xml:space="preserve">    )["Metric_Value"].mean()</t>
  </si>
  <si>
    <t># Convert health metrics from long to wide format</t>
  </si>
  <si>
    <t>health_wide = health_state_year.pivot(</t>
  </si>
  <si>
    <t xml:space="preserve">    index=["State", "Year"],</t>
  </si>
  <si>
    <t xml:space="preserve">    columns="Metric_Name",</t>
  </si>
  <si>
    <t xml:space="preserve">    values="Metric_Value"</t>
  </si>
  <si>
    <t>).reset_index()</t>
  </si>
  <si>
    <t># Homelessness: combine CoCs to State × Year</t>
  </si>
  <si>
    <t>homeless_state_year = (</t>
  </si>
  <si>
    <t xml:space="preserve">    homeless.groupby(</t>
  </si>
  <si>
    <t xml:space="preserve">        ["State", "Year"],</t>
  </si>
  <si>
    <t xml:space="preserve">    )[</t>
  </si>
  <si>
    <t xml:space="preserve">        [</t>
  </si>
  <si>
    <t xml:space="preserve">            "Overall Homeless",</t>
  </si>
  <si>
    <t xml:space="preserve">            "Overall Chronically Homeless Individuals",</t>
  </si>
  <si>
    <t xml:space="preserve">            "Unsheltered Homeless Individual"</t>
  </si>
  <si>
    <t xml:space="preserve">        ]</t>
  </si>
  <si>
    <t xml:space="preserve">    ].sum()</t>
  </si>
  <si>
    <t># Align both datasets on the same State × Year observations</t>
  </si>
  <si>
    <t>analysis = homeless_state_year.merge(</t>
  </si>
  <si>
    <t xml:space="preserve">    health_wide,</t>
  </si>
  <si>
    <t xml:space="preserve">    on=["State", "Year"],</t>
  </si>
  <si>
    <t xml:space="preserve">    how="inner"</t>
  </si>
  <si>
    <t>Step 4 — Calculate Pearson r Using Pairwise Complete Observations</t>
  </si>
  <si>
    <t># Select one health indicator and one homelessness measure</t>
  </si>
  <si>
    <t>health_metric = "Uninsured Adults (%)"</t>
  </si>
  <si>
    <t>homeless_metric = "Overall Chronically Homeless Individuals"</t>
  </si>
  <si>
    <t># Keep only State × Year observations where BOTH values exist</t>
  </si>
  <si>
    <t>pair = analysis[</t>
  </si>
  <si>
    <t xml:space="preserve">    [health_metric, homeless_metric]</t>
  </si>
  <si>
    <t>].dropna()</t>
  </si>
  <si>
    <t># Pearson correlation</t>
  </si>
  <si>
    <t>r = pair[health_metric].corr(</t>
  </si>
  <si>
    <t xml:space="preserve">    pair[homeless_metric],</t>
  </si>
  <si>
    <t xml:space="preserve">    method="pearson"</t>
  </si>
  <si>
    <t># Report the number of observations used</t>
  </si>
  <si>
    <t>n = len(pair)</t>
  </si>
  <si>
    <t>print(f"Pearson r = {r:.4f}")</t>
  </si>
  <si>
    <t>print(f"n = {n}")</t>
  </si>
  <si>
    <t>`Pearson r = 0.4719
n = 36</t>
  </si>
  <si>
    <t>Step 5 — Independently Validate the Correlation Result</t>
  </si>
  <si>
    <t>Validation check — Uninsured Adults (%) × Overall Chronically Homeless:</t>
  </si>
  <si>
    <t>Python Pearson r = +0.4719 | Validation r = +0.4719 | n = 36 | Status: MATCH</t>
  </si>
  <si>
    <t>Full analytical frame:</t>
  </si>
  <si>
    <t>Naloxone unavailable:</t>
  </si>
  <si>
    <t>Actual Naloxone sample:</t>
  </si>
  <si>
    <t>Step 6 — Document Sample Size and Data Availability</t>
  </si>
  <si>
    <t>Step 7 — Interpret Correlation Strength and Direction</t>
  </si>
  <si>
    <t>Step 8 — Validate and Report Final Results</t>
  </si>
  <si>
    <t>STEEL ANALYTICS — TABLEAU BUILD &amp; REPRODUCIBILITY DOCUMENTATION</t>
  </si>
  <si>
    <t>Step 1 — Tableau Data Structure &amp; Field Roles</t>
  </si>
  <si>
    <t>Step 3 — Build Dynamic Current-Year, Prior-Year &amp; YoY Calculations</t>
  </si>
  <si>
    <t>SUM(</t>
  </si>
  <si>
    <t>Prior Year</t>
  </si>
  <si>
    <t>Year-over-Year %</t>
  </si>
  <si>
    <t>(</t>
  </si>
  <si>
    <t>Step 4 — Configure Parameters, Filters &amp; Interaction Logic</t>
  </si>
  <si>
    <t>[Year] = [Parameters].[Selected Year]</t>
  </si>
  <si>
    <t>[Year (Health Metrics Tableau (1).csv)] = [Selected Year]</t>
  </si>
  <si>
    <t>IF [Year] = [Selected Year] THEN</t>
  </si>
  <si>
    <t xml:space="preserve">    [Overall Homeless]</t>
  </si>
  <si>
    <t>END</t>
  </si>
  <si>
    <t>[Year] = [Selected Year]</t>
  </si>
  <si>
    <t>Health Metric Filter — Interaction Logic</t>
  </si>
  <si>
    <t>CoC Region Filter — Interaction Logic</t>
  </si>
  <si>
    <t>State Filter — Interaction Logic</t>
  </si>
  <si>
    <t>Filters</t>
  </si>
  <si>
    <t>AGG(Selected Year Homeless Count)</t>
  </si>
  <si>
    <t>Marks — Text</t>
  </si>
  <si>
    <t>AGG(Prior Year Homeless Count)</t>
  </si>
  <si>
    <t>AGG(Homeless YoY Change)</t>
  </si>
  <si>
    <t>AGG(Homeless YoY % Change)</t>
  </si>
  <si>
    <t>AGG(Overall Homeless KPI)</t>
  </si>
  <si>
    <t>Prior Year Label</t>
  </si>
  <si>
    <t>AGG(YoY Change Label - Homeless)</t>
  </si>
  <si>
    <t>Supporting Calculated Fields visible in the data model</t>
  </si>
  <si>
    <t>Selected Year Homeless Count</t>
  </si>
  <si>
    <t>Prior Year Homeless Count</t>
  </si>
  <si>
    <t>Homeless YoY Change</t>
  </si>
  <si>
    <t>Homeless YoY % Change</t>
  </si>
  <si>
    <t>Overall Homeless KPI</t>
  </si>
  <si>
    <t>YoY Change Label - Homeless</t>
  </si>
  <si>
    <t>&lt;AGG(Selected Year Homeless Count)&gt;</t>
  </si>
  <si>
    <t>&lt;AGG(Overall Homeless KPI)&gt;</t>
  </si>
  <si>
    <t>&lt;Prior Year Label&gt; &lt;AGG(Prior Year Homeless Count)&gt;</t>
  </si>
  <si>
    <t>Text Label Assembly:</t>
  </si>
  <si>
    <t>AGG(Selected Year Sheltered Count)</t>
  </si>
  <si>
    <t>AGG(Prior Year Sheltered Count)</t>
  </si>
  <si>
    <t>AGG(Sheltered YoY Change)</t>
  </si>
  <si>
    <t>AGG(Sheltered YoY % Change)</t>
  </si>
  <si>
    <t>AGG(Sheltered KPI)</t>
  </si>
  <si>
    <t>&lt;AGG(Selected Year Sheltered Count)&gt;</t>
  </si>
  <si>
    <t>&lt;AGG(Sheltered KPI)&gt;</t>
  </si>
  <si>
    <t>&lt;Prior Year Label&gt; &lt;AGG(Prior Year Sheltered Count)&gt;</t>
  </si>
  <si>
    <t>AGG(Selected Year Unsheltered Count)</t>
  </si>
  <si>
    <t>AGG(Prior Year Unsheltered Count)</t>
  </si>
  <si>
    <t>AGG(Unsheltered YoY Change)</t>
  </si>
  <si>
    <t>AGG(Unsheltered YoY % Change)</t>
  </si>
  <si>
    <t>AGG(Unsheltered KPI)</t>
  </si>
  <si>
    <t>Visible Text Label Assembly</t>
  </si>
  <si>
    <t>&lt;AGG(Selected Year Unsheltered Count)&gt;</t>
  </si>
  <si>
    <t>&lt;AGG(Unsheltered KPI)&gt;</t>
  </si>
  <si>
    <t>&lt;Prior Year Label&gt; &lt;AGG(Prior Year Unsheltered Count)&gt;</t>
  </si>
  <si>
    <t>AGG(Selected Year Chronic Count)</t>
  </si>
  <si>
    <t>AGG(Prior Year Chronic Count)</t>
  </si>
  <si>
    <t>AGG(Chronic YoY Change)</t>
  </si>
  <si>
    <t>AGG(Chronic YoY % Change)</t>
  </si>
  <si>
    <t>AGG(Chronic KPI)</t>
  </si>
  <si>
    <t>&lt;AGG(Selected Year Chronic Count)&gt;</t>
  </si>
  <si>
    <t>&lt;AGG(Chronic KPI)&gt;</t>
  </si>
  <si>
    <t>&lt;Prior Year Label&gt; &lt;AGG(Prior Year Chronic Count)&gt;</t>
  </si>
  <si>
    <t>SUM(Overall Homeless)</t>
  </si>
  <si>
    <t>SUM(Selected Year Trend Point)</t>
  </si>
  <si>
    <t>Filters:</t>
  </si>
  <si>
    <t>Selected Year Filter: True</t>
  </si>
  <si>
    <t>Marks</t>
  </si>
  <si>
    <t>Worksheet — Housing Capacity</t>
  </si>
  <si>
    <t>Measure Names</t>
  </si>
  <si>
    <t>Age Profile</t>
  </si>
  <si>
    <t>KPI Sheltered Individuals</t>
  </si>
  <si>
    <t>KPI Unsheltered Individuals</t>
  </si>
  <si>
    <t>Sparkline Unsheltered Individuals</t>
  </si>
  <si>
    <t>Marks Type: Circle — explicitly selected, not Automatic</t>
  </si>
  <si>
    <t>Marks Type: Automatic (rendered as Line)</t>
  </si>
  <si>
    <t>KPI Total Homeless:</t>
  </si>
  <si>
    <t xml:space="preserve">Sparkline Sheltered Individuals </t>
  </si>
  <si>
    <t xml:space="preserve">Homelessness by Region </t>
  </si>
  <si>
    <t>Calculated Field — Selected Year Filter</t>
  </si>
  <si>
    <t>Calculated Field — Selected Year Health Filter</t>
  </si>
  <si>
    <t>Calculated Field — Selected Year Trend Point</t>
  </si>
  <si>
    <t xml:space="preserve">KPI Chronically Homeless </t>
  </si>
  <si>
    <t xml:space="preserve">Sparkline Chronic </t>
  </si>
  <si>
    <t>SUM(Overall Homeless) — visible line symbol</t>
  </si>
  <si>
    <t>SUM(Selected Year Trend Point) — visible circle symbol</t>
  </si>
  <si>
    <t>Historical Series Layer — SUM(Overall Homeless)</t>
  </si>
  <si>
    <t>Selected-Year Highlight Layer — SUM(Selected Year Trend Point)</t>
  </si>
  <si>
    <t>There are two separate AGG(MIN(1)) Marks layers.</t>
  </si>
  <si>
    <t>First AGG(MIN(1)) layer</t>
  </si>
  <si>
    <t>Measure Names → Color</t>
  </si>
  <si>
    <t>Measure Values → Angle</t>
  </si>
  <si>
    <t>Second AGG(MIN(1)) (2) layer</t>
  </si>
  <si>
    <t>AGG(Selected Year Homeless Count) → Label</t>
  </si>
  <si>
    <t>Sparkline Total Homeless</t>
  </si>
  <si>
    <t>KPI Total Homeless</t>
  </si>
  <si>
    <t>Age-distribution layer</t>
  </si>
  <si>
    <t># Path to BRFSS XPT source file</t>
  </si>
  <si>
    <t># BRFSS source-data folder</t>
  </si>
  <si>
    <t>SQL, Python, Tableau, DAX</t>
  </si>
  <si>
    <t>+--------------------------------------------------------------------------------------------------+</t>
  </si>
  <si>
    <t>|                              [ CONTROL PANEL ]                                                   |</t>
  </si>
  <si>
    <t>| Year: [2007–2024 ↔] | Health Metric: [Uninsured Adults (%) ▼] | State: [All ▼] | CoC: [All ▼] |</t>
  </si>
  <si>
    <t>| Overall Homeless | Sheltered | Unsheltered | Chronically Homeless |</t>
  </si>
  <si>
    <t>|      KPI         |    KPI    |     KPI     |         KPI          |</t>
  </si>
  <si>
    <t>+---------------------------------------------+------------------------------------+</t>
  </si>
  <si>
    <t>+----------------------------------------------------------------------------------+</t>
  </si>
  <si>
    <t>PAGE 1 — EXECUTIVE</t>
  </si>
  <si>
    <t>[Year / State / Region controls]</t>
  </si>
  <si>
    <t>[Total Homeless] [Sheltered] [Unsheltered] [Chronic]</t>
  </si>
  <si>
    <t>[Historical context / geographic view]</t>
  </si>
  <si>
    <t>PAGE 2 — DEMOGRAPHICS</t>
  </si>
  <si>
    <t>[Men] [Women] [Under 18] [18–24] [Over 24] [Veterans]</t>
  </si>
  <si>
    <t>[Historical demographic trends]</t>
  </si>
  <si>
    <t>PAGE 3 — HOUSING</t>
  </si>
  <si>
    <t>[ES Beds] [TH Beds] [RRH Beds] [PSH Beds]</t>
  </si>
  <si>
    <t>[Historical housing-capacity trends]</t>
  </si>
  <si>
    <t>PAGE 4 — HEALTH</t>
  </si>
  <si>
    <t>[Public-health indicators and contextual analysis]</t>
  </si>
  <si>
    <t>PAGE 5 — RESOURCES</t>
  </si>
  <si>
    <t>[Community resource information]</t>
  </si>
  <si>
    <t>PAGE 6 — METHODOLOGY</t>
  </si>
  <si>
    <t>[Sources → Scope → Preparation → Modeling → Statistical Analysis → QA]</t>
  </si>
  <si>
    <t>PAGE 7 — CONCLUSIONS</t>
  </si>
  <si>
    <t>[Key findings / interpretation / limitations]</t>
  </si>
  <si>
    <t>2A — POWER BI DASHBOARD &amp; REPORT LAYOUT</t>
  </si>
  <si>
    <t>| Annual Homelessness Trend      | Homelessness by Region     |  Geographic Distribution |</t>
  </si>
  <si>
    <t>| Insights                                       |       Recommendations         |        Sources                   |</t>
  </si>
  <si>
    <t>| Housing Capacity                       | Age Profile                          |   Health Context              |</t>
  </si>
  <si>
    <t>2B–Tableau Interactive Dashboard Layout</t>
  </si>
  <si>
    <t>MOCK UP</t>
  </si>
  <si>
    <t>'+--------------------------------------------------------------------------------------------------+</t>
  </si>
  <si>
    <t xml:space="preserve">Title                                                               </t>
  </si>
  <si>
    <t>Total Homeless    Sheltered   Unsheltered   Chrnic</t>
  </si>
  <si>
    <t xml:space="preserve">     KPI          |            KPI     |        KPI           | KPI      |</t>
  </si>
  <si>
    <t>Control</t>
  </si>
  <si>
    <t>STATE</t>
  </si>
  <si>
    <t>CoC</t>
  </si>
  <si>
    <t xml:space="preserve">YEAR   </t>
  </si>
  <si>
    <t xml:space="preserve">                                        MAP</t>
  </si>
  <si>
    <t xml:space="preserve">                                Question</t>
  </si>
  <si>
    <t xml:space="preserve">                            Key Findings</t>
  </si>
  <si>
    <t>Foot Notes      Service Regions                                              Source</t>
  </si>
  <si>
    <t>Initial dashboard design concept using a four-zone grid layout to support visual hierarchy and scannability.</t>
  </si>
  <si>
    <t>TABLEAU CONSTRUCTION</t>
  </si>
  <si>
    <t>DATA FOUNDATION</t>
  </si>
  <si>
    <t>Cleaned and validated master datasets were connected to Tableau after source</t>
  </si>
  <si>
    <t>acquisition, cleaning, transformation, SQL/Python processing, and QA were completed.</t>
  </si>
  <si>
    <t>PARAMETER</t>
  </si>
  <si>
    <t>Selected Year: Integer parameter</t>
  </si>
  <si>
    <t>Range: 2007–2024</t>
  </si>
  <si>
    <t>Default / Published View: 2024</t>
  </si>
  <si>
    <t>Step Size: 1</t>
  </si>
  <si>
    <t>DYNAMIC YEAR LOGIC</t>
  </si>
  <si>
    <t>Selected Year → Current Year</t>
  </si>
  <si>
    <t>Selected Year - 1 → Prior Year</t>
  </si>
  <si>
    <t>YoY Change = Current Year - Prior Year</t>
  </si>
  <si>
    <t>YoY % = (Current Year - Prior Year) / Prior Year</t>
  </si>
  <si>
    <t>DASHBOARD CONTROLS</t>
  </si>
  <si>
    <t>Selected Year</t>
  </si>
  <si>
    <t>Health Metric</t>
  </si>
  <si>
    <t>Default View:</t>
  </si>
  <si>
    <t>2024 | All CoCs | LA + MS | Uninsured Adults (%)</t>
  </si>
  <si>
    <t>KPI CONSTRUCTION</t>
  </si>
  <si>
    <t>Sheltered</t>
  </si>
  <si>
    <t>Unsheltered</t>
  </si>
  <si>
    <t>Chronically Homeless</t>
  </si>
  <si>
    <t>Each KPI displays:</t>
  </si>
  <si>
    <t>Selected-Year Value</t>
  </si>
  <si>
    <t>YoY %</t>
  </si>
  <si>
    <t>YoY Change</t>
  </si>
  <si>
    <t>Prior-Year Value</t>
  </si>
  <si>
    <t>Historical Sparkline</t>
  </si>
  <si>
    <t>WORKSHEET CONSTRUCTION</t>
  </si>
  <si>
    <t>Annual Homelessness Trend</t>
  </si>
  <si>
    <t>Homelessness by Region</t>
  </si>
  <si>
    <t>Housing Capacity</t>
  </si>
  <si>
    <t>Health Context</t>
  </si>
  <si>
    <t>FILTER LOGIC</t>
  </si>
  <si>
    <t>State and CoC Region filters refine applicable homelessness, housing,</t>
  </si>
  <si>
    <t>demographic, and geographic worksheets.</t>
  </si>
  <si>
    <t>Health Metric controls the Health Context worksheet.</t>
  </si>
  <si>
    <t>Health Context remains at State × Year × Metric grain and compares</t>
  </si>
  <si>
    <t>Louisiana and Mississippi rather than assigning state-level health</t>
  </si>
  <si>
    <t>measures to individual CoCs.</t>
  </si>
  <si>
    <t>GEOGRAPHIC CONSTRUCTION</t>
  </si>
  <si>
    <t>Custom latitude and longitude calculations position the six selected</t>
  </si>
  <si>
    <t>CoC regions for geographic comparison.</t>
  </si>
  <si>
    <t>AGE PROFILE</t>
  </si>
  <si>
    <t>Three age categories form the distribution layer:</t>
  </si>
  <si>
    <t>Under 18 | 18–24 | Over 24</t>
  </si>
  <si>
    <t>A second layer displays the selected-year homeless total as the</t>
  </si>
  <si>
    <t>center label.</t>
  </si>
  <si>
    <t>DASHBOARD CONTEXT</t>
  </si>
  <si>
    <t>Insights | Recommendations | Sources / Notes</t>
  </si>
  <si>
    <t>VALIDATION</t>
  </si>
  <si>
    <t>Tableau functions as the visualization and interaction layer.</t>
  </si>
  <si>
    <t>It does not replace or redefine the cleaned and validated source data.</t>
  </si>
  <si>
    <t>Current-year, prior-year, YoY, filter, geographic, and health-context</t>
  </si>
  <si>
    <t>outputs were checked against the underlying master datasets before publication.</t>
  </si>
  <si>
    <t>Final workbook presentation and usability standards:</t>
  </si>
  <si>
    <t>Sheet Gridlines: Hidden on presentation-facing sheets to maintain a clean, software-like interface.</t>
  </si>
  <si>
    <t>Each record represents a selected Continuum of Care (CoC)</t>
  </si>
  <si>
    <t>for a specific Year and contains homelessness counts,</t>
  </si>
  <si>
    <t xml:space="preserve">demographic measures, chronic homelessness, </t>
  </si>
  <si>
    <t>veteran measures, and HIC housing-bed capacity.</t>
  </si>
  <si>
    <t xml:space="preserve">represents one public-health metric for Louisiana </t>
  </si>
  <si>
    <t xml:space="preserve"> or Mississippi in a specific year. Health values are</t>
  </si>
  <si>
    <t>CoC-level observations.</t>
  </si>
  <si>
    <t>contextual state-level measures and are not treated as</t>
  </si>
  <si>
    <t>Primary homelessness measures: Overall Homeless,</t>
  </si>
  <si>
    <t>Overall Homeless Individuals, Sheltered Total Homeless</t>
  </si>
  <si>
    <t xml:space="preserve">Individuals, Unsheltered Homeless Individual, Overall </t>
  </si>
  <si>
    <t>Chronically Homeless Individuals</t>
  </si>
  <si>
    <t>family-household fields.</t>
  </si>
  <si>
    <t>at compatible geographic and temporal levels. State-level</t>
  </si>
  <si>
    <t xml:space="preserve">health metrics are not represented as CoC-level health </t>
  </si>
  <si>
    <t>measurements.</t>
  </si>
  <si>
    <t>years into the dashboard calculations. The selected value</t>
  </si>
  <si>
    <t>drives current-year KPI calculations and provides the</t>
  </si>
  <si>
    <t>reference year for prior-year and year-over-year</t>
  </si>
  <si>
    <t>comparisons.</t>
  </si>
  <si>
    <t>dependent calculations so the dashboard responds</t>
  </si>
  <si>
    <t>consistently when the reporting year changes.</t>
  </si>
  <si>
    <t>drives a reusable calculation pattern. For each applicable</t>
  </si>
  <si>
    <t>KPI, Tableau calculates the selected-year value, retrieves</t>
  </si>
  <si>
    <t>the corresponding prior-year value, and calculates the year-</t>
  </si>
  <si>
    <t>over-year percentage change. This pattern prevents years</t>
  </si>
  <si>
    <t>from being permanently hardcoded into the dashboard.</t>
  </si>
  <si>
    <t>Current</t>
  </si>
  <si>
    <t>/ Selected Year</t>
  </si>
  <si>
    <t>IF [Year] = [Parameters].[Selected Year]</t>
  </si>
  <si>
    <t>THEN [Homeless Count]</t>
  </si>
  <si>
    <t xml:space="preserve"> END</t>
  </si>
  <si>
    <t xml:space="preserve"> IF [Year] = [Parameters].[Selected Year] - 1</t>
  </si>
  <si>
    <t xml:space="preserve"> THEN [Homeless Count]</t>
  </si>
  <si>
    <t xml:space="preserve"> [Current Year Homeless Count]</t>
  </si>
  <si>
    <t>- [Prior Year Homeless Count]</t>
  </si>
  <si>
    <t>against the source data before the YoY result is accepted.</t>
  </si>
  <si>
    <t>Where a prior-year value is unavailable or unsuitable for</t>
  </si>
  <si>
    <t>comparison, the dashboard does not manufacture a</t>
  </si>
  <si>
    <t>replacement value.</t>
  </si>
  <si>
    <t>selection parameter with dashboard filters and worksheet-</t>
  </si>
  <si>
    <t>level calculated filters. The Selected Year control is a</t>
  </si>
  <si>
    <t>parameter, not a standard Tableau filter. CoC Region, State,</t>
  </si>
  <si>
    <t>and Health Metric are dashboard filter controls used to</t>
  </si>
  <si>
    <t>refine the applicable views.</t>
  </si>
  <si>
    <t>directly within their Current Year, Prior Year, and YoY</t>
  </si>
  <si>
    <t>logic against the health dataset.</t>
  </si>
  <si>
    <t xml:space="preserve">Health Context uses its corresponding selected-year health </t>
  </si>
  <si>
    <t xml:space="preserve">for applicable homelessness and housing worksheets. </t>
  </si>
  <si>
    <t xml:space="preserve">evaluates whether [Year] = [Parameters].[Selected Year] </t>
  </si>
  <si>
    <t>intentionally retains the full 2007–2024 time series rather</t>
  </si>
  <si>
    <t>than filtering the worksheet to a single year. The selected</t>
  </si>
  <si>
    <t xml:space="preserve">year is highlighted within the historical trend so the user </t>
  </si>
  <si>
    <t>can view the chosen year in longitudinal context.</t>
  </si>
  <si>
    <t>year matching the Selected Year parameter and returns</t>
  </si>
  <si>
    <t>NULL for all other years. This allows the Annual</t>
  </si>
  <si>
    <t>Homelessness Trend to retain the complete 2007–2024</t>
  </si>
  <si>
    <t>historical series while separately identifying the user-</t>
  </si>
  <si>
    <t>selected year within that trend.</t>
  </si>
  <si>
    <t>standard Selected Year worksheet filter.</t>
  </si>
  <si>
    <t xml:space="preserve">calculated fields; therefore, they do not require the </t>
  </si>
  <si>
    <t xml:space="preserve">where analytically appropriate. State-level health </t>
  </si>
  <si>
    <t>data at its State × Year analytical level.</t>
  </si>
  <si>
    <t xml:space="preserve">selected reporting year while preserving the health </t>
  </si>
  <si>
    <t xml:space="preserve">Health Context worksheet synchronized with the </t>
  </si>
  <si>
    <t xml:space="preserve">matches the Selected Year parameter. This keeps the </t>
  </si>
  <si>
    <t>applicable selected-year worksheets so they respond</t>
  </si>
  <si>
    <t>dynamically to the year control without hardcoding a</t>
  </si>
  <si>
    <t>reporting year.</t>
  </si>
  <si>
    <t>Health Metrics data source by comparing the selected</t>
  </si>
  <si>
    <t>indicator displayed in the Health Context view. The filter</t>
  </si>
  <si>
    <t xml:space="preserve">does not propagate to homelessness, housing, </t>
  </si>
  <si>
    <t>demographic, geographic, KPI, or trend worksheets</t>
  </si>
  <si>
    <t xml:space="preserve">preserving the separation between state-level health </t>
  </si>
  <si>
    <t>context and CoC-level homelessness analysis.</t>
  </si>
  <si>
    <t>Chronically Homeless; Sparkline Chronic; KPI Unsheltered</t>
  </si>
  <si>
    <t xml:space="preserve">Individuals; Sparkline Unsheltered Individuals; KPI </t>
  </si>
  <si>
    <t xml:space="preserve">Sheltered Individuals; Sparkline Sheltered Individuals; KPI </t>
  </si>
  <si>
    <t>Total Homeless; Sparkline Total Homeless; Annual</t>
  </si>
  <si>
    <t>Geographic Distribution.</t>
  </si>
  <si>
    <t>homelessness, KPI, trend, demographic, housing, and</t>
  </si>
  <si>
    <t>geographic views while leaving Health Context unchanged</t>
  </si>
  <si>
    <t>because health measures are maintained at the</t>
  </si>
  <si>
    <t>State×Year×Metric analytical grain rather than the CoC</t>
  </si>
  <si>
    <t>level.</t>
  </si>
  <si>
    <t>Sheltered Individuals; Sparkline Sheltered Individuals;</t>
  </si>
  <si>
    <t>KPI Total Homeless; Sparkline Total Homeless; Annual</t>
  </si>
  <si>
    <t>KPI, trend, demographic, housing, and geographic views</t>
  </si>
  <si>
    <t>while leaving Health Context unchanged. Health Context</t>
  </si>
  <si>
    <t xml:space="preserve">measures remain at the State×Year level and are not </t>
  </si>
  <si>
    <t xml:space="preserve"> represented as CoC-level health observations.</t>
  </si>
  <si>
    <t>comparison at the State×Year×Metric analytical grain.</t>
  </si>
  <si>
    <t>preserves the Louisiana-versus-Mississippi</t>
  </si>
  <si>
    <t>Homelessness Trend; Age Profile; Housing Capacity;</t>
  </si>
  <si>
    <t>matches the Selected Year Parameter. This field is used on</t>
  </si>
  <si>
    <t>Step 2 — Selected Year Parameter</t>
  </si>
  <si>
    <t xml:space="preserve">change the reporting year without hardcoding individual </t>
  </si>
  <si>
    <t>/ [Prior Year Homeless Count]</t>
  </si>
  <si>
    <t xml:space="preserve">Homelessness Trend; Age Profile; Housing Capacity; </t>
  </si>
  <si>
    <t xml:space="preserve">serves as the visualization and interaction layer; it does not replace or redefine the validated source data. </t>
  </si>
  <si>
    <t xml:space="preserve">datasets produced through the documented Steel Analytics data-preparation workflow.  Raw-source acquisition, cleaning, standardization, BRFSS/NVSS processing, SQL/Python transformations, missing-value handling, and validation are documented in the existing workbook sections and tools. Tableau </t>
  </si>
  <si>
    <t>regions using explicitly defined geographic coordinates</t>
  </si>
  <si>
    <t>while allowing homelessness magnitude and regional identity</t>
  </si>
  <si>
    <t>to be compared within the selected reporting year.</t>
  </si>
  <si>
    <t>Longitude assign coordinates according to the value of CoC</t>
  </si>
  <si>
    <t>Region. This prevents Tableau from relying solely on</t>
  </si>
  <si>
    <t>automatic geographic interpretation of custom CoC region</t>
  </si>
  <si>
    <t>names.</t>
  </si>
  <si>
    <t>calculations identify Alexandria, Shreveport, Louisiana</t>
  </si>
  <si>
    <t>Balance, Jackson, Gulf, and Mississippi Balance using</t>
  </si>
  <si>
    <t>CONTAINS([CoC Region], ...) conditions and assign the</t>
  </si>
  <si>
    <t>documented coordinates to each region.</t>
  </si>
  <si>
    <t>represented as CoC-level measurements.</t>
  </si>
  <si>
    <t>State×Year×Metric analytical grain rather than being</t>
  </si>
  <si>
    <t>determined by documented calculated coordinates rather</t>
  </si>
  <si>
    <t>than inferred from the CoC labels. Homelessness magnitude</t>
  </si>
  <si>
    <t>is encoded through mark size using SUM(Overall Homeless),</t>
  </si>
  <si>
    <t>while CoC Region distinguishes the six geographic areas.</t>
  </si>
  <si>
    <t>text-based worksheet using calculated fields rather than</t>
  </si>
  <si>
    <t>Rows/Columns. The worksheet displays the selected-year</t>
  </si>
  <si>
    <t xml:space="preserve">total, prior-year comparison, absolute YoY change, YoY </t>
  </si>
  <si>
    <t>percentage change, and supporting display labels. State and</t>
  </si>
  <si>
    <t>CoC Region provide geographic refinement, while the</t>
  </si>
  <si>
    <t>calculations.</t>
  </si>
  <si>
    <t xml:space="preserve">Selected Year parameter drives the current/prior-year </t>
  </si>
  <si>
    <t>Label + Prior Year Homeless Count</t>
  </si>
  <si>
    <t>Change Label - Homeless + Homeless YoY Change → Prior Year</t>
  </si>
  <si>
    <t xml:space="preserve">Selected Year Homeless Count → Overall Homeless KPI → YoY </t>
  </si>
  <si>
    <t>Marks/Text shelf but is not included in the visible Text label</t>
  </si>
  <si>
    <t>assembly shown in the worksheet editor.</t>
  </si>
  <si>
    <t>Homeless series by year as the companion trend to the Total</t>
  </si>
  <si>
    <t>Homeless KPI. State and CoC Region refine the geographic</t>
  </si>
  <si>
    <t>scope, while the worksheet intentionally contains no</t>
  </si>
  <si>
    <t>Selected Year filter so the longitudinal series remains visible.</t>
  </si>
  <si>
    <t>Individuals series by Year as the companion trend to the</t>
  </si>
  <si>
    <t xml:space="preserve">Sheltered KPI. State and CoC Region refine geographic </t>
  </si>
  <si>
    <t>the longitudinal series.</t>
  </si>
  <si>
    <t>scope while the absence of a Selected Year filter preserves</t>
  </si>
  <si>
    <t>Individual series by Year as the companion trend to the</t>
  </si>
  <si>
    <t>Unsheltered KPI. State and CoC Region refine geographic</t>
  </si>
  <si>
    <t>Homeless Individuals series by Year as the companion trend</t>
  </si>
  <si>
    <t>to the Chronic KPI. State and CoC Region refine geographic</t>
  </si>
  <si>
    <t xml:space="preserve">SUM(Overall Homeless) and SUM(Selected Year Trend Point) </t>
  </si>
  <si>
    <t>on Rows as separate Marks layers. The historical series uses</t>
  </si>
  <si>
    <t>an Automatic line mark, while the selected-year calculation</t>
  </si>
  <si>
    <t>uses a Circle mark. Measure Names controls color</t>
  </si>
  <si>
    <t>differentiation between the two layers. The worksheet</t>
  </si>
  <si>
    <t>intentionally contains no Selected Year filter; instead,</t>
  </si>
  <si>
    <t>Selected Year Trend Point returns a value only for the</t>
  </si>
  <si>
    <t>parameter-selected year, allowing that year to be highlighted</t>
  </si>
  <si>
    <t>without removing the remaining 2007–2024 history.</t>
  </si>
  <si>
    <t>for the parameter-selected reporting year. Selected Year</t>
  </si>
  <si>
    <t>Filter = True restricts the worksheet to the selected year,</t>
  </si>
  <si>
    <t>while State and CoC Region provide geographic refinement.</t>
  </si>
  <si>
    <t>CoC Region differentiates the bars by color and the Overall</t>
  </si>
  <si>
    <t>Homeless value is displayed as the mark label.</t>
  </si>
  <si>
    <t>TH Beds — 4 of 40 measures selected</t>
  </si>
  <si>
    <t>Supportive Housing (PSH), Rapid Re-Housing (RRH), and</t>
  </si>
  <si>
    <t>Transitional Housing (TH) bed capacity for the parameter-</t>
  </si>
  <si>
    <t>selected year. The Measure Names filter explicitly limits the</t>
  </si>
  <si>
    <t>worksheet to these four housing measures. State and CoC</t>
  </si>
  <si>
    <t>Region refine geographic scope, while Selected Year Filter =</t>
  </si>
  <si>
    <t>True restricts the comparison to the selected reporting year.</t>
  </si>
  <si>
    <t>The second layer displays the selected-year homeless total</t>
  </si>
  <si>
    <t xml:space="preserve">as the center/overlay label, while the first layer represents </t>
  </si>
  <si>
    <t>the three age categories.</t>
  </si>
  <si>
    <t xml:space="preserve">homeless population using Under 18, 18–24, and Over 24. </t>
  </si>
  <si>
    <t>The first pie layer uses Measure Names and Measure Values</t>
  </si>
  <si>
    <t>layer supplies the selected-year homeless count as the</t>
  </si>
  <si>
    <t xml:space="preserve">to construct the age distribution, while a second MIN(1) </t>
  </si>
  <si>
    <t>central/overlay label. Selected Year Filter = True limits the</t>
  </si>
  <si>
    <t>view to the parameter-selected year, and State and CoC</t>
  </si>
  <si>
    <t>Region provide geographic refinement.</t>
  </si>
  <si>
    <t>YoY Change)&gt;</t>
  </si>
  <si>
    <t xml:space="preserve">&lt;AGG(YoY Change Label - Homeless)&gt; &lt;AGG(Unsheltered </t>
  </si>
  <si>
    <t xml:space="preserve">&lt;AGG(YoY Change Label - Homeless)&gt; &lt;AGG(Sheltered </t>
  </si>
  <si>
    <t>&lt;AGG(YoY Change Label - Homeless)&gt; &lt;AGG(Homeless</t>
  </si>
  <si>
    <t xml:space="preserve"> YoY Change)&gt;</t>
  </si>
  <si>
    <t xml:space="preserve">&lt;AGG(YoY Change Label - Homeless)&gt; &lt;AGG(Chronic </t>
  </si>
  <si>
    <t>or Tooltip</t>
  </si>
  <si>
    <t xml:space="preserve">No additional fields visible on Label, Detail, Size, </t>
  </si>
  <si>
    <t>Marks layers for:</t>
  </si>
  <si>
    <t xml:space="preserve">Geographic Distribution. Health Context is intentionally </t>
  </si>
  <si>
    <t xml:space="preserve">to the homelessness-related worksheets, including </t>
  </si>
  <si>
    <t>Annual Homelessness Trend:</t>
  </si>
  <si>
    <t>18-24</t>
  </si>
  <si>
    <t>Worksheet - Age Profile</t>
  </si>
  <si>
    <t>Configuration:</t>
  </si>
  <si>
    <t>Step 5 —  Visual Architecture</t>
  </si>
  <si>
    <t xml:space="preserve"> parameter. Value with the health dataset’s Year field.</t>
  </si>
  <si>
    <t>This keeps the Health Context view synchronized with</t>
  </si>
  <si>
    <t>the dashboard year while preserving the health data</t>
  </si>
  <si>
    <t>at its State×Year×Metric analytical grain.</t>
  </si>
  <si>
    <t>excluded because public-health measures remain at the</t>
  </si>
  <si>
    <t>Marks architecture:</t>
  </si>
  <si>
    <t>Set up columns for State, County/Parish Name, FIPS Code, and HUD CoC ID (e.g., LA-502, LA-507, LA-509).</t>
  </si>
  <si>
    <t>4. Create an Intellectual "Source Literature Log" Tab</t>
  </si>
  <si>
    <t>Power BI Resource Dashboard</t>
  </si>
  <si>
    <t>Service/resource view showing where people can find beds, clothing, mental-health services, substance-use counseling, and other assistance.</t>
  </si>
  <si>
    <t>Power BI Analytical Model</t>
  </si>
  <si>
    <t>Structured model supporting the resource dashboard and underlying relationships.</t>
  </si>
  <si>
    <t>Tableau Public Analytics Dashboard</t>
  </si>
  <si>
    <t>Public-facing analytical view for exploring year, state, CoC region, homelessness, housing, demographics, health context, and point-in-time gaps.</t>
  </si>
  <si>
    <t>Static executive summary of major findings, methodology, and key visuals.</t>
  </si>
  <si>
    <t>7. Source &amp; Literature Log</t>
  </si>
  <si>
    <t>from CoC/HIC/PIT sources</t>
  </si>
  <si>
    <t xml:space="preserve">Original values retained </t>
  </si>
  <si>
    <t>Re-retrieved Source Values</t>
  </si>
  <si>
    <t>Historical data re-retrieved from</t>
  </si>
  <si>
    <t>official source archives after laptop loss</t>
  </si>
  <si>
    <t>Standardized labels used for analysis and reporting</t>
  </si>
  <si>
    <t>Dashboards built in Power BI and Tableau</t>
  </si>
  <si>
    <t>Louisiana &amp; Mississippi | 2007–2024 | Excel • SQL • Python • Power BI • Tableau</t>
  </si>
  <si>
    <t>Start with Project Purpose and Scope. Review GEO-Mapping for the county/parish-to-CoC bridge, then Output and Resources for analysis-ready data. SQL and Python tabs document the reproducible workflow; validation tabs record quality checks and limitations. Power BI contains the resource-dashboard structure, notes, and measures; Tableau documents the public-facing analytical dashboard and visual architecture.</t>
  </si>
  <si>
    <t>This workbook demonstrates cross-source data recovery, integration, HUD CoC/FIPS geography mapping, HUD CoC/FIPS geography mapping, longitudinal health and homelessness integration, SQL/Python workflow documentation, validation logging, and transparent treatment of unavailable or inconsistent public data. This guide and consistent formatting make the project’s multi-source workflow, analytical decisions, and outputs easy to trace from raw data through final presentation.</t>
  </si>
  <si>
    <t>I used Excel, SQL, and Python to prepare, standardize, validate, and analyze the data; Power BI and DAX to build the resource and service-support model; and Tableau to create the public-facing analytical view for exploring changes by year, state, and CoC region.</t>
  </si>
  <si>
    <t>Data Modeling &amp; Visualization: I built a central geographic bridge (GEO-Mapping) to align county/parish FIPS codes with HUD CoC IDs for geographic and resource modeling in Power BI, while state-level health indicators remained at their original analytical grain. Custom DAX measures support dynamic reporting.</t>
  </si>
  <si>
    <t>and transform complex datasets into practical analytical tools that reveal service availability, geographic gaps, and changes over time.</t>
  </si>
  <si>
    <t xml:space="preserve">To analyze homelessness and associated public-health indicators across Louisiana and Mississippi from 2007–2024 using publicly available data, </t>
  </si>
  <si>
    <t>7. Data Preparation Pipeline (Excel • Python • SQL • Data Models)</t>
  </si>
  <si>
    <t>8. Interactive Dashboard Navigation (Power BI &amp; Tableau)</t>
  </si>
  <si>
    <t>STEEL ANALYTICS–Executive Summary: Homelessness &amp; Health Outcomes Analysis (LA &amp; MS)</t>
  </si>
  <si>
    <t>STEEL ANALYTICS — PYTHON</t>
  </si>
  <si>
    <t>STEEL ANALYTICS — POWER BI MEASURES and DAX</t>
  </si>
  <si>
    <t>STEEL ANALYTICS — POWER BI</t>
  </si>
  <si>
    <t>STEEL ANALYTICS — LITERATURE LOG</t>
  </si>
  <si>
    <t>STEEL ANALYTICS —CLEAN UP</t>
  </si>
  <si>
    <t>STEEL ANALYTICS — PROJECT STRUCTURE</t>
  </si>
  <si>
    <t>STEEL ANALYTICS — DASHBOARD LAYOUT</t>
  </si>
  <si>
    <t>STEEL ANALYTICS — SCOPE</t>
  </si>
  <si>
    <t>STEEL ANALYTICS — HEALTH METRICS VALIDATION LOG</t>
  </si>
  <si>
    <t>STEEL ANALYTICS — COUNTY LEVEL VALIDATION</t>
  </si>
  <si>
    <t>STEEL ANALYTICS — PYTHON COUNTY LEVEL HEALTH</t>
  </si>
  <si>
    <t>STEEL ANALYTICS — SQL HEALTH METRICS</t>
  </si>
  <si>
    <t>STEEL ANALYTICS — HEALTH METRICS</t>
  </si>
  <si>
    <t>STEEL ANALYTICS — RAW PYTHON BRFSS (Survey Data)</t>
  </si>
  <si>
    <t>STEEL ANALYTICS — RAW DIABETES UNDERLYING CAUSE</t>
  </si>
  <si>
    <t>STEEL ANALYTICS — RAW DRUG MORTALITY</t>
  </si>
  <si>
    <t>STEEL ANALYTICS —RAW CHRONIC LIVER DISEASE</t>
  </si>
  <si>
    <t>STEEL ANALYTICS — RAW CHRONIC KIDNEY DISEASE</t>
  </si>
  <si>
    <t>STEEL ANALYTICS — AMA TOTAL DISPENSED NALOXONE</t>
  </si>
  <si>
    <t>STEEL ANALYTICS — CDC OPIOID DISPENSING PER 100</t>
  </si>
  <si>
    <t>STEEL ANALYTICS — RESOURCES VALIDATION &amp; QUALITY</t>
  </si>
  <si>
    <t>STEEL ANALYTICS — SQL RESOURCES DEVELOPMENT</t>
  </si>
  <si>
    <t>STEEL ANALYTICS — RESOURCES</t>
  </si>
  <si>
    <t>STEEL ANALYTICS — OUTPUT</t>
  </si>
  <si>
    <t>STEEL ANALYTICS — SQL TOTAL BEDS</t>
  </si>
  <si>
    <t>STEEL ANALYTICS — RAW TOTAL BEDS</t>
  </si>
  <si>
    <t>STEEL ANALYTICS —SQL SHELTERED UNSHELTERED</t>
  </si>
  <si>
    <t>STEEL ANALYTICS —RAW SHELTERED UNSHELTERED</t>
  </si>
  <si>
    <t>STEEL ANALYTICS —GEO-MAPPING</t>
  </si>
  <si>
    <t>STEEL ANALYTICS — PYTHON CODE for GEOGRAPHICS</t>
  </si>
  <si>
    <t>STEEL ANALYTICS — GEOGRAPHICS REFERENCE</t>
  </si>
  <si>
    <r>
      <t>Validation method:</t>
    </r>
    <r>
      <rPr>
        <sz val="11"/>
        <color rgb="FF060622"/>
        <rFont val="Aptos"/>
        <family val="2"/>
      </rPr>
      <t xml:space="preserve"> Reconstruct the same paired State×Year observations from the validated master datasets and independently recalculate Pearson correlation. Compare the validation result with the Python output before reporting the finding. Pairwise missing observations remain excluded and are never replaced with zero.</t>
    </r>
  </si>
  <si>
    <r>
      <t xml:space="preserve">18 years × 2 states = </t>
    </r>
    <r>
      <rPr>
        <b/>
        <sz val="11"/>
        <color rgb="FF060622"/>
        <rFont val="Aptos"/>
        <family val="2"/>
      </rPr>
      <t>36 possible State×Year observations</t>
    </r>
  </si>
  <si>
    <r>
      <t xml:space="preserve">5 years (2007–2011) × 2 states = </t>
    </r>
    <r>
      <rPr>
        <b/>
        <sz val="11"/>
        <color rgb="FF060622"/>
        <rFont val="Aptos"/>
        <family val="2"/>
      </rPr>
      <t>10 unavailable observations</t>
    </r>
  </si>
  <si>
    <r>
      <t xml:space="preserve">36 − 10 = </t>
    </r>
    <r>
      <rPr>
        <b/>
        <sz val="11"/>
        <color rgb="FF060622"/>
        <rFont val="Aptos"/>
        <family val="2"/>
      </rPr>
      <t>26 valid observations</t>
    </r>
  </si>
  <si>
    <r>
      <t>Sample size (n):</t>
    </r>
    <r>
      <rPr>
        <sz val="11"/>
        <color rgb="FF060622"/>
        <rFont val="Aptos"/>
        <family val="2"/>
      </rPr>
      <t xml:space="preserve"> Most health indicators contain valid Louisiana and Mississippi observations across the full 2007–2024 analytical frame, producing </t>
    </r>
    <r>
      <rPr>
        <b/>
        <sz val="11"/>
        <color rgb="FF060622"/>
        <rFont val="Aptos"/>
        <family val="2"/>
      </rPr>
      <t>n = 36 State×Year pairs</t>
    </r>
    <r>
      <rPr>
        <sz val="11"/>
        <color rgb="FF060622"/>
        <rFont val="Aptos"/>
        <family val="2"/>
      </rPr>
      <t xml:space="preserve">. Naloxone dispensing data are unavailable for 2007–2011 in both states. These 10 unavailable observations remain NULL and are excluded pairwise, producing </t>
    </r>
    <r>
      <rPr>
        <b/>
        <sz val="11"/>
        <color rgb="FF060622"/>
        <rFont val="Aptos"/>
        <family val="2"/>
      </rPr>
      <t>n = 26</t>
    </r>
    <r>
      <rPr>
        <sz val="11"/>
        <color rgb="FF060622"/>
        <rFont val="Aptos"/>
        <family val="2"/>
      </rPr>
      <t xml:space="preserve"> for Naloxone correlations. Missing values are not imputed and are never treated as zero.</t>
    </r>
  </si>
  <si>
    <r>
      <t>Analytical Principle:</t>
    </r>
    <r>
      <rPr>
        <sz val="11"/>
        <color rgb="FF060622"/>
        <rFont val="Aptos"/>
        <family val="2"/>
      </rPr>
      <t xml:space="preserve"> Correlation results are reported as observed, including weak, negative, and incomplete relationships. Results are not selected or modified to support a predetermined narrative. Missing observations remain unavailable rather than being imputed as zero, and statistical associations are not interpreted as evidence of causation.</t>
    </r>
  </si>
  <si>
    <r>
      <t>Interpretation Guide:</t>
    </r>
    <r>
      <rPr>
        <sz val="11"/>
        <color rgb="FF060622"/>
        <rFont val="Aptos"/>
        <family val="2"/>
      </rPr>
      <t xml:space="preserve"> Pearson’s correlation coefficient (r) ranges from </t>
    </r>
    <r>
      <rPr>
        <b/>
        <sz val="11"/>
        <color rgb="FF060622"/>
        <rFont val="Aptos"/>
        <family val="2"/>
      </rPr>
      <t>−1.00 to +1.00</t>
    </r>
    <r>
      <rPr>
        <sz val="11"/>
        <color rgb="FF060622"/>
        <rFont val="Aptos"/>
        <family val="2"/>
      </rPr>
      <t>. The sign indicates direction; the absolute value indicates the strength of the linear association.</t>
    </r>
  </si>
  <si>
    <r>
      <t>|r| 0.00–0.19:</t>
    </r>
    <r>
      <rPr>
        <sz val="11"/>
        <color rgb="FF060622"/>
        <rFont val="Aptos"/>
        <family val="2"/>
      </rPr>
      <t xml:space="preserve"> Very weak</t>
    </r>
  </si>
  <si>
    <r>
      <t>|r| 0.20–0.39:</t>
    </r>
    <r>
      <rPr>
        <sz val="11"/>
        <color rgb="FF060622"/>
        <rFont val="Aptos"/>
        <family val="2"/>
      </rPr>
      <t xml:space="preserve"> Weak</t>
    </r>
  </si>
  <si>
    <r>
      <t>|r| 0.40–0.59:</t>
    </r>
    <r>
      <rPr>
        <sz val="11"/>
        <color rgb="FF060622"/>
        <rFont val="Aptos"/>
        <family val="2"/>
      </rPr>
      <t xml:space="preserve"> Moderate</t>
    </r>
  </si>
  <si>
    <r>
      <t>|r| 0.60–0.79:</t>
    </r>
    <r>
      <rPr>
        <sz val="11"/>
        <color rgb="FF060622"/>
        <rFont val="Aptos"/>
        <family val="2"/>
      </rPr>
      <t xml:space="preserve"> Strong</t>
    </r>
  </si>
  <si>
    <r>
      <t>|r| 0.80–1.00:</t>
    </r>
    <r>
      <rPr>
        <sz val="11"/>
        <color rgb="FF060622"/>
        <rFont val="Aptos"/>
        <family val="2"/>
      </rPr>
      <t xml:space="preserve"> Very strong</t>
    </r>
  </si>
  <si>
    <r>
      <t>Interpretation rule:</t>
    </r>
    <r>
      <rPr>
        <sz val="11"/>
        <color rgb="FF060622"/>
        <rFont val="Aptos"/>
        <family val="2"/>
      </rPr>
      <t xml:space="preserve"> These thresholds are used as a descriptive guide, not as proof of statistical or practical significance. Positive values indicate that the measures tend to increase together; negative values indicate that one tends to decrease as the other increases. Correlation describes linear association and does not establish causation.</t>
    </r>
  </si>
  <si>
    <r>
      <t>Reporting Rule:</t>
    </r>
    <r>
      <rPr>
        <sz val="11"/>
        <color rgb="FF060622"/>
        <rFont val="Aptos"/>
        <family val="2"/>
      </rPr>
      <t xml:space="preserve"> Report the calculated coefficient, sample size, direction, and strength without implying causation. Retain the complete correlation table—including weak, negative, and incomplete relationships—to preserve analytical transparency. Dashboard and portfolio narratives may highlight decision-relevant findings, but the underlying results remain available for review.</t>
    </r>
  </si>
  <si>
    <r>
      <t>Validated Highlight:</t>
    </r>
    <r>
      <rPr>
        <sz val="11"/>
        <color rgb="FF060622"/>
        <rFont val="Aptos"/>
        <family val="2"/>
      </rPr>
      <t xml:space="preserve"> Uninsured adult rates and chronic homelessness showed a </t>
    </r>
    <r>
      <rPr>
        <b/>
        <sz val="11"/>
        <color rgb="FF060622"/>
        <rFont val="Aptos"/>
        <family val="2"/>
      </rPr>
      <t>moderate positive association (Pearson r = +0.4719, n = 36)</t>
    </r>
    <r>
      <rPr>
        <sz val="11"/>
        <color rgb="FF060622"/>
        <rFont val="Aptos"/>
        <family val="2"/>
      </rPr>
      <t xml:space="preserve"> across Louisiana and Mississippi State×Year observations in the 2007–2024 analytical frame.</t>
    </r>
  </si>
  <si>
    <t>Purple</t>
  </si>
  <si>
    <t>Lavender</t>
  </si>
  <si>
    <t>Grey</t>
  </si>
  <si>
    <r>
      <t>To prove  analytical skills, dedicate a processing sheet called STATISTICAL_ANALYSIS</t>
    </r>
    <r>
      <rPr>
        <sz val="12"/>
        <color rgb="FF060622"/>
        <rFont val="Aptos Narrow"/>
        <family val="2"/>
      </rPr>
      <t>. This sheet will host the formulas comparing  health metrics (like diabetes or mental health rates) against homelessness numbers (like the PIT Count).</t>
    </r>
  </si>
  <si>
    <r>
      <t>Clean Correlation Formula (CORREL</t>
    </r>
    <r>
      <rPr>
        <sz val="12"/>
        <color rgb="FF060622"/>
        <rFont val="Aptos Narrow"/>
        <family val="2"/>
      </rPr>
      <t>)</t>
    </r>
  </si>
  <si>
    <r>
      <t>Pro-Tip: If health rates contain N/A</t>
    </r>
    <r>
      <rPr>
        <sz val="12"/>
        <color rgb="FF060622"/>
        <rFont val="Aptos Narrow"/>
        <family val="2"/>
      </rPr>
      <t xml:space="preserve"> or blank cells from suppressed data, Excel's default </t>
    </r>
    <r>
      <rPr>
        <sz val="11"/>
        <color rgb="FF060622"/>
        <rFont val="Aptos Narrow"/>
        <family val="2"/>
      </rPr>
      <t>CORREL</t>
    </r>
    <r>
      <rPr>
        <sz val="12"/>
        <color rgb="FF060622"/>
        <rFont val="Aptos Narrow"/>
        <family val="2"/>
      </rPr>
      <t xml:space="preserve"> formula will break. Clean it up by nesting it inside an </t>
    </r>
    <r>
      <rPr>
        <sz val="11"/>
        <color rgb="FF060622"/>
        <rFont val="Aptos Narrow"/>
        <family val="2"/>
      </rPr>
      <t>IFERROR</t>
    </r>
    <r>
      <rPr>
        <sz val="12"/>
        <color rgb="FF060622"/>
        <rFont val="Aptos Narrow"/>
        <family val="2"/>
      </rPr>
      <t xml:space="preserve"> formula like this: </t>
    </r>
    <r>
      <rPr>
        <sz val="11"/>
        <color rgb="FF060622"/>
        <rFont val="Aptos Narrow"/>
        <family val="2"/>
      </rPr>
      <t>=IFERROR(CORREL(B2:B50, C2:C50), "Incomplete Data")</t>
    </r>
    <r>
      <rPr>
        <sz val="12"/>
        <color rgb="FF060622"/>
        <rFont val="Aptos Narrow"/>
        <family val="2"/>
      </rPr>
      <t>.</t>
    </r>
  </si>
  <si>
    <r>
      <t>Percentile &amp; Outlier Benchmarking (PERCENTILE.INC</t>
    </r>
    <r>
      <rPr>
        <sz val="12"/>
        <color rgb="FF060622"/>
        <rFont val="Aptos Narrow"/>
        <family val="2"/>
      </rPr>
      <t>)</t>
    </r>
  </si>
  <si>
    <t>The Formula: =PERCENTILE.INC(Health_Rate_Range, 0.90)</t>
  </si>
  <si>
    <r>
      <t>Population-Weighted Health Averages (SUMPRODUCT</t>
    </r>
    <r>
      <rPr>
        <sz val="12"/>
        <color rgb="FF060622"/>
        <rFont val="Aptos Narrow"/>
        <family val="2"/>
      </rPr>
      <t>)</t>
    </r>
  </si>
  <si>
    <t>The Formula: =SUMPRODUCT(Health_Rate_Range, Population_Range) / SUM(Population_Range)</t>
  </si>
  <si>
    <r>
      <t>Use Data Validation Dropdowns (</t>
    </r>
    <r>
      <rPr>
        <i/>
        <sz val="12"/>
        <color rgb="FF060622"/>
        <rFont val="Aptos Narrow"/>
        <family val="2"/>
      </rPr>
      <t>Data &gt; Data Validation &gt; List</t>
    </r>
    <r>
      <rPr>
        <sz val="12"/>
        <color rgb="FF060622"/>
        <rFont val="Aptos Narrow"/>
        <family val="2"/>
      </rPr>
      <t>) to let a reviewer select "Louisiana" or "Mississippi".</t>
    </r>
  </si>
  <si>
    <r>
      <t>Use lookup formulas (XLOOKUP</t>
    </r>
    <r>
      <rPr>
        <sz val="12"/>
        <color rgb="FF060622"/>
        <rFont val="Aptos Narrow"/>
        <family val="2"/>
      </rPr>
      <t>) to make the rest of the dashboard automatically update based on the selected region.</t>
    </r>
  </si>
  <si>
    <r>
      <t>Design rule remember to r</t>
    </r>
    <r>
      <rPr>
        <sz val="12"/>
        <color rgb="FF060622"/>
        <rFont val="Aptos Narrow"/>
        <family val="2"/>
      </rPr>
      <t>emove background gridlines from chart and use dark slate gray for bars and a distinct color like teal for the trend line.</t>
    </r>
  </si>
  <si>
    <r>
      <t xml:space="preserve">Write a brief summary explaining </t>
    </r>
    <r>
      <rPr>
        <i/>
        <sz val="12"/>
        <color rgb="FF060622"/>
        <rFont val="Aptos Narrow"/>
        <family val="2"/>
      </rPr>
      <t>why</t>
    </r>
    <r>
      <rPr>
        <sz val="12"/>
        <color rgb="FF060622"/>
        <rFont val="Aptos Narrow"/>
        <family val="2"/>
      </rPr>
      <t xml:space="preserve"> the metrics on screen matter according to health literature. This proves I am doing data-driven public health strategy, not just plugging random numbers into a chart.</t>
    </r>
  </si>
  <si>
    <r>
      <t xml:space="preserve">Lock the Formula Cells: Highlight the dashboard, right-click, select </t>
    </r>
    <r>
      <rPr>
        <i/>
        <sz val="12"/>
        <color rgb="FF060622"/>
        <rFont val="Aptos Narrow"/>
        <family val="2"/>
      </rPr>
      <t>Format Cells &gt; Protection</t>
    </r>
    <r>
      <rPr>
        <sz val="12"/>
        <color rgb="FF060622"/>
        <rFont val="Aptos Narrow"/>
        <family val="2"/>
      </rPr>
      <t xml:space="preserve">, and check Locked. Then go to </t>
    </r>
    <r>
      <rPr>
        <i/>
        <sz val="12"/>
        <color rgb="FF060622"/>
        <rFont val="Aptos Narrow"/>
        <family val="2"/>
      </rPr>
      <t>Review &gt; Protect Sheet</t>
    </r>
    <r>
      <rPr>
        <sz val="12"/>
        <color rgb="FF060622"/>
        <rFont val="Aptos Narrow"/>
        <family val="2"/>
      </rPr>
      <t xml:space="preserve">. </t>
    </r>
  </si>
  <si>
    <r>
      <t>FIPS Code Formatting:</t>
    </r>
    <r>
      <rPr>
        <sz val="11"/>
        <color rgb="FF060622"/>
        <rFont val="Aptos Narrow"/>
        <family val="2"/>
      </rPr>
      <t xml:space="preserve"> The U.S. Census Bureau and CDC CDI use FIPS codes. Excel may drop leading zeros, which can cause FIPS values to be interpreted or stored incorrectly. Format FIPS columns as Text and use </t>
    </r>
    <r>
      <rPr>
        <sz val="10"/>
        <color rgb="FF060622"/>
        <rFont val="Aptos Narrow"/>
        <family val="2"/>
      </rPr>
      <t>=TEXT(A2,"00000")</t>
    </r>
    <r>
      <rPr>
        <sz val="11"/>
        <color rgb="FF060622"/>
        <rFont val="Aptos Narrow"/>
        <family val="2"/>
      </rPr>
      <t xml:space="preserve"> to preserve 5-digit county codes.</t>
    </r>
  </si>
  <si>
    <r>
      <t>README</t>
    </r>
    <r>
      <rPr>
        <sz val="11"/>
        <color rgb="FF060622"/>
        <rFont val="Aptos Narrow"/>
        <family val="2"/>
      </rPr>
      <t xml:space="preserve"> → Executive summary, project goals, and external sources list </t>
    </r>
  </si>
  <si>
    <r>
      <t>RAW_HUD</t>
    </r>
    <r>
      <rPr>
        <sz val="11"/>
        <color rgb="FF060622"/>
        <rFont val="Aptos Narrow"/>
        <family val="2"/>
      </rPr>
      <t xml:space="preserve"> → Unedited PIT and CoC metrics </t>
    </r>
  </si>
  <si>
    <r>
      <t>RAW_CDC</t>
    </r>
    <r>
      <rPr>
        <sz val="11"/>
        <color rgb="FF060622"/>
        <rFont val="Aptos Narrow"/>
        <family val="2"/>
      </rPr>
      <t xml:space="preserve"> → Unedited BRFSS, NVSS, and CDI health metrics </t>
    </r>
  </si>
  <si>
    <r>
      <t>RAW_LOCAL</t>
    </r>
    <r>
      <rPr>
        <sz val="11"/>
        <color rgb="FF060622"/>
        <rFont val="Aptos Narrow"/>
        <family val="2"/>
      </rPr>
      <t xml:space="preserve"> → Data from LA/MS Departments of Health, Back Bay Mission, and Open Doors </t>
    </r>
  </si>
  <si>
    <r>
      <t>GEO_MAPPING</t>
    </r>
    <r>
      <rPr>
        <sz val="11"/>
        <color rgb="FF060622"/>
        <rFont val="Aptos Narrow"/>
        <family val="2"/>
      </rPr>
      <t xml:space="preserve"> → Crosswalk table linking CoCs to counties/parishes </t>
    </r>
  </si>
  <si>
    <r>
      <t>PROCESSING</t>
    </r>
    <r>
      <rPr>
        <sz val="11"/>
        <color rgb="FF060622"/>
        <rFont val="Aptos Narrow"/>
        <family val="2"/>
      </rPr>
      <t xml:space="preserve"> → Formulas and transformations used to align health, housing, and homelessness data </t>
    </r>
  </si>
  <si>
    <r>
      <t>DASHBOARD</t>
    </r>
    <r>
      <rPr>
        <sz val="11"/>
        <color rgb="FF060622"/>
        <rFont val="Aptos Narrow"/>
        <family val="2"/>
      </rPr>
      <t xml:space="preserve"> → Clean charts, regional maps, resource views, and final insights</t>
    </r>
  </si>
  <si>
    <r>
      <t>Purpose:</t>
    </r>
    <r>
      <rPr>
        <sz val="11"/>
        <color rgb="FF060622"/>
        <rFont val="Aptos Narrow"/>
        <family val="2"/>
      </rPr>
      <t xml:space="preserve"> Document the authoritative sources used throughout the project, including federal and state government datasets, public-agency resources, and supplemental peer-reviewed research.</t>
    </r>
  </si>
  <si>
    <r>
      <t>Include fields for:</t>
    </r>
    <r>
      <rPr>
        <sz val="11"/>
        <color rgb="FF060622"/>
        <rFont val="Aptos Narrow"/>
        <family val="2"/>
      </rPr>
      <t xml:space="preserve"> Source/Author, Year, Dataset or Article Title, Organization/Publisher, Core Finding or Data Contribution, and Project Application.</t>
    </r>
  </si>
  <si>
    <r>
      <t>Source types include:</t>
    </r>
    <r>
      <rPr>
        <sz val="11"/>
        <color rgb="FF060622"/>
        <rFont val="Aptos Narrow"/>
        <family val="2"/>
      </rPr>
      <t xml:space="preserve"> HUD, U.S. Census Bureau, CDC, NVSS/NCHS, BRFSS, Louisiana and Mississippi health agencies, local community-service organizations, and one supporting peer-reviewed journal article.</t>
    </r>
  </si>
  <si>
    <r>
      <t>Project Value:</t>
    </r>
    <r>
      <rPr>
        <sz val="11"/>
        <color rgb="FF060622"/>
        <rFont val="Aptos Narrow"/>
        <family val="2"/>
      </rPr>
      <t xml:space="preserve"> Provides a transparent record showing where the data originated, how each source contributed to the analysis, and which analytical decisions were supported by external research.</t>
    </r>
  </si>
  <si>
    <r>
      <rPr>
        <b/>
        <sz val="11"/>
        <color rgb="FF060622"/>
        <rFont val="Aptos Narrow"/>
        <family val="2"/>
      </rPr>
      <t xml:space="preserve">Purpose: </t>
    </r>
    <r>
      <rPr>
        <sz val="11"/>
        <color rgb="FF060622"/>
        <rFont val="Aptos Narrow"/>
        <family val="2"/>
      </rPr>
      <t xml:space="preserve">Documents the parameters, calculated fields, worksheet logic, filters, dashboard assembly, validation, and publication workflow used to build the Tableau executive dashboard from the project’s cleaned and validated master datasets. Tableau uses the project’s cleaned and validated analytical </t>
    </r>
  </si>
  <si>
    <r>
      <rPr>
        <b/>
        <sz val="11"/>
        <color rgb="FF060622"/>
        <rFont val="Aptos Narrow"/>
        <family val="2"/>
      </rPr>
      <t>Homelessness &amp; Housing:</t>
    </r>
    <r>
      <rPr>
        <sz val="11"/>
        <color rgb="FF060622"/>
        <rFont val="Aptos Narrow"/>
        <family val="2"/>
      </rPr>
      <t xml:space="preserve"> Annual CoC-level observations.</t>
    </r>
  </si>
  <si>
    <r>
      <t>Parameter Name:</t>
    </r>
    <r>
      <rPr>
        <sz val="11"/>
        <color rgb="FF060622"/>
        <rFont val="Aptos Narrow"/>
        <family val="2"/>
      </rPr>
      <t xml:space="preserve"> Selected Year</t>
    </r>
  </si>
  <si>
    <r>
      <rPr>
        <b/>
        <sz val="11"/>
        <color rgb="FF060622"/>
        <rFont val="Aptos Narrow"/>
        <family val="2"/>
      </rPr>
      <t>Calculation Architecture:</t>
    </r>
    <r>
      <rPr>
        <sz val="11"/>
        <color rgb="FF060622"/>
        <rFont val="Aptos Narrow"/>
        <family val="2"/>
      </rPr>
      <t xml:space="preserve"> The Selected Year parameter</t>
    </r>
  </si>
  <si>
    <r>
      <rPr>
        <b/>
        <sz val="11"/>
        <color rgb="FF060622"/>
        <rFont val="Aptos Narrow"/>
        <family val="2"/>
      </rPr>
      <t xml:space="preserve">Interaction Architecture: </t>
    </r>
    <r>
      <rPr>
        <sz val="11"/>
        <color rgb="FF060622"/>
        <rFont val="Aptos Narrow"/>
        <family val="2"/>
      </rPr>
      <t>The dashboard combines a year-</t>
    </r>
  </si>
  <si>
    <r>
      <t>Data Type:</t>
    </r>
    <r>
      <rPr>
        <sz val="11"/>
        <color rgb="FF060622"/>
        <rFont val="Aptos Narrow"/>
        <family val="2"/>
      </rPr>
      <t xml:space="preserve"> Integer</t>
    </r>
  </si>
  <si>
    <r>
      <rPr>
        <b/>
        <sz val="11"/>
        <color rgb="FF060622"/>
        <rFont val="Aptos Narrow"/>
        <family val="2"/>
      </rPr>
      <t>Purpose:</t>
    </r>
    <r>
      <rPr>
        <sz val="11"/>
        <color rgb="FF060622"/>
        <rFont val="Aptos Narrow"/>
        <family val="2"/>
      </rPr>
      <t xml:space="preserve"> Displays the six selected Continuum of Care</t>
    </r>
  </si>
  <si>
    <r>
      <t>Allowable Values:</t>
    </r>
    <r>
      <rPr>
        <sz val="11"/>
        <color rgb="FF060622"/>
        <rFont val="Aptos Narrow"/>
        <family val="2"/>
      </rPr>
      <t xml:space="preserve"> 2007–2024</t>
    </r>
  </si>
  <si>
    <r>
      <t>Default / Published View:</t>
    </r>
    <r>
      <rPr>
        <sz val="11"/>
        <color rgb="FF060622"/>
        <rFont val="Aptos Narrow"/>
        <family val="2"/>
      </rPr>
      <t xml:space="preserve"> 2024</t>
    </r>
  </si>
  <si>
    <r>
      <rPr>
        <b/>
        <sz val="11"/>
        <color rgb="FF060622"/>
        <rFont val="Aptos Narrow"/>
        <family val="2"/>
      </rPr>
      <t>Purpose:</t>
    </r>
    <r>
      <rPr>
        <sz val="11"/>
        <color rgb="FF060622"/>
        <rFont val="Aptos Narrow"/>
        <family val="2"/>
      </rPr>
      <t xml:space="preserve"> The Selected Year parameter allows the user to </t>
    </r>
  </si>
  <si>
    <r>
      <rPr>
        <b/>
        <sz val="11"/>
        <color rgb="FF060622"/>
        <rFont val="Aptos Narrow"/>
        <family val="2"/>
      </rPr>
      <t>Public Health:</t>
    </r>
    <r>
      <rPr>
        <sz val="11"/>
        <color rgb="FF060622"/>
        <rFont val="Aptos Narrow"/>
        <family val="2"/>
      </rPr>
      <t xml:space="preserve"> State×Year×Metric observations. Each record</t>
    </r>
  </si>
  <si>
    <r>
      <rPr>
        <b/>
        <sz val="11"/>
        <color rgb="FF060622"/>
        <rFont val="Aptos Narrow"/>
        <family val="2"/>
      </rPr>
      <t>Calculated Geographic Fields:</t>
    </r>
    <r>
      <rPr>
        <sz val="11"/>
        <color rgb="FF060622"/>
        <rFont val="Aptos Narrow"/>
        <family val="2"/>
      </rPr>
      <t xml:space="preserve"> Region Latitude and Region</t>
    </r>
  </si>
  <si>
    <r>
      <rPr>
        <b/>
        <sz val="11"/>
        <color rgb="FF060622"/>
        <rFont val="Aptos Narrow"/>
        <family val="2"/>
      </rPr>
      <t>Selected-Year Logic:</t>
    </r>
    <r>
      <rPr>
        <sz val="11"/>
        <color rgb="FF060622"/>
        <rFont val="Aptos Narrow"/>
        <family val="2"/>
      </rPr>
      <t xml:space="preserve"> A calculated Selected Year Filter</t>
    </r>
  </si>
  <si>
    <r>
      <t>Primary dimensions:</t>
    </r>
    <r>
      <rPr>
        <sz val="11"/>
        <color rgb="FF060622"/>
        <rFont val="Aptos Narrow"/>
        <family val="2"/>
      </rPr>
      <t xml:space="preserve"> Year, State, CoC_ID, CoC Region</t>
    </r>
  </si>
  <si>
    <r>
      <rPr>
        <b/>
        <sz val="11"/>
        <color rgb="FF060622"/>
        <rFont val="Aptos Narrow"/>
        <family val="2"/>
      </rPr>
      <t>Design Principle:</t>
    </r>
    <r>
      <rPr>
        <sz val="11"/>
        <color rgb="FF060622"/>
        <rFont val="Aptos Narrow"/>
        <family val="2"/>
      </rPr>
      <t xml:space="preserve"> A single year parameter is reused across</t>
    </r>
  </si>
  <si>
    <r>
      <rPr>
        <b/>
        <sz val="10"/>
        <color rgb="FF060622"/>
        <rFont val="Aptos Narrow"/>
        <family val="2"/>
      </rPr>
      <t>Columns:</t>
    </r>
    <r>
      <rPr>
        <sz val="10"/>
        <color rgb="FF060622"/>
        <rFont val="Aptos Narrow"/>
        <family val="2"/>
      </rPr>
      <t xml:space="preserve"> AVG(Region Longitude) </t>
    </r>
  </si>
  <si>
    <r>
      <rPr>
        <b/>
        <sz val="10"/>
        <color rgb="FF060622"/>
        <rFont val="Aptos Narrow"/>
        <family val="2"/>
      </rPr>
      <t>Rows:</t>
    </r>
    <r>
      <rPr>
        <sz val="10"/>
        <color rgb="FF060622"/>
        <rFont val="Aptos Narrow"/>
        <family val="2"/>
      </rPr>
      <t xml:space="preserve"> AVG(Region Latitude)</t>
    </r>
  </si>
  <si>
    <r>
      <rPr>
        <b/>
        <sz val="10"/>
        <color rgb="FF060622"/>
        <rFont val="Aptos Narrow"/>
        <family val="2"/>
      </rPr>
      <t xml:space="preserve">Selected Year Filter: </t>
    </r>
    <r>
      <rPr>
        <sz val="10"/>
        <color rgb="FF060622"/>
        <rFont val="Aptos Narrow"/>
        <family val="2"/>
      </rPr>
      <t>True</t>
    </r>
  </si>
  <si>
    <r>
      <rPr>
        <b/>
        <sz val="11"/>
        <color rgb="FF060622"/>
        <rFont val="Aptos Narrow"/>
        <family val="2"/>
      </rPr>
      <t>KPI Exception:</t>
    </r>
    <r>
      <rPr>
        <sz val="11"/>
        <color rgb="FF060622"/>
        <rFont val="Aptos Narrow"/>
        <family val="2"/>
      </rPr>
      <t xml:space="preserve"> KPI cards use the Selected Year parameter</t>
    </r>
  </si>
  <si>
    <r>
      <rPr>
        <b/>
        <sz val="10"/>
        <color rgb="FF060622"/>
        <rFont val="Aptos Narrow"/>
        <family val="2"/>
      </rPr>
      <t>Additional Filters:</t>
    </r>
    <r>
      <rPr>
        <sz val="10"/>
        <color rgb="FF060622"/>
        <rFont val="Aptos Narrow"/>
        <family val="2"/>
      </rPr>
      <t xml:space="preserve"> State, CoC Region</t>
    </r>
  </si>
  <si>
    <r>
      <rPr>
        <b/>
        <sz val="10"/>
        <color rgb="FF060622"/>
        <rFont val="Aptos Narrow"/>
        <family val="2"/>
      </rPr>
      <t>Color:</t>
    </r>
    <r>
      <rPr>
        <sz val="10"/>
        <color rgb="FF060622"/>
        <rFont val="Aptos Narrow"/>
        <family val="2"/>
      </rPr>
      <t xml:space="preserve"> CoC Region</t>
    </r>
  </si>
  <si>
    <r>
      <rPr>
        <b/>
        <sz val="11"/>
        <color rgb="FF060622"/>
        <rFont val="Aptos Narrow"/>
        <family val="2"/>
      </rPr>
      <t>Demographic measures:</t>
    </r>
    <r>
      <rPr>
        <sz val="11"/>
        <color rgb="FF060622"/>
        <rFont val="Aptos Narrow"/>
        <family val="2"/>
      </rPr>
      <t xml:space="preserve"> age, gender, veteran, and</t>
    </r>
  </si>
  <si>
    <r>
      <rPr>
        <b/>
        <sz val="10"/>
        <color rgb="FF060622"/>
        <rFont val="Aptos Narrow"/>
        <family val="2"/>
      </rPr>
      <t>Size:</t>
    </r>
    <r>
      <rPr>
        <sz val="10"/>
        <color rgb="FF060622"/>
        <rFont val="Aptos Narrow"/>
        <family val="2"/>
      </rPr>
      <t xml:space="preserve"> SUM(Overall Homeless)</t>
    </r>
  </si>
  <si>
    <r>
      <rPr>
        <b/>
        <sz val="10"/>
        <color rgb="FF060622"/>
        <rFont val="Aptos Narrow"/>
        <family val="2"/>
      </rPr>
      <t>Detail:</t>
    </r>
    <r>
      <rPr>
        <sz val="10"/>
        <color rgb="FF060622"/>
        <rFont val="Aptos Narrow"/>
        <family val="2"/>
      </rPr>
      <t xml:space="preserve"> State, CoC Region</t>
    </r>
  </si>
  <si>
    <r>
      <rPr>
        <b/>
        <sz val="11"/>
        <color rgb="FF060622"/>
        <rFont val="Aptos Narrow"/>
        <family val="2"/>
      </rPr>
      <t>Housing measures:</t>
    </r>
    <r>
      <rPr>
        <sz val="11"/>
        <color rgb="FF060622"/>
        <rFont val="Aptos Narrow"/>
        <family val="2"/>
      </rPr>
      <t xml:space="preserve"> ES Beds, TH Beds, RRH Beds</t>
    </r>
  </si>
  <si>
    <r>
      <rPr>
        <b/>
        <sz val="11"/>
        <color rgb="FF060622"/>
        <rFont val="Aptos Narrow"/>
        <family val="2"/>
      </rPr>
      <t>Historical Trend Exception:</t>
    </r>
    <r>
      <rPr>
        <sz val="11"/>
        <color rgb="FF060622"/>
        <rFont val="Aptos Narrow"/>
        <family val="2"/>
      </rPr>
      <t xml:space="preserve"> Annual Homelessness Trend</t>
    </r>
  </si>
  <si>
    <r>
      <rPr>
        <b/>
        <sz val="11"/>
        <color rgb="FF060622"/>
        <rFont val="Aptos Narrow"/>
        <family val="2"/>
      </rPr>
      <t>Coordinate Logic:</t>
    </r>
    <r>
      <rPr>
        <sz val="11"/>
        <color rgb="FF060622"/>
        <rFont val="Aptos Narrow"/>
        <family val="2"/>
      </rPr>
      <t xml:space="preserve"> Custom latitude and longitude</t>
    </r>
  </si>
  <si>
    <r>
      <rPr>
        <b/>
        <sz val="11"/>
        <color rgb="FF060622"/>
        <rFont val="Aptos Narrow"/>
        <family val="2"/>
      </rPr>
      <t>Health fields:</t>
    </r>
    <r>
      <rPr>
        <sz val="11"/>
        <color rgb="FF060622"/>
        <rFont val="Aptos Narrow"/>
        <family val="2"/>
      </rPr>
      <t xml:space="preserve"> Year, State, Metric_Name, Metric_Value</t>
    </r>
  </si>
  <si>
    <r>
      <rPr>
        <b/>
        <sz val="11"/>
        <color rgb="FF060622"/>
        <rFont val="Aptos Narrow"/>
        <family val="2"/>
      </rPr>
      <t>Grain rule:</t>
    </r>
    <r>
      <rPr>
        <sz val="11"/>
        <color rgb="FF060622"/>
        <rFont val="Aptos Narrow"/>
        <family val="2"/>
      </rPr>
      <t xml:space="preserve"> Measures are aggregated and compared only</t>
    </r>
  </si>
  <si>
    <r>
      <rPr>
        <b/>
        <sz val="11"/>
        <color rgb="FF060622"/>
        <rFont val="Aptos Narrow"/>
        <family val="2"/>
      </rPr>
      <t>Interaction Rule:</t>
    </r>
    <r>
      <rPr>
        <sz val="11"/>
        <color rgb="FF060622"/>
        <rFont val="Aptos Narrow"/>
        <family val="2"/>
      </rPr>
      <t xml:space="preserve"> Dashboard controls are applied only</t>
    </r>
  </si>
  <si>
    <r>
      <rPr>
        <b/>
        <sz val="11"/>
        <color rgb="FF060622"/>
        <rFont val="Aptos Narrow"/>
        <family val="2"/>
      </rPr>
      <t xml:space="preserve">Interaction Logic: </t>
    </r>
    <r>
      <rPr>
        <sz val="11"/>
        <color rgb="FF060622"/>
        <rFont val="Aptos Narrow"/>
        <family val="2"/>
      </rPr>
      <t>State and CoC Region filters are applied</t>
    </r>
  </si>
  <si>
    <r>
      <rPr>
        <b/>
        <sz val="11"/>
        <color rgb="FF060622"/>
        <rFont val="Aptos Narrow"/>
        <family val="2"/>
      </rPr>
      <t xml:space="preserve">QA Rule: </t>
    </r>
    <r>
      <rPr>
        <sz val="11"/>
        <color rgb="FF060622"/>
        <rFont val="Aptos Narrow"/>
        <family val="2"/>
      </rPr>
      <t>Current-year and prior-year values are validated</t>
    </r>
  </si>
  <si>
    <r>
      <rPr>
        <b/>
        <sz val="11"/>
        <color rgb="FF060622"/>
        <rFont val="Aptos Narrow"/>
        <family val="2"/>
      </rPr>
      <t>Reproducibility Note:</t>
    </r>
    <r>
      <rPr>
        <sz val="11"/>
        <color rgb="FF060622"/>
        <rFont val="Aptos Narrow"/>
        <family val="2"/>
      </rPr>
      <t xml:space="preserve"> Geographic placement is therefore</t>
    </r>
  </si>
  <si>
    <r>
      <rPr>
        <b/>
        <sz val="11"/>
        <color rgb="FF060622"/>
        <rFont val="Aptos Narrow"/>
        <family val="2"/>
      </rPr>
      <t>Purpose:</t>
    </r>
    <r>
      <rPr>
        <sz val="11"/>
        <color rgb="FF060622"/>
        <rFont val="Aptos Narrow"/>
        <family val="2"/>
      </rPr>
      <t xml:space="preserve"> Returns TRUE only when the health-data year</t>
    </r>
  </si>
  <si>
    <r>
      <t>Visual Type:</t>
    </r>
    <r>
      <rPr>
        <sz val="10"/>
        <color rgb="FF060622"/>
        <rFont val="Aptos Narrow"/>
        <family val="2"/>
      </rPr>
      <t xml:space="preserve"> Text-based KPI card</t>
    </r>
  </si>
  <si>
    <r>
      <t>Rows:</t>
    </r>
    <r>
      <rPr>
        <sz val="10"/>
        <color rgb="FF060622"/>
        <rFont val="Aptos Narrow"/>
        <family val="2"/>
      </rPr>
      <t xml:space="preserve"> None</t>
    </r>
  </si>
  <si>
    <r>
      <t>Columns:</t>
    </r>
    <r>
      <rPr>
        <sz val="10"/>
        <color rgb="FF060622"/>
        <rFont val="Aptos Narrow"/>
        <family val="2"/>
      </rPr>
      <t xml:space="preserve"> None</t>
    </r>
  </si>
  <si>
    <r>
      <t>Marks Type:</t>
    </r>
    <r>
      <rPr>
        <sz val="10"/>
        <color rgb="FF060622"/>
        <rFont val="Aptos Narrow"/>
        <family val="2"/>
      </rPr>
      <t xml:space="preserve"> Automatic / Text</t>
    </r>
  </si>
  <si>
    <r>
      <rPr>
        <b/>
        <sz val="11"/>
        <color rgb="FF060622"/>
        <rFont val="Aptos Narrow"/>
        <family val="2"/>
      </rPr>
      <t xml:space="preserve">Purpose: </t>
    </r>
    <r>
      <rPr>
        <sz val="11"/>
        <color rgb="FF060622"/>
        <rFont val="Aptos Narrow"/>
        <family val="2"/>
      </rPr>
      <t>Returns the Overall Homeless value only for the</t>
    </r>
  </si>
  <si>
    <r>
      <rPr>
        <b/>
        <sz val="11"/>
        <color rgb="FF060622"/>
        <rFont val="Aptos Narrow"/>
        <family val="2"/>
      </rPr>
      <t xml:space="preserve">Purpose: </t>
    </r>
    <r>
      <rPr>
        <sz val="11"/>
        <color rgb="FF060622"/>
        <rFont val="Aptos Narrow"/>
        <family val="2"/>
      </rPr>
      <t>Returns TRUE when the homelessness-data year</t>
    </r>
  </si>
  <si>
    <r>
      <rPr>
        <b/>
        <sz val="11"/>
        <color rgb="FF060622"/>
        <rFont val="Aptos Narrow"/>
        <family val="2"/>
      </rPr>
      <t>Purpose:</t>
    </r>
    <r>
      <rPr>
        <sz val="11"/>
        <color rgb="FF060622"/>
        <rFont val="Aptos Narrow"/>
        <family val="2"/>
      </rPr>
      <t xml:space="preserve"> Applies the Selected Year parameter to the</t>
    </r>
  </si>
  <si>
    <r>
      <rPr>
        <b/>
        <sz val="11"/>
        <color rgb="FF060622"/>
        <rFont val="Aptos Narrow"/>
        <family val="2"/>
      </rPr>
      <t>Architecture / Purpose:</t>
    </r>
    <r>
      <rPr>
        <sz val="11"/>
        <color rgb="FF060622"/>
        <rFont val="Aptos Narrow"/>
        <family val="2"/>
      </rPr>
      <t xml:space="preserve"> Builds the Total Homeless KPI as a</t>
    </r>
  </si>
  <si>
    <r>
      <rPr>
        <b/>
        <sz val="11"/>
        <color rgb="FF060622"/>
        <rFont val="Aptos Narrow"/>
        <family val="2"/>
      </rPr>
      <t>Filter Type:</t>
    </r>
    <r>
      <rPr>
        <sz val="11"/>
        <color rgb="FF060622"/>
        <rFont val="Aptos Narrow"/>
        <family val="2"/>
      </rPr>
      <t xml:space="preserve"> </t>
    </r>
    <r>
      <rPr>
        <sz val="10"/>
        <color rgb="FF060622"/>
        <rFont val="Aptos Narrow"/>
        <family val="2"/>
      </rPr>
      <t>Multiple Values (dropdown)</t>
    </r>
  </si>
  <si>
    <r>
      <rPr>
        <b/>
        <sz val="11"/>
        <color rgb="FF060622"/>
        <rFont val="Aptos Narrow"/>
        <family val="2"/>
      </rPr>
      <t>Scope:</t>
    </r>
    <r>
      <rPr>
        <sz val="10"/>
        <color rgb="FF060622"/>
        <rFont val="Aptos Narrow"/>
        <family val="2"/>
      </rPr>
      <t xml:space="preserve"> Only This Worksheet (Health Context)</t>
    </r>
  </si>
  <si>
    <r>
      <rPr>
        <b/>
        <sz val="11"/>
        <color rgb="FF060622"/>
        <rFont val="Aptos Narrow"/>
        <family val="2"/>
      </rPr>
      <t xml:space="preserve">Purpose: </t>
    </r>
    <r>
      <rPr>
        <sz val="11"/>
        <color rgb="FF060622"/>
        <rFont val="Aptos Narrow"/>
        <family val="2"/>
      </rPr>
      <t>Allows the user to select the public-health</t>
    </r>
  </si>
  <si>
    <r>
      <rPr>
        <b/>
        <sz val="11"/>
        <color rgb="FF060622"/>
        <rFont val="Aptos Narrow"/>
        <family val="2"/>
      </rPr>
      <t>Filter Type:</t>
    </r>
    <r>
      <rPr>
        <sz val="10"/>
        <color rgb="FF060622"/>
        <rFont val="Aptos Narrow"/>
        <family val="2"/>
      </rPr>
      <t xml:space="preserve"> Multiple Values (dropdown)</t>
    </r>
  </si>
  <si>
    <r>
      <rPr>
        <b/>
        <sz val="11"/>
        <color rgb="FF060622"/>
        <rFont val="Aptos Narrow"/>
        <family val="2"/>
      </rPr>
      <t>Value Display:</t>
    </r>
    <r>
      <rPr>
        <sz val="11"/>
        <color rgb="FF060622"/>
        <rFont val="Aptos Narrow"/>
        <family val="2"/>
      </rPr>
      <t xml:space="preserve"> </t>
    </r>
    <r>
      <rPr>
        <sz val="10"/>
        <color rgb="FF060622"/>
        <rFont val="Aptos Narrow"/>
        <family val="2"/>
      </rPr>
      <t>Only Relevant Values</t>
    </r>
  </si>
  <si>
    <r>
      <rPr>
        <b/>
        <sz val="11"/>
        <color rgb="FF060622"/>
        <rFont val="Aptos Narrow"/>
        <family val="2"/>
      </rPr>
      <t>Mode:</t>
    </r>
    <r>
      <rPr>
        <sz val="10"/>
        <color rgb="FF060622"/>
        <rFont val="Aptos Narrow"/>
        <family val="2"/>
      </rPr>
      <t xml:space="preserve"> Include Values</t>
    </r>
  </si>
  <si>
    <r>
      <rPr>
        <b/>
        <sz val="11"/>
        <color rgb="FF060622"/>
        <rFont val="Aptos Narrow"/>
        <family val="2"/>
      </rPr>
      <t>Scope:</t>
    </r>
    <r>
      <rPr>
        <sz val="10"/>
        <color rgb="FF060622"/>
        <rFont val="Aptos Narrow"/>
        <family val="2"/>
      </rPr>
      <t xml:space="preserve"> Selected Worksheets — 13 worksheets</t>
    </r>
  </si>
  <si>
    <r>
      <rPr>
        <b/>
        <sz val="11"/>
        <color rgb="FF060622"/>
        <rFont val="Aptos Narrow"/>
        <family val="2"/>
      </rPr>
      <t>Applied Worksheets:</t>
    </r>
    <r>
      <rPr>
        <sz val="11"/>
        <color rgb="FF060622"/>
        <rFont val="Aptos Narrow"/>
        <family val="2"/>
      </rPr>
      <t xml:space="preserve"> Homelessness by Region; KPI </t>
    </r>
  </si>
  <si>
    <r>
      <rPr>
        <b/>
        <sz val="11"/>
        <color rgb="FF060622"/>
        <rFont val="Aptos Narrow"/>
        <family val="2"/>
      </rPr>
      <t>QA Note:</t>
    </r>
    <r>
      <rPr>
        <sz val="11"/>
        <color rgb="FF060622"/>
        <rFont val="Aptos Narrow"/>
        <family val="2"/>
      </rPr>
      <t xml:space="preserve"> Homeless YoY % Change is present on the</t>
    </r>
  </si>
  <si>
    <r>
      <t>Visual Type:</t>
    </r>
    <r>
      <rPr>
        <sz val="10"/>
        <color rgb="FF060622"/>
        <rFont val="Aptos Narrow"/>
        <family val="2"/>
      </rPr>
      <t xml:space="preserve"> Historical sparkline / line trend</t>
    </r>
  </si>
  <si>
    <r>
      <t>Columns:</t>
    </r>
    <r>
      <rPr>
        <sz val="10"/>
        <color rgb="FF060622"/>
        <rFont val="Aptos Narrow"/>
        <family val="2"/>
      </rPr>
      <t xml:space="preserve"> Year</t>
    </r>
  </si>
  <si>
    <r>
      <t>Rows:</t>
    </r>
    <r>
      <rPr>
        <sz val="10"/>
        <color rgb="FF060622"/>
        <rFont val="Aptos Narrow"/>
        <family val="2"/>
      </rPr>
      <t xml:space="preserve"> SUM(Overall Homeless)</t>
    </r>
  </si>
  <si>
    <r>
      <rPr>
        <b/>
        <sz val="11"/>
        <color rgb="FF060622"/>
        <rFont val="Aptos Narrow"/>
        <family val="2"/>
      </rPr>
      <t>Excluded Worksheet:</t>
    </r>
    <r>
      <rPr>
        <sz val="10"/>
        <color rgb="FF060622"/>
        <rFont val="Aptos Narrow"/>
        <family val="2"/>
      </rPr>
      <t xml:space="preserve"> Health Context</t>
    </r>
  </si>
  <si>
    <r>
      <t>Filters:</t>
    </r>
    <r>
      <rPr>
        <sz val="10"/>
        <color rgb="FF060622"/>
        <rFont val="Aptos Narrow"/>
        <family val="2"/>
      </rPr>
      <t xml:space="preserve"> State; CoC Region</t>
    </r>
  </si>
  <si>
    <r>
      <rPr>
        <b/>
        <sz val="11"/>
        <color rgb="FF060622"/>
        <rFont val="Aptos Narrow"/>
        <family val="2"/>
      </rPr>
      <t>Purpose:</t>
    </r>
    <r>
      <rPr>
        <sz val="11"/>
        <color rgb="FF060622"/>
        <rFont val="Aptos Narrow"/>
        <family val="2"/>
      </rPr>
      <t xml:space="preserve"> Allows the selected CoC Region to refine</t>
    </r>
  </si>
  <si>
    <r>
      <t>Selected Year Filter:</t>
    </r>
    <r>
      <rPr>
        <sz val="10"/>
        <color rgb="FF060622"/>
        <rFont val="Aptos Narrow"/>
        <family val="2"/>
      </rPr>
      <t xml:space="preserve"> None</t>
    </r>
  </si>
  <si>
    <r>
      <rPr>
        <b/>
        <sz val="11"/>
        <color rgb="FF060622"/>
        <rFont val="Aptos Narrow"/>
        <family val="2"/>
      </rPr>
      <t>Purpose:</t>
    </r>
    <r>
      <rPr>
        <sz val="11"/>
        <color rgb="FF060622"/>
        <rFont val="Aptos Narrow"/>
        <family val="2"/>
      </rPr>
      <t xml:space="preserve"> Preserves and displays the historical Overall</t>
    </r>
  </si>
  <si>
    <r>
      <rPr>
        <b/>
        <sz val="11"/>
        <color rgb="FF060622"/>
        <rFont val="Aptos Narrow"/>
        <family val="2"/>
      </rPr>
      <t>Value Display:</t>
    </r>
    <r>
      <rPr>
        <sz val="10"/>
        <color rgb="FF060622"/>
        <rFont val="Aptos Narrow"/>
        <family val="2"/>
      </rPr>
      <t xml:space="preserve"> All Values in Database</t>
    </r>
  </si>
  <si>
    <r>
      <rPr>
        <b/>
        <sz val="11"/>
        <color rgb="FF060622"/>
        <rFont val="Aptos Narrow"/>
        <family val="2"/>
      </rPr>
      <t>Applied Worksheets:</t>
    </r>
    <r>
      <rPr>
        <sz val="11"/>
        <color rgb="FF060622"/>
        <rFont val="Aptos Narrow"/>
        <family val="2"/>
      </rPr>
      <t xml:space="preserve"> Homelessness by Region; KPI</t>
    </r>
  </si>
  <si>
    <r>
      <rPr>
        <b/>
        <sz val="11"/>
        <color rgb="FF060622"/>
        <rFont val="Aptos Narrow"/>
        <family val="2"/>
      </rPr>
      <t>Purpose:</t>
    </r>
    <r>
      <rPr>
        <sz val="11"/>
        <color rgb="FF060622"/>
        <rFont val="Aptos Narrow"/>
        <family val="2"/>
      </rPr>
      <t xml:space="preserve"> Allows State selections to refine homelessness,</t>
    </r>
  </si>
  <si>
    <r>
      <t>Rows:</t>
    </r>
    <r>
      <rPr>
        <sz val="10"/>
        <color rgb="FF060622"/>
        <rFont val="Aptos Narrow"/>
        <family val="2"/>
      </rPr>
      <t xml:space="preserve"> SUM(Sheltered Total Homeless Individuals)</t>
    </r>
  </si>
  <si>
    <r>
      <t>Marks Type:</t>
    </r>
    <r>
      <rPr>
        <sz val="10"/>
        <color rgb="FF060622"/>
        <rFont val="Aptos Narrow"/>
        <family val="2"/>
      </rPr>
      <t xml:space="preserve"> Automatic (rendered as Line)</t>
    </r>
  </si>
  <si>
    <r>
      <rPr>
        <b/>
        <sz val="11"/>
        <color rgb="FF060622"/>
        <rFont val="Aptos Narrow"/>
        <family val="2"/>
      </rPr>
      <t xml:space="preserve">Purpose: </t>
    </r>
    <r>
      <rPr>
        <sz val="11"/>
        <color rgb="FF060622"/>
        <rFont val="Aptos Narrow"/>
        <family val="2"/>
      </rPr>
      <t>Preserves the historical Sheltered Total Homeless</t>
    </r>
  </si>
  <si>
    <r>
      <t>Rows:</t>
    </r>
    <r>
      <rPr>
        <sz val="10"/>
        <color rgb="FF060622"/>
        <rFont val="Aptos Narrow"/>
        <family val="2"/>
      </rPr>
      <t xml:space="preserve"> SUM(Unsheltered Homeless Individual)</t>
    </r>
  </si>
  <si>
    <r>
      <rPr>
        <b/>
        <sz val="11"/>
        <color rgb="FF060622"/>
        <rFont val="Aptos Narrow"/>
        <family val="2"/>
      </rPr>
      <t>Purpose:</t>
    </r>
    <r>
      <rPr>
        <sz val="11"/>
        <color rgb="FF060622"/>
        <rFont val="Aptos Narrow"/>
        <family val="2"/>
      </rPr>
      <t xml:space="preserve"> Preserves the historical Unsheltered Homeless</t>
    </r>
  </si>
  <si>
    <r>
      <t>Rows:</t>
    </r>
    <r>
      <rPr>
        <sz val="10"/>
        <color rgb="FF060622"/>
        <rFont val="Aptos Narrow"/>
        <family val="2"/>
      </rPr>
      <t xml:space="preserve"> SUM(Overall Chronically Homeless Individuals)</t>
    </r>
  </si>
  <si>
    <r>
      <rPr>
        <b/>
        <sz val="11"/>
        <color rgb="FF060622"/>
        <rFont val="Aptos Narrow"/>
        <family val="2"/>
      </rPr>
      <t>Purpose:</t>
    </r>
    <r>
      <rPr>
        <sz val="11"/>
        <color rgb="FF060622"/>
        <rFont val="Aptos Narrow"/>
        <family val="2"/>
      </rPr>
      <t xml:space="preserve"> Preserves the historical Overall Chronically</t>
    </r>
  </si>
  <si>
    <r>
      <t>Visual Type:</t>
    </r>
    <r>
      <rPr>
        <sz val="10"/>
        <color rgb="FF060622"/>
        <rFont val="Aptos Narrow"/>
        <family val="2"/>
      </rPr>
      <t xml:space="preserve"> Historical trend with selected-year highlight</t>
    </r>
  </si>
  <si>
    <r>
      <t>Rows:</t>
    </r>
    <r>
      <rPr>
        <sz val="10"/>
        <color rgb="FF060622"/>
        <rFont val="Aptos Narrow"/>
        <family val="2"/>
      </rPr>
      <t xml:space="preserve"> two measures:</t>
    </r>
  </si>
  <si>
    <r>
      <t>No Selected Year Filter</t>
    </r>
    <r>
      <rPr>
        <sz val="10"/>
        <color rgb="FF060622"/>
        <rFont val="Aptos Narrow"/>
        <family val="2"/>
      </rPr>
      <t xml:space="preserve"> </t>
    </r>
  </si>
  <si>
    <r>
      <rPr>
        <b/>
        <sz val="10"/>
        <color rgb="FF060622"/>
        <rFont val="Aptos Narrow"/>
        <family val="2"/>
      </rPr>
      <t>Marks architecture:</t>
    </r>
    <r>
      <rPr>
        <sz val="10"/>
        <color rgb="FF060622"/>
        <rFont val="Aptos Narrow"/>
        <family val="2"/>
      </rPr>
      <t xml:space="preserve"> Multiple — Tableau has separate Marks</t>
    </r>
  </si>
  <si>
    <r>
      <t xml:space="preserve">Measure Names is also on </t>
    </r>
    <r>
      <rPr>
        <b/>
        <sz val="10"/>
        <color rgb="FF060622"/>
        <rFont val="Aptos Narrow"/>
        <family val="2"/>
      </rPr>
      <t>Color</t>
    </r>
    <r>
      <rPr>
        <sz val="10"/>
        <color rgb="FF060622"/>
        <rFont val="Aptos Narrow"/>
        <family val="2"/>
      </rPr>
      <t xml:space="preserve"> at the All level.</t>
    </r>
  </si>
  <si>
    <r>
      <rPr>
        <b/>
        <sz val="11"/>
        <color rgb="FF060622"/>
        <rFont val="Aptos Narrow"/>
        <family val="2"/>
      </rPr>
      <t>Marks Type:</t>
    </r>
    <r>
      <rPr>
        <sz val="10"/>
        <color rgb="FF060622"/>
        <rFont val="Aptos Narrow"/>
        <family val="2"/>
      </rPr>
      <t xml:space="preserve"> Automatic (rendered as Line)</t>
    </r>
  </si>
  <si>
    <r>
      <t xml:space="preserve">Measure Names → </t>
    </r>
    <r>
      <rPr>
        <b/>
        <sz val="10"/>
        <color rgb="FF060622"/>
        <rFont val="Aptos Narrow"/>
        <family val="2"/>
      </rPr>
      <t>Color</t>
    </r>
  </si>
  <si>
    <r>
      <rPr>
        <b/>
        <sz val="11"/>
        <color rgb="FF060622"/>
        <rFont val="Aptos Narrow"/>
        <family val="2"/>
      </rPr>
      <t>Worksheet Architecture:</t>
    </r>
    <r>
      <rPr>
        <sz val="11"/>
        <color rgb="FF060622"/>
        <rFont val="Aptos Narrow"/>
        <family val="2"/>
      </rPr>
      <t xml:space="preserve"> Year is placed on Columns with</t>
    </r>
  </si>
  <si>
    <r>
      <rPr>
        <b/>
        <sz val="11"/>
        <color rgb="FF060622"/>
        <rFont val="Aptos Narrow"/>
        <family val="2"/>
      </rPr>
      <t>Visual Type:</t>
    </r>
    <r>
      <rPr>
        <sz val="10"/>
        <color rgb="FF060622"/>
        <rFont val="Aptos Narrow"/>
        <family val="2"/>
      </rPr>
      <t xml:space="preserve"> Horizontal bar chart</t>
    </r>
  </si>
  <si>
    <r>
      <rPr>
        <b/>
        <sz val="11"/>
        <color rgb="FF060622"/>
        <rFont val="Aptos Narrow"/>
        <family val="2"/>
      </rPr>
      <t>Columns:</t>
    </r>
    <r>
      <rPr>
        <sz val="10"/>
        <color rgb="FF060622"/>
        <rFont val="Aptos Narrow"/>
        <family val="2"/>
      </rPr>
      <t xml:space="preserve"> SUM(Overall Homeless)</t>
    </r>
  </si>
  <si>
    <r>
      <rPr>
        <b/>
        <sz val="11"/>
        <color rgb="FF060622"/>
        <rFont val="Aptos Narrow"/>
        <family val="2"/>
      </rPr>
      <t>Rows:</t>
    </r>
    <r>
      <rPr>
        <sz val="10"/>
        <color rgb="FF060622"/>
        <rFont val="Aptos Narrow"/>
        <family val="2"/>
      </rPr>
      <t xml:space="preserve"> CoC Region</t>
    </r>
  </si>
  <si>
    <r>
      <rPr>
        <b/>
        <sz val="11"/>
        <color rgb="FF060622"/>
        <rFont val="Aptos Narrow"/>
        <family val="2"/>
      </rPr>
      <t>Marks Type:</t>
    </r>
    <r>
      <rPr>
        <sz val="11"/>
        <color rgb="FF060622"/>
        <rFont val="Aptos Narrow"/>
        <family val="2"/>
      </rPr>
      <t xml:space="preserve"> </t>
    </r>
    <r>
      <rPr>
        <b/>
        <sz val="10"/>
        <color rgb="FF060622"/>
        <rFont val="Aptos Narrow"/>
        <family val="2"/>
      </rPr>
      <t>Bar</t>
    </r>
    <r>
      <rPr>
        <sz val="10"/>
        <color rgb="FF060622"/>
        <rFont val="Aptos Narrow"/>
        <family val="2"/>
      </rPr>
      <t xml:space="preserve"> — explicitly selected</t>
    </r>
  </si>
  <si>
    <r>
      <t xml:space="preserve">CoC Region → </t>
    </r>
    <r>
      <rPr>
        <b/>
        <sz val="10"/>
        <color rgb="FF060622"/>
        <rFont val="Aptos Narrow"/>
        <family val="2"/>
      </rPr>
      <t>Color</t>
    </r>
  </si>
  <si>
    <r>
      <t xml:space="preserve">SUM(Overall Homeless) → </t>
    </r>
    <r>
      <rPr>
        <b/>
        <sz val="10"/>
        <color rgb="FF060622"/>
        <rFont val="Aptos Narrow"/>
        <family val="2"/>
      </rPr>
      <t>Label</t>
    </r>
  </si>
  <si>
    <r>
      <rPr>
        <b/>
        <sz val="11"/>
        <color rgb="FF060622"/>
        <rFont val="Aptos Narrow"/>
        <family val="2"/>
      </rPr>
      <t>Purpose:</t>
    </r>
    <r>
      <rPr>
        <sz val="11"/>
        <color rgb="FF060622"/>
        <rFont val="Aptos Narrow"/>
        <family val="2"/>
      </rPr>
      <t xml:space="preserve"> Compares Overall Homeless across CoC Regions</t>
    </r>
  </si>
  <si>
    <r>
      <rPr>
        <b/>
        <sz val="11"/>
        <color rgb="FF060622"/>
        <rFont val="Aptos Narrow"/>
        <family val="2"/>
      </rPr>
      <t>Visual Type:</t>
    </r>
    <r>
      <rPr>
        <sz val="11"/>
        <color rgb="FF060622"/>
        <rFont val="Aptos Narrow"/>
        <family val="2"/>
      </rPr>
      <t xml:space="preserve"> </t>
    </r>
    <r>
      <rPr>
        <sz val="10"/>
        <color rgb="FF060622"/>
        <rFont val="Aptos Narrow"/>
        <family val="2"/>
      </rPr>
      <t>Selected-year housing-capacity bar comparison</t>
    </r>
  </si>
  <si>
    <r>
      <rPr>
        <b/>
        <sz val="11"/>
        <color rgb="FF060622"/>
        <rFont val="Aptos Narrow"/>
        <family val="2"/>
      </rPr>
      <t>Columns:</t>
    </r>
    <r>
      <rPr>
        <sz val="10"/>
        <color rgb="FF060622"/>
        <rFont val="Aptos Narrow"/>
        <family val="2"/>
      </rPr>
      <t xml:space="preserve"> Measure Values</t>
    </r>
  </si>
  <si>
    <r>
      <rPr>
        <b/>
        <sz val="11"/>
        <color rgb="FF060622"/>
        <rFont val="Aptos Narrow"/>
        <family val="2"/>
      </rPr>
      <t>Rows:</t>
    </r>
    <r>
      <rPr>
        <sz val="10"/>
        <color rgb="FF060622"/>
        <rFont val="Aptos Narrow"/>
        <family val="2"/>
      </rPr>
      <t xml:space="preserve"> Measure Names</t>
    </r>
  </si>
  <si>
    <r>
      <rPr>
        <b/>
        <sz val="11"/>
        <color rgb="FF060622"/>
        <rFont val="Aptos Narrow"/>
        <family val="2"/>
      </rPr>
      <t>Filters:</t>
    </r>
    <r>
      <rPr>
        <sz val="10"/>
        <color rgb="FF060622"/>
        <rFont val="Aptos Narrow"/>
        <family val="2"/>
      </rPr>
      <t xml:space="preserve"> Selected Year Filter: True; Measure Names; State; </t>
    </r>
  </si>
  <si>
    <r>
      <rPr>
        <b/>
        <sz val="11"/>
        <color rgb="FF060622"/>
        <rFont val="Aptos Narrow"/>
        <family val="2"/>
      </rPr>
      <t>Measure Names Selection:</t>
    </r>
    <r>
      <rPr>
        <sz val="10"/>
        <color rgb="FF060622"/>
        <rFont val="Aptos Narrow"/>
        <family val="2"/>
      </rPr>
      <t xml:space="preserve"> ES Beds; PSH Beds; RRH Beds;</t>
    </r>
  </si>
  <si>
    <r>
      <rPr>
        <b/>
        <sz val="11"/>
        <color rgb="FF060622"/>
        <rFont val="Aptos Narrow"/>
        <family val="2"/>
      </rPr>
      <t>Marks Type:</t>
    </r>
    <r>
      <rPr>
        <sz val="11"/>
        <color rgb="FF060622"/>
        <rFont val="Aptos Narrow"/>
        <family val="2"/>
      </rPr>
      <t xml:space="preserve"> </t>
    </r>
    <r>
      <rPr>
        <sz val="10"/>
        <color rgb="FF060622"/>
        <rFont val="Aptos Narrow"/>
        <family val="2"/>
      </rPr>
      <t>Automatic (rendered as Bar)</t>
    </r>
  </si>
  <si>
    <r>
      <rPr>
        <b/>
        <sz val="11"/>
        <color rgb="FF060622"/>
        <rFont val="Aptos Narrow"/>
        <family val="2"/>
      </rPr>
      <t>Color:</t>
    </r>
    <r>
      <rPr>
        <sz val="10"/>
        <color rgb="FF060622"/>
        <rFont val="Aptos Narrow"/>
        <family val="2"/>
      </rPr>
      <t xml:space="preserve"> Measure Names</t>
    </r>
  </si>
  <si>
    <r>
      <rPr>
        <b/>
        <sz val="11"/>
        <color rgb="FF060622"/>
        <rFont val="Aptos Narrow"/>
        <family val="2"/>
      </rPr>
      <t>Label:</t>
    </r>
    <r>
      <rPr>
        <sz val="10"/>
        <color rgb="FF060622"/>
        <rFont val="Aptos Narrow"/>
        <family val="2"/>
      </rPr>
      <t xml:space="preserve"> Measure Values</t>
    </r>
  </si>
  <si>
    <r>
      <rPr>
        <b/>
        <sz val="11"/>
        <color rgb="FF060622"/>
        <rFont val="Aptos Narrow"/>
        <family val="2"/>
      </rPr>
      <t xml:space="preserve">Purpose: </t>
    </r>
    <r>
      <rPr>
        <sz val="11"/>
        <color rgb="FF060622"/>
        <rFont val="Aptos Narrow"/>
        <family val="2"/>
      </rPr>
      <t>Compares Emergency Shelter (ES), Permanent</t>
    </r>
  </si>
  <si>
    <r>
      <rPr>
        <b/>
        <sz val="11"/>
        <color rgb="FF060622"/>
        <rFont val="Aptos Narrow"/>
        <family val="2"/>
      </rPr>
      <t>Visual Type:</t>
    </r>
    <r>
      <rPr>
        <sz val="11"/>
        <color rgb="FF060622"/>
        <rFont val="Aptos Narrow"/>
        <family val="2"/>
      </rPr>
      <t xml:space="preserve"> </t>
    </r>
    <r>
      <rPr>
        <sz val="10"/>
        <color rgb="FF060622"/>
        <rFont val="Aptos Narrow"/>
        <family val="2"/>
      </rPr>
      <t>Dual-layer pie/donut-style age profile</t>
    </r>
  </si>
  <si>
    <r>
      <rPr>
        <b/>
        <sz val="11"/>
        <color rgb="FF060622"/>
        <rFont val="Aptos Narrow"/>
        <family val="2"/>
      </rPr>
      <t>Columns:</t>
    </r>
    <r>
      <rPr>
        <sz val="10"/>
        <color rgb="FF060622"/>
        <rFont val="Aptos Narrow"/>
        <family val="2"/>
      </rPr>
      <t xml:space="preserve"> None</t>
    </r>
  </si>
  <si>
    <r>
      <rPr>
        <b/>
        <sz val="11"/>
        <color rgb="FF060622"/>
        <rFont val="Aptos Narrow"/>
        <family val="2"/>
      </rPr>
      <t>Rows:</t>
    </r>
    <r>
      <rPr>
        <sz val="10"/>
        <color rgb="FF060622"/>
        <rFont val="Aptos Narrow"/>
        <family val="2"/>
      </rPr>
      <t xml:space="preserve"> two instances of AGG(MIN(1))</t>
    </r>
  </si>
  <si>
    <r>
      <t xml:space="preserve">Measure Names Selection: </t>
    </r>
    <r>
      <rPr>
        <b/>
        <i/>
        <sz val="11"/>
        <color rgb="FF060622"/>
        <rFont val="Aptos Narrow"/>
        <family val="2"/>
      </rPr>
      <t>3 of 40</t>
    </r>
    <r>
      <rPr>
        <b/>
        <sz val="11"/>
        <color rgb="FF060622"/>
        <rFont val="Aptos Narrow"/>
        <family val="2"/>
      </rPr>
      <t xml:space="preserve"> values are selected</t>
    </r>
  </si>
  <si>
    <r>
      <rPr>
        <b/>
        <sz val="11"/>
        <color rgb="FF060622"/>
        <rFont val="Aptos Narrow"/>
        <family val="2"/>
      </rPr>
      <t>Marks Type:</t>
    </r>
    <r>
      <rPr>
        <b/>
        <sz val="10"/>
        <color rgb="FF060622"/>
        <rFont val="Aptos Narrow"/>
        <family val="2"/>
      </rPr>
      <t xml:space="preserve"> </t>
    </r>
    <r>
      <rPr>
        <sz val="10"/>
        <color rgb="FF060622"/>
        <rFont val="Aptos Narrow"/>
        <family val="2"/>
      </rPr>
      <t>Pie</t>
    </r>
  </si>
  <si>
    <r>
      <rPr>
        <b/>
        <sz val="11"/>
        <color rgb="FF060622"/>
        <rFont val="Aptos Narrow"/>
        <family val="2"/>
      </rPr>
      <t>Purpose:</t>
    </r>
    <r>
      <rPr>
        <sz val="11"/>
        <color rgb="FF060622"/>
        <rFont val="Aptos Narrow"/>
        <family val="2"/>
      </rPr>
      <t xml:space="preserve"> Displays the selected-year age composition of the</t>
    </r>
  </si>
  <si>
    <r>
      <t>3.</t>
    </r>
    <r>
      <rPr>
        <b/>
        <sz val="7"/>
        <color rgb="FF2F3A56"/>
        <rFont val="Arial Narrow"/>
        <family val="2"/>
      </rPr>
      <t xml:space="preserve"> </t>
    </r>
    <r>
      <rPr>
        <b/>
        <sz val="11"/>
        <color rgb="FF2F3A56"/>
        <rFont val="Arial Narrow"/>
        <family val="2"/>
      </rPr>
      <t>Scope &amp; Guardrails</t>
    </r>
  </si>
  <si>
    <r>
      <t>6.</t>
    </r>
    <r>
      <rPr>
        <b/>
        <sz val="7"/>
        <color rgb="FF2F3A56"/>
        <rFont val="Arial Narrow"/>
        <family val="2"/>
      </rPr>
      <t xml:space="preserve">  </t>
    </r>
    <r>
      <rPr>
        <b/>
        <sz val="11"/>
        <color rgb="FF2F3A56"/>
        <rFont val="Arial Narrow"/>
        <family val="2"/>
      </rPr>
      <t>Analytical Workflow &amp; Methodology</t>
    </r>
  </si>
  <si>
    <r>
      <t>·</t>
    </r>
    <r>
      <rPr>
        <sz val="7"/>
        <color rgb="FF2F3A56"/>
        <rFont val="Arial Narrow"/>
        <family val="2"/>
      </rPr>
      <t xml:space="preserve">         </t>
    </r>
    <r>
      <rPr>
        <b/>
        <sz val="11"/>
        <color rgb="FF2F3A56"/>
        <rFont val="Arial Narrow"/>
        <family val="2"/>
      </rPr>
      <t>Data Audit &amp; Inventory: Catalog existing datasets across HUD, CDC, BRFSS, Census, and other documented sources.</t>
    </r>
  </si>
  <si>
    <r>
      <rPr>
        <b/>
        <i/>
        <sz val="12"/>
        <color rgb="FF060622"/>
        <rFont val="Aptos Narrow"/>
        <family val="2"/>
      </rPr>
      <t>Note: LA-509</t>
    </r>
    <r>
      <rPr>
        <sz val="12"/>
        <color rgb="FF060622"/>
        <rFont val="Aptos Narrow"/>
        <family val="2"/>
      </rPr>
      <t xml:space="preserve"> This massive collaborative encompasses </t>
    </r>
    <r>
      <rPr>
        <b/>
        <sz val="12"/>
        <color rgb="FF060622"/>
        <rFont val="Aptos Narrow"/>
        <family val="2"/>
      </rPr>
      <t>over 20 distinct parishes</t>
    </r>
    <r>
      <rPr>
        <sz val="12"/>
        <color rgb="FF060622"/>
        <rFont val="Aptos Narrow"/>
        <family val="2"/>
      </rPr>
      <t xml:space="preserve"> split across separate territorial blocks. Major anchors include </t>
    </r>
    <r>
      <rPr>
        <b/>
        <sz val="12"/>
        <color rgb="FF060622"/>
        <rFont val="Aptos Narrow"/>
        <family val="2"/>
      </rPr>
      <t>East Baton Rouge</t>
    </r>
    <r>
      <rPr>
        <sz val="12"/>
        <color rgb="FF060622"/>
        <rFont val="Aptos Narrow"/>
        <family val="2"/>
      </rPr>
      <t xml:space="preserve"> (22033), </t>
    </r>
    <r>
      <rPr>
        <b/>
        <sz val="12"/>
        <color rgb="FF060622"/>
        <rFont val="Aptos Narrow"/>
        <family val="2"/>
      </rPr>
      <t>Terrebonne</t>
    </r>
    <r>
      <rPr>
        <sz val="12"/>
        <color rgb="FF060622"/>
        <rFont val="Aptos Narrow"/>
        <family val="2"/>
      </rPr>
      <t xml:space="preserve"> (22109), </t>
    </r>
    <r>
      <rPr>
        <b/>
        <sz val="12"/>
        <color rgb="FF060622"/>
        <rFont val="Aptos Narrow"/>
        <family val="2"/>
      </rPr>
      <t>Calcasieu</t>
    </r>
    <r>
      <rPr>
        <sz val="12"/>
        <color rgb="FF060622"/>
        <rFont val="Aptos Narrow"/>
        <family val="2"/>
      </rPr>
      <t xml:space="preserve"> (22019), and </t>
    </r>
    <r>
      <rPr>
        <b/>
        <sz val="12"/>
        <color rgb="FF060622"/>
        <rFont val="Aptos Narrow"/>
        <family val="2"/>
      </rPr>
      <t>Natchitoches</t>
    </r>
    <r>
      <rPr>
        <sz val="12"/>
        <color rgb="FF060622"/>
        <rFont val="Aptos Narrow"/>
        <family val="2"/>
      </rPr>
      <t xml:space="preserve"> (22069).</t>
    </r>
  </si>
  <si>
    <r>
      <rPr>
        <b/>
        <i/>
        <sz val="12"/>
        <color rgb="FF060622"/>
        <rFont val="Aptos Narrow"/>
        <family val="2"/>
      </rPr>
      <t>Note:</t>
    </r>
    <r>
      <rPr>
        <sz val="12"/>
        <color rgb="FF060622"/>
        <rFont val="Aptos Narrow"/>
        <family val="2"/>
      </rPr>
      <t xml:space="preserve"> </t>
    </r>
    <r>
      <rPr>
        <b/>
        <sz val="12"/>
        <color rgb="FF060622"/>
        <rFont val="Aptos Narrow"/>
        <family val="2"/>
      </rPr>
      <t>MS-501</t>
    </r>
    <r>
      <rPr>
        <sz val="12"/>
        <color rgb="FF060622"/>
        <rFont val="Aptos Narrow"/>
        <family val="2"/>
      </rPr>
      <t xml:space="preserve"> This collective spans across </t>
    </r>
    <r>
      <rPr>
        <b/>
        <sz val="12"/>
        <color rgb="FF060622"/>
        <rFont val="Aptos Narrow"/>
        <family val="2"/>
      </rPr>
      <t>71 separate counties</t>
    </r>
    <r>
      <rPr>
        <sz val="12"/>
        <color rgb="FF060622"/>
        <rFont val="Aptos Narrow"/>
        <family val="2"/>
      </rPr>
      <t xml:space="preserve"> statewide. It comprises everything in Mississippi except for the Jackson Metro core (MS-500) and the immediate Southern Gulf Coast (MS-503). It starts at </t>
    </r>
    <r>
      <rPr>
        <b/>
        <sz val="12"/>
        <color rgb="FF060622"/>
        <rFont val="Aptos Narrow"/>
        <family val="2"/>
      </rPr>
      <t>Adams County</t>
    </r>
    <r>
      <rPr>
        <sz val="12"/>
        <color rgb="FF060622"/>
        <rFont val="Aptos Narrow"/>
        <family val="2"/>
      </rPr>
      <t xml:space="preserve"> (28001) and works dynamically across the state to </t>
    </r>
    <r>
      <rPr>
        <b/>
        <sz val="12"/>
        <color rgb="FF060622"/>
        <rFont val="Aptos Narrow"/>
        <family val="2"/>
      </rPr>
      <t>Winston County</t>
    </r>
    <r>
      <rPr>
        <sz val="12"/>
        <color rgb="FF060622"/>
        <rFont val="Aptos Narrow"/>
        <family val="2"/>
      </rPr>
      <t xml:space="preserve"> (28159). [1,3]</t>
    </r>
  </si>
  <si>
    <r>
      <t>Caddo Parish</t>
    </r>
    <r>
      <rPr>
        <sz val="12"/>
        <color rgb="FF060622"/>
        <rFont val="Aptos Narrow"/>
        <family val="2"/>
      </rPr>
      <t>: 22017</t>
    </r>
  </si>
  <si>
    <r>
      <t>Hinds County</t>
    </r>
    <r>
      <rPr>
        <sz val="12"/>
        <color rgb="FF060622"/>
        <rFont val="Aptos Narrow"/>
        <family val="2"/>
      </rPr>
      <t xml:space="preserve"> </t>
    </r>
    <r>
      <rPr>
        <i/>
        <sz val="12"/>
        <color rgb="FF060622"/>
        <rFont val="Aptos Narrow"/>
        <family val="2"/>
      </rPr>
      <t>(Jackson Central)</t>
    </r>
    <r>
      <rPr>
        <sz val="12"/>
        <color rgb="FF060622"/>
        <rFont val="Aptos Narrow"/>
        <family val="2"/>
      </rPr>
      <t>: 28049</t>
    </r>
  </si>
  <si>
    <r>
      <t>Bossier Parish</t>
    </r>
    <r>
      <rPr>
        <sz val="12"/>
        <color rgb="FF060622"/>
        <rFont val="Aptos Narrow"/>
        <family val="2"/>
      </rPr>
      <t>: 22015</t>
    </r>
  </si>
  <si>
    <r>
      <t>Rankin County</t>
    </r>
    <r>
      <rPr>
        <sz val="12"/>
        <color rgb="FF060622"/>
        <rFont val="Aptos Narrow"/>
        <family val="2"/>
      </rPr>
      <t>: 28121</t>
    </r>
  </si>
  <si>
    <r>
      <t>Webster Parish</t>
    </r>
    <r>
      <rPr>
        <sz val="12"/>
        <color rgb="FF060622"/>
        <rFont val="Aptos Narrow"/>
        <family val="2"/>
      </rPr>
      <t>: 22119</t>
    </r>
  </si>
  <si>
    <r>
      <t>Madison County</t>
    </r>
    <r>
      <rPr>
        <sz val="12"/>
        <color rgb="FF060622"/>
        <rFont val="Aptos Narrow"/>
        <family val="2"/>
      </rPr>
      <t>: 28089</t>
    </r>
  </si>
  <si>
    <r>
      <t>Claiborne Parish</t>
    </r>
    <r>
      <rPr>
        <sz val="12"/>
        <color rgb="FF060622"/>
        <rFont val="Aptos Narrow"/>
        <family val="2"/>
      </rPr>
      <t>: 22027</t>
    </r>
  </si>
  <si>
    <r>
      <t>Warren County</t>
    </r>
    <r>
      <rPr>
        <sz val="12"/>
        <color rgb="FF060622"/>
        <rFont val="Aptos Narrow"/>
        <family val="2"/>
      </rPr>
      <t>: 28149</t>
    </r>
  </si>
  <si>
    <r>
      <t>Bienville Parish</t>
    </r>
    <r>
      <rPr>
        <sz val="12"/>
        <color rgb="FF060622"/>
        <rFont val="Aptos Narrow"/>
        <family val="2"/>
      </rPr>
      <t>: 22013</t>
    </r>
  </si>
  <si>
    <r>
      <t>Copiah County</t>
    </r>
    <r>
      <rPr>
        <sz val="12"/>
        <color rgb="FF060622"/>
        <rFont val="Aptos Narrow"/>
        <family val="2"/>
      </rPr>
      <t>: 28029</t>
    </r>
  </si>
  <si>
    <r>
      <t>Red River Parish</t>
    </r>
    <r>
      <rPr>
        <sz val="12"/>
        <color rgb="FF060622"/>
        <rFont val="Aptos Narrow"/>
        <family val="2"/>
      </rPr>
      <t>: 22081</t>
    </r>
  </si>
  <si>
    <r>
      <t>Simpson County</t>
    </r>
    <r>
      <rPr>
        <sz val="12"/>
        <color rgb="FF060622"/>
        <rFont val="Aptos Narrow"/>
        <family val="2"/>
      </rPr>
      <t>: 28127 [1, 3]</t>
    </r>
  </si>
  <si>
    <r>
      <t>De Soto Parish</t>
    </r>
    <r>
      <rPr>
        <sz val="12"/>
        <color rgb="FF060622"/>
        <rFont val="Aptos Narrow"/>
        <family val="2"/>
      </rPr>
      <t>: 22031 [, 2, 3]</t>
    </r>
  </si>
  <si>
    <r>
      <t>Rapides Parish</t>
    </r>
    <r>
      <rPr>
        <sz val="12"/>
        <color rgb="FF060622"/>
        <rFont val="Aptos Narrow"/>
        <family val="2"/>
      </rPr>
      <t>: 22079</t>
    </r>
  </si>
  <si>
    <r>
      <t>Harrison County</t>
    </r>
    <r>
      <rPr>
        <sz val="12"/>
        <color rgb="FF060622"/>
        <rFont val="Aptos Narrow"/>
        <family val="2"/>
      </rPr>
      <t>: 28047</t>
    </r>
  </si>
  <si>
    <r>
      <t>Grant Parish</t>
    </r>
    <r>
      <rPr>
        <sz val="12"/>
        <color rgb="FF060622"/>
        <rFont val="Aptos Narrow"/>
        <family val="2"/>
      </rPr>
      <t>: 22043</t>
    </r>
  </si>
  <si>
    <r>
      <t>Hancock County</t>
    </r>
    <r>
      <rPr>
        <sz val="12"/>
        <color rgb="FF060622"/>
        <rFont val="Aptos Narrow"/>
        <family val="2"/>
      </rPr>
      <t>: 28045</t>
    </r>
  </si>
  <si>
    <r>
      <t>Avoyelles Parish</t>
    </r>
    <r>
      <rPr>
        <sz val="12"/>
        <color rgb="FF060622"/>
        <rFont val="Aptos Narrow"/>
        <family val="2"/>
      </rPr>
      <t>: 22009</t>
    </r>
  </si>
  <si>
    <r>
      <t>Jackson County</t>
    </r>
    <r>
      <rPr>
        <sz val="12"/>
        <color rgb="FF060622"/>
        <rFont val="Aptos Narrow"/>
        <family val="2"/>
      </rPr>
      <t>: 28059</t>
    </r>
  </si>
  <si>
    <r>
      <t>Catahoula Parish</t>
    </r>
    <r>
      <rPr>
        <sz val="12"/>
        <color rgb="FF060622"/>
        <rFont val="Aptos Narrow"/>
        <family val="2"/>
      </rPr>
      <t>: 22025</t>
    </r>
  </si>
  <si>
    <r>
      <t>George County</t>
    </r>
    <r>
      <rPr>
        <sz val="12"/>
        <color rgb="FF060622"/>
        <rFont val="Aptos Narrow"/>
        <family val="2"/>
      </rPr>
      <t>: 28039</t>
    </r>
  </si>
  <si>
    <r>
      <t>Concordia Parish</t>
    </r>
    <r>
      <rPr>
        <sz val="12"/>
        <color rgb="FF060622"/>
        <rFont val="Aptos Narrow"/>
        <family val="2"/>
      </rPr>
      <t>: 22029</t>
    </r>
  </si>
  <si>
    <r>
      <t>Stone County</t>
    </r>
    <r>
      <rPr>
        <sz val="12"/>
        <color rgb="FF060622"/>
        <rFont val="Aptos Narrow"/>
        <family val="2"/>
      </rPr>
      <t>: 28131</t>
    </r>
  </si>
  <si>
    <r>
      <t>LaSalle Parish</t>
    </r>
    <r>
      <rPr>
        <sz val="12"/>
        <color rgb="FF060622"/>
        <rFont val="Aptos Narrow"/>
        <family val="2"/>
      </rPr>
      <t>: 22059</t>
    </r>
  </si>
  <si>
    <r>
      <t>Pearl River County</t>
    </r>
    <r>
      <rPr>
        <sz val="12"/>
        <color rgb="FF060622"/>
        <rFont val="Aptos Narrow"/>
        <family val="2"/>
      </rPr>
      <t>: 28109</t>
    </r>
  </si>
  <si>
    <r>
      <t>Vernon Parish</t>
    </r>
    <r>
      <rPr>
        <sz val="12"/>
        <color rgb="FF060622"/>
        <rFont val="Aptos Narrow"/>
        <family val="2"/>
      </rPr>
      <t>: 22115</t>
    </r>
  </si>
  <si>
    <r>
      <t>Winn Parish</t>
    </r>
    <r>
      <rPr>
        <sz val="12"/>
        <color rgb="FF060622"/>
        <rFont val="Aptos Narrow"/>
        <family val="2"/>
      </rPr>
      <t>: 22127 [, 2, 3]</t>
    </r>
  </si>
  <si>
    <r>
      <t xml:space="preserve">CDC confirms that in </t>
    </r>
    <r>
      <rPr>
        <b/>
        <sz val="11"/>
        <color rgb="FF060622"/>
        <rFont val="Aptos Narrow"/>
        <family val="2"/>
      </rPr>
      <t>2007</t>
    </r>
    <r>
      <rPr>
        <sz val="11"/>
        <color rgb="FF060622"/>
        <rFont val="Aptos Narrow"/>
        <family val="2"/>
      </rPr>
      <t xml:space="preserve">, </t>
    </r>
    <r>
      <rPr>
        <sz val="10"/>
        <color rgb="FF060622"/>
        <rFont val="Aptos Narrow"/>
        <family val="2"/>
      </rPr>
      <t>_BMI4CAT</t>
    </r>
    <r>
      <rPr>
        <sz val="11"/>
        <color rgb="FF060622"/>
        <rFont val="Aptos Narrow"/>
        <family val="2"/>
      </rPr>
      <t xml:space="preserve"> is the calculated BMI category variable derived from height and weight.</t>
    </r>
  </si>
  <si>
    <r>
      <t>Status:</t>
    </r>
    <r>
      <rPr>
        <sz val="11"/>
        <color rgb="FF060622"/>
        <rFont val="Aptos Narrow"/>
        <family val="2"/>
      </rPr>
      <t xml:space="preserve"> Correct variable.</t>
    </r>
  </si>
  <si>
    <r>
      <t>CDC identifies _RFBING4</t>
    </r>
    <r>
      <rPr>
        <sz val="11"/>
        <color rgb="FF060622"/>
        <rFont val="Aptos Narrow"/>
        <family val="2"/>
      </rPr>
      <t xml:space="preserve"> as the calculated binge drinking variable for the 2007 dataset.</t>
    </r>
  </si>
  <si>
    <r>
      <t>Status:</t>
    </r>
    <r>
      <rPr>
        <sz val="11"/>
        <color rgb="FF00B050"/>
        <rFont val="Aptos Narrow"/>
        <family val="2"/>
      </rPr>
      <t xml:space="preserve"> </t>
    </r>
    <r>
      <rPr>
        <sz val="11"/>
        <color rgb="FF060622"/>
        <rFont val="Aptos Narrow"/>
        <family val="2"/>
      </rPr>
      <t xml:space="preserve"> Correct variable.</t>
    </r>
  </si>
  <si>
    <r>
      <t>CDC defines _HCVU65</t>
    </r>
    <r>
      <rPr>
        <sz val="11"/>
        <color rgb="FF060622"/>
        <rFont val="Aptos Narrow"/>
        <family val="2"/>
      </rPr>
      <t xml:space="preserve"> as the calculated variable for </t>
    </r>
    <r>
      <rPr>
        <b/>
        <sz val="11"/>
        <color rgb="FF060622"/>
        <rFont val="Aptos Narrow"/>
        <family val="2"/>
      </rPr>
      <t>respondents aged 18–64 with health care coverage</t>
    </r>
    <r>
      <rPr>
        <sz val="11"/>
        <color rgb="FF060622"/>
        <rFont val="Aptos Narrow"/>
        <family val="2"/>
      </rPr>
      <t xml:space="preserve">, from which the </t>
    </r>
  </si>
  <si>
    <r>
      <t>Status:</t>
    </r>
    <r>
      <rPr>
        <sz val="11"/>
        <color rgb="FF060622"/>
        <rFont val="Aptos Narrow"/>
        <family val="2"/>
      </rPr>
      <t xml:space="preserve">  Correct variable.</t>
    </r>
  </si>
  <si>
    <r>
      <t xml:space="preserve"> _MENT14D</t>
    </r>
    <r>
      <rPr>
        <sz val="11"/>
        <color rgb="FF060622"/>
        <rFont val="Aptos Narrow"/>
        <family val="2"/>
      </rPr>
      <t xml:space="preserve"> was introduced later, while earlier surveys relied on the reported number of poor mental-health days (</t>
    </r>
    <r>
      <rPr>
        <sz val="10"/>
        <color rgb="FF060622"/>
        <rFont val="Aptos Narrow"/>
        <family val="2"/>
      </rPr>
      <t>MENTHLTH</t>
    </r>
    <r>
      <rPr>
        <sz val="11"/>
        <color rgb="FF060622"/>
        <rFont val="Aptos Narrow"/>
        <family val="2"/>
      </rPr>
      <t>).</t>
    </r>
  </si>
  <si>
    <r>
      <t>Status:</t>
    </r>
    <r>
      <rPr>
        <sz val="11"/>
        <color rgb="FF060622"/>
        <rFont val="Aptos Narrow"/>
        <family val="2"/>
      </rPr>
      <t xml:space="preserve">  Correct variable selection strategy.</t>
    </r>
  </si>
  <si>
    <r>
      <t>Coding Logic</t>
    </r>
    <r>
      <rPr>
        <sz val="11"/>
        <color rgb="FF060622"/>
        <rFont val="Aptos Narrow"/>
        <family val="2"/>
      </rPr>
      <t>.</t>
    </r>
  </si>
  <si>
    <r>
      <t>Weight variable (_FINALWT</t>
    </r>
    <r>
      <rPr>
        <sz val="11"/>
        <color rgb="FF060622"/>
        <rFont val="Aptos Narrow"/>
        <family val="2"/>
      </rPr>
      <t xml:space="preserve"> vs </t>
    </r>
    <r>
      <rPr>
        <sz val="10"/>
        <color rgb="FF060622"/>
        <rFont val="Aptos Narrow"/>
        <family val="2"/>
      </rPr>
      <t>_LLCPWT</t>
    </r>
    <r>
      <rPr>
        <sz val="11"/>
        <color rgb="FF060622"/>
        <rFont val="Aptos Narrow"/>
        <family val="2"/>
      </rPr>
      <t>)</t>
    </r>
  </si>
  <si>
    <t>Key Correlation Summary (=CORREL())</t>
  </si>
  <si>
    <r>
      <t>Purpose:</t>
    </r>
    <r>
      <rPr>
        <sz val="11"/>
        <color rgb="FF060622"/>
        <rFont val="Aptos Narrow"/>
        <family val="2"/>
      </rPr>
      <t xml:space="preserve"> Documents the reproducible workflow used to align state-level public-health indicators with homelessness measures by State and Year, calculate Pearson correlations, validate the results, and report sample size (n) and analytical limitations.</t>
    </r>
  </si>
  <si>
    <r>
      <t>Upstream Data Lineage:</t>
    </r>
    <r>
      <rPr>
        <sz val="11"/>
        <color rgb="FF060622"/>
        <rFont val="Aptos Narrow"/>
        <family val="2"/>
      </rPr>
      <t xml:space="preserve"> Input data for this analysis use the cleaned and validated master datasets documented in the project’s existing Data Preparation, Transformation, BRFSS/NVSS, SQL, Python, and Validation sections. This section documents only the downstream statistical workflow used to produce and validate the reported correlations.</t>
    </r>
  </si>
  <si>
    <r>
      <t>Analytical grain: State × Year.</t>
    </r>
    <r>
      <rPr>
        <sz val="11"/>
        <color rgb="FF060622"/>
        <rFont val="Aptos Narrow"/>
        <family val="2"/>
      </rPr>
      <t xml:space="preserve"> Public-health indicators are reported at the Louisiana and Mississippi state level for longitudinal consistency. Homelessness measures from the six selected CoCs are aggregated by State and Year before comparison. Across 2007–2024, this produces up to </t>
    </r>
    <r>
      <rPr>
        <b/>
        <sz val="11"/>
        <color rgb="FF060622"/>
        <rFont val="Aptos Narrow"/>
        <family val="2"/>
      </rPr>
      <t>36 State-Year observations (2 states × 18 years)</t>
    </r>
    <r>
      <rPr>
        <sz val="11"/>
        <color rgb="FF060622"/>
        <rFont val="Aptos Narrow"/>
        <family val="2"/>
      </rPr>
      <t xml:space="preserve"> per metric pair, subject to data availability.</t>
    </r>
  </si>
  <si>
    <r>
      <t>Health data:</t>
    </r>
    <r>
      <rPr>
        <sz val="11"/>
        <color rgb="FF060622"/>
        <rFont val="Aptos Narrow"/>
        <family val="2"/>
      </rPr>
      <t xml:space="preserve"> Use the cleaned health master data in long format (</t>
    </r>
    <r>
      <rPr>
        <sz val="10"/>
        <color rgb="FF060622"/>
        <rFont val="Aptos Narrow"/>
        <family val="2"/>
      </rPr>
      <t>State</t>
    </r>
    <r>
      <rPr>
        <sz val="11"/>
        <color rgb="FF060622"/>
        <rFont val="Aptos Narrow"/>
        <family val="2"/>
      </rPr>
      <t xml:space="preserve">, </t>
    </r>
    <r>
      <rPr>
        <sz val="10"/>
        <color rgb="FF060622"/>
        <rFont val="Aptos Narrow"/>
        <family val="2"/>
      </rPr>
      <t>Year</t>
    </r>
    <r>
      <rPr>
        <sz val="11"/>
        <color rgb="FF060622"/>
        <rFont val="Aptos Narrow"/>
        <family val="2"/>
      </rPr>
      <t xml:space="preserve">, </t>
    </r>
    <r>
      <rPr>
        <sz val="10"/>
        <color rgb="FF060622"/>
        <rFont val="Aptos Narrow"/>
        <family val="2"/>
      </rPr>
      <t>Metric_Name</t>
    </r>
    <r>
      <rPr>
        <sz val="11"/>
        <color rgb="FF060622"/>
        <rFont val="Aptos Narrow"/>
        <family val="2"/>
      </rPr>
      <t xml:space="preserve">, </t>
    </r>
    <r>
      <rPr>
        <sz val="10"/>
        <color rgb="FF060622"/>
        <rFont val="Aptos Narrow"/>
        <family val="2"/>
      </rPr>
      <t>Metric_Value</t>
    </r>
    <r>
      <rPr>
        <sz val="11"/>
        <color rgb="FF060622"/>
        <rFont val="Aptos Narrow"/>
        <family val="2"/>
      </rPr>
      <t>). Preserve unavailable values as NULL; do not convert missing observations to zero.</t>
    </r>
  </si>
  <si>
    <r>
      <t>Homelessness data:</t>
    </r>
    <r>
      <rPr>
        <sz val="11"/>
        <color rgb="FF060622"/>
        <rFont val="Aptos Narrow"/>
        <family val="2"/>
      </rPr>
      <t xml:space="preserve"> Use the cleaned homelessness master data and aggregate the six selected CoCs by </t>
    </r>
    <r>
      <rPr>
        <sz val="10"/>
        <color rgb="FF060622"/>
        <rFont val="Aptos Narrow"/>
        <family val="2"/>
      </rPr>
      <t>State</t>
    </r>
    <r>
      <rPr>
        <sz val="11"/>
        <color rgb="FF060622"/>
        <rFont val="Aptos Narrow"/>
        <family val="2"/>
      </rPr>
      <t xml:space="preserve"> and </t>
    </r>
    <r>
      <rPr>
        <sz val="10"/>
        <color rgb="FF060622"/>
        <rFont val="Aptos Narrow"/>
        <family val="2"/>
      </rPr>
      <t>Year</t>
    </r>
    <r>
      <rPr>
        <sz val="11"/>
        <color rgb="FF060622"/>
        <rFont val="Aptos Narrow"/>
        <family val="2"/>
      </rPr>
      <t xml:space="preserve"> for </t>
    </r>
    <r>
      <rPr>
        <sz val="10"/>
        <color rgb="FF060622"/>
        <rFont val="Aptos Narrow"/>
        <family val="2"/>
      </rPr>
      <t>Overall_Homeless</t>
    </r>
    <r>
      <rPr>
        <sz val="11"/>
        <color rgb="FF060622"/>
        <rFont val="Aptos Narrow"/>
        <family val="2"/>
      </rPr>
      <t xml:space="preserve">, </t>
    </r>
    <r>
      <rPr>
        <sz val="10"/>
        <color rgb="FF060622"/>
        <rFont val="Aptos Narrow"/>
        <family val="2"/>
      </rPr>
      <t>Overall_Chronically_Homeless</t>
    </r>
    <r>
      <rPr>
        <sz val="11"/>
        <color rgb="FF060622"/>
        <rFont val="Aptos Narrow"/>
        <family val="2"/>
      </rPr>
      <t xml:space="preserve">, and </t>
    </r>
    <r>
      <rPr>
        <sz val="10"/>
        <color rgb="FF060622"/>
        <rFont val="Aptos Narrow"/>
        <family val="2"/>
      </rPr>
      <t>Unsheltered_Individuals</t>
    </r>
    <r>
      <rPr>
        <sz val="11"/>
        <color rgb="FF060622"/>
        <rFont val="Aptos Narrow"/>
        <family val="2"/>
      </rPr>
      <t>.</t>
    </r>
  </si>
  <si>
    <t>Project Structure, Scope, Literature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</si>
</sst>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0"/>
  </numFmts>
  <fonts count="74">
    <font>
      <sz val="11"/>
      <color rgb="FF060622"/>
      <name val="Aptos"/>
    </font>
    <font>
      <sz val="11"/>
      <color rgb="FF060622"/>
      <name val="Aptos"/>
      <family val="2"/>
    </font>
    <font>
      <sz val="11"/>
      <color rgb="FF060622"/>
      <name val="Aptos"/>
      <family val="2"/>
    </font>
    <font>
      <sz val="11"/>
      <color rgb="FF4A2D75"/>
      <name val="Aptos"/>
      <family val="2"/>
    </font>
    <font>
      <sz val="11"/>
      <color rgb="FF006100"/>
      <name val="Aptos"/>
      <family val="2"/>
    </font>
    <font>
      <b/>
      <sz val="11"/>
      <color rgb="FF060622"/>
      <name val="Aptos"/>
      <family val="2"/>
    </font>
    <font>
      <sz val="10"/>
      <color rgb="FF060622"/>
      <name val="Aptos"/>
      <family val="2"/>
    </font>
    <font>
      <sz val="11"/>
      <name val="Consolas"/>
      <family val="3"/>
    </font>
    <font>
      <b/>
      <sz val="11"/>
      <name val="Consolas"/>
      <family val="3"/>
    </font>
    <font>
      <sz val="10"/>
      <color rgb="FF060622"/>
      <name val="Aptos"/>
      <family val="2"/>
    </font>
    <font>
      <b/>
      <sz val="10"/>
      <color rgb="FFFFFFFF"/>
      <name val="Aptos"/>
      <family val="2"/>
    </font>
    <font>
      <sz val="9"/>
      <color rgb="FF060622"/>
      <name val="Consolas"/>
      <family val="3"/>
    </font>
    <font>
      <b/>
      <sz val="9"/>
      <color rgb="FF060622"/>
      <name val="Consolas"/>
      <family val="3"/>
    </font>
    <font>
      <sz val="10"/>
      <color rgb="FF2F3A56"/>
      <name val="Aptos"/>
      <family val="2"/>
    </font>
    <font>
      <i/>
      <sz val="10"/>
      <color rgb="FF4A2D75"/>
      <name val="Aptos"/>
      <family val="2"/>
    </font>
    <font>
      <b/>
      <sz val="10"/>
      <color rgb="FFFFFFFF"/>
      <name val="Aptos"/>
      <family val="2"/>
    </font>
    <font>
      <sz val="11"/>
      <color rgb="FFFFFFFF"/>
      <name val="Aptos"/>
      <family val="2"/>
    </font>
    <font>
      <b/>
      <sz val="10"/>
      <color rgb="FFFFFFFF"/>
      <name val="Aptos"/>
      <family val="2"/>
    </font>
    <font>
      <sz val="10"/>
      <color rgb="FFFFFFFF"/>
      <name val="Aptos"/>
      <family val="2"/>
    </font>
    <font>
      <b/>
      <sz val="11"/>
      <color rgb="FF4A2D75"/>
      <name val="Aptos"/>
      <family val="2"/>
    </font>
    <font>
      <b/>
      <sz val="11"/>
      <name val="Aptos"/>
      <family val="2"/>
    </font>
    <font>
      <b/>
      <sz val="18"/>
      <color rgb="FFFFFFFF"/>
      <name val="Aptos"/>
      <family val="2"/>
    </font>
    <font>
      <sz val="11"/>
      <color rgb="FF060622"/>
      <name val="Consolas"/>
      <family val="3"/>
    </font>
    <font>
      <sz val="11"/>
      <color rgb="FFFFFFFF"/>
      <name val="Aptos"/>
      <family val="2"/>
    </font>
    <font>
      <b/>
      <sz val="9"/>
      <color rgb="FFFFFFFF"/>
      <name val="Consolas"/>
      <family val="3"/>
    </font>
    <font>
      <sz val="9"/>
      <color rgb="FFFFFFFF"/>
      <name val="Consolas"/>
      <family val="3"/>
    </font>
    <font>
      <sz val="11"/>
      <color rgb="FF060622"/>
      <name val="Aptos"/>
      <family val="2"/>
    </font>
    <font>
      <b/>
      <sz val="11"/>
      <color rgb="FF060622"/>
      <name val="Aptos"/>
      <family val="2"/>
    </font>
    <font>
      <b/>
      <sz val="18"/>
      <color rgb="FFFFFFFF"/>
      <name val="Aptos"/>
      <family val="2"/>
    </font>
    <font>
      <b/>
      <sz val="18"/>
      <color rgb="FFFFFFFF"/>
      <name val="Aptos"/>
      <family val="2"/>
    </font>
    <font>
      <b/>
      <sz val="15"/>
      <color rgb="FFFFFFFF"/>
      <name val="Aptos"/>
      <family val="2"/>
    </font>
    <font>
      <b/>
      <sz val="20"/>
      <color rgb="FFFFFFFF"/>
      <name val="Aptos Narrow"/>
      <family val="2"/>
    </font>
    <font>
      <sz val="11"/>
      <color rgb="FF060622"/>
      <name val="Aptos Narrow"/>
      <family val="2"/>
    </font>
    <font>
      <i/>
      <sz val="11"/>
      <color rgb="FF060622"/>
      <name val="Aptos Narrow"/>
      <family val="2"/>
    </font>
    <font>
      <sz val="10"/>
      <color rgb="FF060622"/>
      <name val="Aptos Narrow"/>
      <family val="2"/>
    </font>
    <font>
      <b/>
      <sz val="11"/>
      <color rgb="FFFFFFFF"/>
      <name val="Aptos Narrow"/>
      <family val="2"/>
    </font>
    <font>
      <b/>
      <sz val="10"/>
      <color rgb="FF060622"/>
      <name val="Aptos Narrow"/>
      <family val="2"/>
    </font>
    <font>
      <b/>
      <sz val="11"/>
      <color rgb="FF060622"/>
      <name val="Aptos Narrow"/>
      <family val="2"/>
    </font>
    <font>
      <b/>
      <sz val="18"/>
      <color rgb="FFFFFFFF"/>
      <name val="Aptos Narrow"/>
      <family val="2"/>
    </font>
    <font>
      <sz val="11"/>
      <color rgb="FFFFFFFF"/>
      <name val="Aptos Narrow"/>
      <family val="2"/>
    </font>
    <font>
      <b/>
      <sz val="11"/>
      <color rgb="FF2F3A56"/>
      <name val="Aptos Narrow"/>
      <family val="2"/>
    </font>
    <font>
      <sz val="12"/>
      <color rgb="FF060622"/>
      <name val="Aptos Narrow"/>
      <family val="2"/>
    </font>
    <font>
      <i/>
      <sz val="12"/>
      <color rgb="FF060622"/>
      <name val="Aptos Narrow"/>
      <family val="2"/>
    </font>
    <font>
      <sz val="11"/>
      <color rgb="FF006100"/>
      <name val="Aptos Narrow"/>
      <family val="2"/>
    </font>
    <font>
      <b/>
      <sz val="11"/>
      <name val="Aptos Narrow"/>
      <family val="2"/>
    </font>
    <font>
      <sz val="11"/>
      <name val="Aptos Narrow"/>
      <family val="2"/>
    </font>
    <font>
      <sz val="10"/>
      <color rgb="FFFFFFFF"/>
      <name val="Aptos Narrow"/>
      <family val="2"/>
    </font>
    <font>
      <b/>
      <sz val="12"/>
      <color rgb="FF060622"/>
      <name val="Aptos Narrow"/>
      <family val="2"/>
    </font>
    <font>
      <b/>
      <i/>
      <sz val="11"/>
      <color rgb="FF060622"/>
      <name val="Aptos Narrow"/>
      <family val="2"/>
    </font>
    <font>
      <b/>
      <sz val="15"/>
      <color rgb="FFFFFFFF"/>
      <name val="Consolas"/>
      <family val="3"/>
    </font>
    <font>
      <b/>
      <sz val="18"/>
      <color rgb="FFFFFFFF"/>
      <name val="Consolas"/>
      <family val="3"/>
    </font>
    <font>
      <b/>
      <sz val="11"/>
      <color rgb="FFFFFFFF"/>
      <name val="Consolas"/>
      <family val="3"/>
    </font>
    <font>
      <b/>
      <sz val="11"/>
      <color rgb="FF060622"/>
      <name val="Consolas"/>
      <family val="3"/>
    </font>
    <font>
      <sz val="10"/>
      <color rgb="FF2F3A56"/>
      <name val="Consolas"/>
      <family val="3"/>
    </font>
    <font>
      <sz val="10"/>
      <color rgb="FF060622"/>
      <name val="Consolas"/>
      <family val="3"/>
    </font>
    <font>
      <b/>
      <sz val="10"/>
      <color rgb="FF060622"/>
      <name val="Consolas"/>
      <family val="3"/>
    </font>
    <font>
      <sz val="11"/>
      <color rgb="FF060622"/>
      <name val="Arial Narrow"/>
      <family val="2"/>
    </font>
    <font>
      <b/>
      <sz val="18"/>
      <color rgb="FFFFFFFF"/>
      <name val="Arial Narrow"/>
      <family val="2"/>
    </font>
    <font>
      <b/>
      <sz val="15"/>
      <color rgb="FFFFFFFF"/>
      <name val="Arial Narrow"/>
      <family val="2"/>
    </font>
    <font>
      <b/>
      <sz val="11"/>
      <color rgb="FF060622"/>
      <name val="Arial Narrow"/>
      <family val="2"/>
    </font>
    <font>
      <b/>
      <sz val="11"/>
      <color rgb="FF2F3A56"/>
      <name val="Arial Narrow"/>
      <family val="2"/>
    </font>
    <font>
      <b/>
      <sz val="7"/>
      <color rgb="FF2F3A56"/>
      <name val="Arial Narrow"/>
      <family val="2"/>
    </font>
    <font>
      <sz val="10"/>
      <color rgb="FF2F3A56"/>
      <name val="Arial Narrow"/>
      <family val="2"/>
    </font>
    <font>
      <sz val="7"/>
      <color rgb="FF2F3A56"/>
      <name val="Arial Narrow"/>
      <family val="2"/>
    </font>
    <font>
      <b/>
      <sz val="10"/>
      <color rgb="FFFFFFFF"/>
      <name val="Aptos Narrow"/>
      <family val="2"/>
    </font>
    <font>
      <sz val="12"/>
      <color rgb="FFFFFFFF"/>
      <name val="Aptos Narrow"/>
      <family val="2"/>
    </font>
    <font>
      <i/>
      <sz val="10"/>
      <color rgb="FF060622"/>
      <name val="Aptos Narrow"/>
      <family val="2"/>
    </font>
    <font>
      <b/>
      <i/>
      <sz val="12"/>
      <color rgb="FF060622"/>
      <name val="Aptos Narrow"/>
      <family val="2"/>
    </font>
    <font>
      <sz val="12"/>
      <color rgb="FF2F3A56"/>
      <name val="Aptos Narrow"/>
      <family val="2"/>
    </font>
    <font>
      <b/>
      <sz val="14"/>
      <color rgb="FF060622"/>
      <name val="Aptos Narrow"/>
      <family val="2"/>
    </font>
    <font>
      <sz val="11"/>
      <color rgb="FF00B050"/>
      <name val="Aptos Narrow"/>
      <family val="2"/>
    </font>
    <font>
      <b/>
      <sz val="10"/>
      <color rgb="FFFFFFFF"/>
      <name val="Arial Narrow"/>
      <family val="2"/>
    </font>
    <font>
      <sz val="10"/>
      <color rgb="FF060622"/>
      <name val="Arial Narrow"/>
      <family val="2"/>
    </font>
    <font>
      <b/>
      <sz val="14"/>
      <color rgb="FFFFFFFF"/>
      <name val="Aptos Narrow"/>
      <family val="2"/>
    </font>
  </fonts>
  <fills count="18">
    <fill>
      <patternFill patternType="none"/>
    </fill>
    <fill>
      <patternFill patternType="gray125"/>
    </fill>
    <fill>
      <patternFill patternType="solid">
        <fgColor rgb="FFFFFFFF"/>
      </patternFill>
    </fill>
    <fill>
      <patternFill patternType="solid">
        <fgColor rgb="FFC6EFCE"/>
      </patternFill>
    </fill>
    <fill>
      <patternFill patternType="solid">
        <fgColor rgb="FF2F3A56"/>
      </patternFill>
    </fill>
    <fill>
      <patternFill patternType="solid">
        <fgColor rgb="FFF2E9E4"/>
      </patternFill>
    </fill>
    <fill>
      <patternFill patternType="solid">
        <fgColor rgb="FFFAF4F4"/>
      </patternFill>
    </fill>
    <fill>
      <patternFill patternType="solid">
        <fgColor rgb="FFFAF4F4"/>
      </patternFill>
    </fill>
    <fill>
      <patternFill patternType="solid">
        <fgColor rgb="FF060622"/>
      </patternFill>
    </fill>
    <fill>
      <patternFill patternType="solid">
        <fgColor rgb="FF4A2D75"/>
      </patternFill>
    </fill>
    <fill>
      <patternFill patternType="solid">
        <fgColor rgb="FFFAF4F4"/>
        <bgColor indexed="64"/>
      </patternFill>
    </fill>
    <fill>
      <patternFill patternType="solid">
        <fgColor rgb="FF060622"/>
        <bgColor indexed="64"/>
      </patternFill>
    </fill>
    <fill>
      <patternFill patternType="solid">
        <fgColor rgb="FF2F3A56"/>
        <bgColor indexed="64"/>
      </patternFill>
    </fill>
    <fill>
      <patternFill patternType="solid">
        <fgColor rgb="FFFAF4F4"/>
        <bgColor indexed="64"/>
      </patternFill>
    </fill>
    <fill>
      <patternFill patternType="solid">
        <fgColor rgb="FFF2E9E4"/>
        <bgColor indexed="64"/>
      </patternFill>
    </fill>
    <fill>
      <patternFill patternType="solid">
        <fgColor rgb="FF060622"/>
        <bgColor indexed="64"/>
      </patternFill>
    </fill>
    <fill>
      <patternFill patternType="solid">
        <fgColor rgb="FFF2E9E4"/>
        <bgColor indexed="64"/>
      </patternFill>
    </fill>
    <fill>
      <patternFill patternType="solid">
        <fgColor theme="8" tint="0.79998168889431442"/>
        <bgColor indexed="64"/>
      </patternFill>
    </fill>
  </fills>
  <borders count="2">
    <border>
      <left/>
      <right/>
      <top/>
      <bottom/>
      <diagonal/>
    </border>
    <border>
      <left/>
      <right/>
      <top/>
      <bottom/>
      <diagonal/>
    </border>
  </borders>
  <cellStyleXfs count="9">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applyNumberFormat="0" applyFill="0" applyBorder="0" applyAlignment="0" applyProtection="0"/>
    <xf numFmtId="0" fontId="4" fillId="3" borderId="0" applyNumberFormat="0" applyBorder="0" applyAlignment="0" applyProtection="0"/>
  </cellStyleXfs>
  <cellXfs count="285">
    <xf numFmtId="0" fontId="0" fillId="0" borderId="0" xfId="0"/>
    <xf numFmtId="0" fontId="9" fillId="0" borderId="0" xfId="0" applyFont="1" applyAlignment="1">
      <alignment vertical="top"/>
    </xf>
    <xf numFmtId="0" fontId="9" fillId="0" borderId="1" xfId="0" applyFont="1" applyBorder="1" applyAlignment="1">
      <alignment vertical="top"/>
    </xf>
    <xf numFmtId="0" fontId="11" fillId="6" borderId="0" xfId="0" applyFont="1" applyFill="1" applyAlignment="1">
      <alignment vertical="top"/>
    </xf>
    <xf numFmtId="0" fontId="12" fillId="6" borderId="0" xfId="0" applyFont="1" applyFill="1" applyAlignment="1">
      <alignment vertical="top"/>
    </xf>
    <xf numFmtId="0" fontId="9" fillId="0" borderId="0" xfId="0" applyFont="1" applyAlignment="1">
      <alignment horizontal="center" vertical="top" wrapText="1"/>
    </xf>
    <xf numFmtId="0" fontId="9" fillId="0" borderId="0" xfId="0" applyFont="1" applyAlignment="1">
      <alignment vertical="top" wrapText="1"/>
    </xf>
    <xf numFmtId="0" fontId="9" fillId="0" borderId="0" xfId="0" applyFont="1" applyAlignment="1">
      <alignment horizontal="right" vertical="top" wrapText="1"/>
    </xf>
    <xf numFmtId="0" fontId="9" fillId="0" borderId="1" xfId="0" applyFont="1" applyBorder="1" applyAlignment="1">
      <alignment vertical="top" wrapText="1"/>
    </xf>
    <xf numFmtId="0" fontId="13" fillId="0" borderId="0" xfId="0" applyFont="1"/>
    <xf numFmtId="0" fontId="15" fillId="9" borderId="0" xfId="0" applyFont="1" applyFill="1"/>
    <xf numFmtId="0" fontId="13" fillId="0" borderId="0" xfId="0" applyFont="1" applyAlignment="1">
      <alignment vertical="top"/>
    </xf>
    <xf numFmtId="0" fontId="13" fillId="0" borderId="0" xfId="0" applyFont="1" applyAlignment="1">
      <alignment vertical="top" wrapText="1"/>
    </xf>
    <xf numFmtId="0" fontId="0" fillId="0" borderId="1" xfId="0" applyBorder="1"/>
    <xf numFmtId="0" fontId="11" fillId="0" borderId="1" xfId="0" applyFont="1" applyBorder="1" applyAlignment="1">
      <alignment vertical="top"/>
    </xf>
    <xf numFmtId="0" fontId="11" fillId="0" borderId="1" xfId="0" applyFont="1" applyBorder="1" applyAlignment="1">
      <alignment horizontal="left" vertical="top"/>
    </xf>
    <xf numFmtId="0" fontId="12" fillId="0" borderId="1" xfId="0" applyFont="1" applyBorder="1" applyAlignment="1">
      <alignment vertical="top"/>
    </xf>
    <xf numFmtId="0" fontId="2" fillId="0" borderId="1" xfId="0" applyFont="1" applyBorder="1"/>
    <xf numFmtId="0" fontId="1" fillId="0" borderId="1" xfId="0" applyFont="1" applyBorder="1"/>
    <xf numFmtId="0" fontId="21" fillId="11" borderId="1" xfId="0" applyFont="1" applyFill="1" applyBorder="1" applyAlignment="1">
      <alignment vertical="center"/>
    </xf>
    <xf numFmtId="0" fontId="11" fillId="11" borderId="1" xfId="0" applyFont="1" applyFill="1" applyBorder="1" applyAlignment="1">
      <alignment vertical="top"/>
    </xf>
    <xf numFmtId="0" fontId="0" fillId="11" borderId="1" xfId="0" applyFill="1" applyBorder="1"/>
    <xf numFmtId="0" fontId="0" fillId="11" borderId="0" xfId="0" applyFill="1"/>
    <xf numFmtId="0" fontId="22" fillId="0" borderId="1" xfId="0" applyFont="1" applyBorder="1"/>
    <xf numFmtId="0" fontId="21" fillId="0" borderId="1" xfId="0" applyFont="1" applyBorder="1" applyAlignment="1">
      <alignment vertical="center"/>
    </xf>
    <xf numFmtId="0" fontId="24" fillId="12" borderId="0" xfId="0" applyFont="1" applyFill="1" applyAlignment="1">
      <alignment vertical="top"/>
    </xf>
    <xf numFmtId="0" fontId="25" fillId="12" borderId="0" xfId="0" applyFont="1" applyFill="1" applyAlignment="1">
      <alignment vertical="top"/>
    </xf>
    <xf numFmtId="0" fontId="26" fillId="11" borderId="1" xfId="0" applyFont="1" applyFill="1" applyBorder="1"/>
    <xf numFmtId="0" fontId="26" fillId="0" borderId="1" xfId="0" applyFont="1" applyBorder="1"/>
    <xf numFmtId="0" fontId="27" fillId="0" borderId="1" xfId="0" applyFont="1" applyBorder="1"/>
    <xf numFmtId="0" fontId="23" fillId="11" borderId="0" xfId="0" applyFont="1" applyFill="1"/>
    <xf numFmtId="0" fontId="18" fillId="0" borderId="0" xfId="0" applyFont="1"/>
    <xf numFmtId="0" fontId="17" fillId="11" borderId="0" xfId="0" applyFont="1" applyFill="1" applyAlignment="1">
      <alignment vertical="top"/>
    </xf>
    <xf numFmtId="0" fontId="18" fillId="11" borderId="0" xfId="0" applyFont="1" applyFill="1" applyAlignment="1">
      <alignment vertical="top"/>
    </xf>
    <xf numFmtId="0" fontId="18" fillId="11" borderId="0" xfId="0" applyFont="1" applyFill="1"/>
    <xf numFmtId="0" fontId="17" fillId="11" borderId="1" xfId="0" applyFont="1" applyFill="1" applyBorder="1" applyAlignment="1">
      <alignment vertical="top"/>
    </xf>
    <xf numFmtId="0" fontId="18" fillId="11" borderId="1" xfId="0" applyFont="1" applyFill="1" applyBorder="1" applyAlignment="1">
      <alignment vertical="top"/>
    </xf>
    <xf numFmtId="0" fontId="18" fillId="11" borderId="1" xfId="0" applyFont="1" applyFill="1" applyBorder="1"/>
    <xf numFmtId="0" fontId="10" fillId="11" borderId="0" xfId="0" applyFont="1" applyFill="1" applyAlignment="1">
      <alignment vertical="center" wrapText="1"/>
    </xf>
    <xf numFmtId="0" fontId="28" fillId="11" borderId="1" xfId="0" applyFont="1" applyFill="1" applyBorder="1" applyAlignment="1">
      <alignment vertical="center"/>
    </xf>
    <xf numFmtId="0" fontId="16" fillId="15" borderId="1" xfId="0" applyFont="1" applyFill="1" applyBorder="1"/>
    <xf numFmtId="0" fontId="29" fillId="11" borderId="1" xfId="0" applyFont="1" applyFill="1" applyBorder="1" applyAlignment="1">
      <alignment horizontal="center" vertical="center"/>
    </xf>
    <xf numFmtId="0" fontId="28" fillId="11" borderId="0" xfId="0" applyFont="1" applyFill="1"/>
    <xf numFmtId="0" fontId="29" fillId="11" borderId="1" xfId="0" applyFont="1" applyFill="1" applyBorder="1" applyAlignment="1">
      <alignment vertical="center"/>
    </xf>
    <xf numFmtId="0" fontId="28" fillId="11" borderId="1" xfId="0" applyFont="1" applyFill="1" applyBorder="1" applyAlignment="1">
      <alignment vertical="top"/>
    </xf>
    <xf numFmtId="0" fontId="0" fillId="13" borderId="0" xfId="0" applyFill="1"/>
    <xf numFmtId="0" fontId="32" fillId="0" borderId="0" xfId="0" applyFont="1"/>
    <xf numFmtId="0" fontId="34" fillId="0" borderId="0" xfId="0" applyFont="1" applyAlignment="1">
      <alignment vertical="top"/>
    </xf>
    <xf numFmtId="0" fontId="35" fillId="11" borderId="0" xfId="0" applyFont="1" applyFill="1" applyAlignment="1">
      <alignment vertical="top"/>
    </xf>
    <xf numFmtId="0" fontId="36" fillId="7" borderId="0" xfId="0" applyFont="1" applyFill="1" applyAlignment="1">
      <alignment vertical="top"/>
    </xf>
    <xf numFmtId="1" fontId="36" fillId="7" borderId="0" xfId="0" applyNumberFormat="1" applyFont="1" applyFill="1" applyAlignment="1">
      <alignment vertical="top"/>
    </xf>
    <xf numFmtId="0" fontId="34" fillId="7" borderId="0" xfId="0" applyFont="1" applyFill="1" applyAlignment="1">
      <alignment vertical="top"/>
    </xf>
    <xf numFmtId="0" fontId="38" fillId="11" borderId="1" xfId="0" applyFont="1" applyFill="1" applyBorder="1" applyAlignment="1">
      <alignment vertical="center"/>
    </xf>
    <xf numFmtId="0" fontId="32" fillId="11" borderId="0" xfId="0" applyFont="1" applyFill="1"/>
    <xf numFmtId="0" fontId="32" fillId="0" borderId="0" xfId="0" applyFont="1" applyAlignment="1">
      <alignment vertical="top"/>
    </xf>
    <xf numFmtId="0" fontId="32" fillId="0" borderId="0" xfId="0" applyFont="1" applyAlignment="1">
      <alignment vertical="top" wrapText="1"/>
    </xf>
    <xf numFmtId="0" fontId="32" fillId="10" borderId="0" xfId="0" applyFont="1" applyFill="1" applyAlignment="1">
      <alignment vertical="top"/>
    </xf>
    <xf numFmtId="0" fontId="32" fillId="10" borderId="0" xfId="0" applyFont="1" applyFill="1" applyAlignment="1">
      <alignment vertical="top" wrapText="1"/>
    </xf>
    <xf numFmtId="0" fontId="39" fillId="11" borderId="0" xfId="0" applyFont="1" applyFill="1"/>
    <xf numFmtId="0" fontId="39" fillId="0" borderId="0" xfId="0" applyFont="1"/>
    <xf numFmtId="0" fontId="40" fillId="14" borderId="0" xfId="0" applyFont="1" applyFill="1" applyAlignment="1">
      <alignment vertical="top"/>
    </xf>
    <xf numFmtId="0" fontId="39" fillId="14" borderId="0" xfId="0" applyFont="1" applyFill="1"/>
    <xf numFmtId="0" fontId="40" fillId="14" borderId="0" xfId="0" applyFont="1" applyFill="1" applyAlignment="1">
      <alignment horizontal="center" vertical="top"/>
    </xf>
    <xf numFmtId="0" fontId="32" fillId="0" borderId="0" xfId="0" applyFont="1" applyAlignment="1">
      <alignment horizontal="center" vertical="top"/>
    </xf>
    <xf numFmtId="0" fontId="37" fillId="0" borderId="0" xfId="0" applyFont="1" applyAlignment="1">
      <alignment vertical="top"/>
    </xf>
    <xf numFmtId="0" fontId="32" fillId="11" borderId="0" xfId="0" applyFont="1" applyFill="1" applyAlignment="1">
      <alignment horizontal="left" vertical="top"/>
    </xf>
    <xf numFmtId="0" fontId="38" fillId="11" borderId="1" xfId="0" applyFont="1" applyFill="1" applyBorder="1" applyAlignment="1">
      <alignment horizontal="right" vertical="top"/>
    </xf>
    <xf numFmtId="0" fontId="40" fillId="14" borderId="0" xfId="0" applyFont="1" applyFill="1" applyAlignment="1">
      <alignment horizontal="left" vertical="top"/>
    </xf>
    <xf numFmtId="0" fontId="32" fillId="14" borderId="0" xfId="0" applyFont="1" applyFill="1"/>
    <xf numFmtId="0" fontId="32" fillId="0" borderId="0" xfId="0" applyFont="1" applyAlignment="1">
      <alignment horizontal="left" vertical="top"/>
    </xf>
    <xf numFmtId="0" fontId="37" fillId="0" borderId="0" xfId="0" applyFont="1" applyAlignment="1">
      <alignment horizontal="left" vertical="top"/>
    </xf>
    <xf numFmtId="0" fontId="36" fillId="0" borderId="0" xfId="0" applyFont="1" applyAlignment="1">
      <alignment horizontal="left" vertical="center"/>
    </xf>
    <xf numFmtId="0" fontId="37" fillId="0" borderId="0" xfId="0" applyFont="1"/>
    <xf numFmtId="0" fontId="32" fillId="0" borderId="0" xfId="0" quotePrefix="1" applyFont="1"/>
    <xf numFmtId="0" fontId="32" fillId="0" borderId="0" xfId="0" applyFont="1" applyAlignment="1">
      <alignment horizontal="left" vertical="top" wrapText="1"/>
    </xf>
    <xf numFmtId="0" fontId="33" fillId="0" borderId="0" xfId="0" applyFont="1" applyAlignment="1">
      <alignment horizontal="left" vertical="top" wrapText="1"/>
    </xf>
    <xf numFmtId="0" fontId="40" fillId="0" borderId="0" xfId="0" applyFont="1" applyAlignment="1">
      <alignment horizontal="left" vertical="top"/>
    </xf>
    <xf numFmtId="0" fontId="32" fillId="14" borderId="0" xfId="0" applyFont="1" applyFill="1" applyAlignment="1">
      <alignment horizontal="left" vertical="top"/>
    </xf>
    <xf numFmtId="0" fontId="34" fillId="0" borderId="0" xfId="0" applyFont="1"/>
    <xf numFmtId="0" fontId="38" fillId="11" borderId="1" xfId="0" applyFont="1" applyFill="1" applyBorder="1" applyAlignment="1">
      <alignment horizontal="center" vertical="center"/>
    </xf>
    <xf numFmtId="0" fontId="38" fillId="0" borderId="1" xfId="0" applyFont="1" applyBorder="1" applyAlignment="1">
      <alignment vertical="center"/>
    </xf>
    <xf numFmtId="0" fontId="40" fillId="14" borderId="0" xfId="0" applyFont="1" applyFill="1" applyAlignment="1">
      <alignment vertical="top" wrapText="1"/>
    </xf>
    <xf numFmtId="0" fontId="32" fillId="10" borderId="0" xfId="0" applyFont="1" applyFill="1" applyAlignment="1">
      <alignment horizontal="left" vertical="top" wrapText="1"/>
    </xf>
    <xf numFmtId="0" fontId="43" fillId="10" borderId="0" xfId="8" applyFont="1" applyFill="1"/>
    <xf numFmtId="0" fontId="44" fillId="0" borderId="1" xfId="0" applyFont="1" applyBorder="1" applyAlignment="1">
      <alignment vertical="top" wrapText="1"/>
    </xf>
    <xf numFmtId="0" fontId="45" fillId="0" borderId="1" xfId="0" applyFont="1" applyBorder="1"/>
    <xf numFmtId="0" fontId="32" fillId="0" borderId="1" xfId="0" applyFont="1" applyBorder="1" applyAlignment="1">
      <alignment vertical="top" wrapText="1"/>
    </xf>
    <xf numFmtId="0" fontId="32" fillId="0" borderId="1" xfId="0" applyFont="1" applyBorder="1"/>
    <xf numFmtId="0" fontId="32" fillId="0" borderId="1" xfId="0" applyFont="1" applyBorder="1" applyAlignment="1">
      <alignment horizontal="left" vertical="top" wrapText="1"/>
    </xf>
    <xf numFmtId="0" fontId="37" fillId="0" borderId="1" xfId="0" applyFont="1" applyBorder="1" applyAlignment="1">
      <alignment horizontal="left" vertical="top" wrapText="1"/>
    </xf>
    <xf numFmtId="0" fontId="40" fillId="5" borderId="1" xfId="0" applyFont="1" applyFill="1" applyBorder="1" applyAlignment="1">
      <alignment vertical="top" wrapText="1"/>
    </xf>
    <xf numFmtId="0" fontId="37" fillId="0" borderId="1" xfId="0" applyFont="1" applyBorder="1" applyAlignment="1">
      <alignment vertical="top" wrapText="1"/>
    </xf>
    <xf numFmtId="0" fontId="46" fillId="11" borderId="1" xfId="0" applyFont="1" applyFill="1" applyBorder="1"/>
    <xf numFmtId="0" fontId="39" fillId="11" borderId="1" xfId="0" applyFont="1" applyFill="1" applyBorder="1"/>
    <xf numFmtId="0" fontId="37" fillId="0" borderId="1" xfId="0" applyFont="1" applyBorder="1" applyAlignment="1">
      <alignment wrapText="1"/>
    </xf>
    <xf numFmtId="0" fontId="32" fillId="0" borderId="1" xfId="0" applyFont="1" applyBorder="1" applyAlignment="1">
      <alignment horizontal="center" vertical="center" wrapText="1"/>
    </xf>
    <xf numFmtId="0" fontId="37" fillId="0" borderId="1" xfId="0" applyFont="1" applyBorder="1"/>
    <xf numFmtId="0" fontId="36" fillId="0" borderId="1" xfId="0" applyFont="1" applyBorder="1" applyAlignment="1">
      <alignment vertical="center" wrapText="1"/>
    </xf>
    <xf numFmtId="0" fontId="34" fillId="0" borderId="1" xfId="0" applyFont="1" applyBorder="1" applyAlignment="1">
      <alignment vertical="top" wrapText="1"/>
    </xf>
    <xf numFmtId="0" fontId="34" fillId="0" borderId="1" xfId="0" applyFont="1" applyBorder="1"/>
    <xf numFmtId="0" fontId="36" fillId="0" borderId="1" xfId="0" applyFont="1" applyBorder="1" applyAlignment="1">
      <alignment vertical="top"/>
    </xf>
    <xf numFmtId="0" fontId="22" fillId="11" borderId="0" xfId="0" applyFont="1" applyFill="1" applyAlignment="1">
      <alignment horizontal="center"/>
    </xf>
    <xf numFmtId="0" fontId="49" fillId="11" borderId="0" xfId="0" applyFont="1" applyFill="1" applyAlignment="1">
      <alignment vertical="top"/>
    </xf>
    <xf numFmtId="0" fontId="22" fillId="11" borderId="0" xfId="0" applyFont="1" applyFill="1"/>
    <xf numFmtId="0" fontId="50" fillId="11" borderId="1" xfId="0" applyFont="1" applyFill="1" applyBorder="1" applyAlignment="1">
      <alignment horizontal="center" vertical="center"/>
    </xf>
    <xf numFmtId="0" fontId="22" fillId="0" borderId="0" xfId="0" applyFont="1"/>
    <xf numFmtId="0" fontId="50" fillId="11" borderId="1" xfId="0" applyFont="1" applyFill="1" applyBorder="1" applyAlignment="1">
      <alignment vertical="center"/>
    </xf>
    <xf numFmtId="0" fontId="51" fillId="11" borderId="0" xfId="0" applyFont="1" applyFill="1" applyAlignment="1">
      <alignment horizontal="left" vertical="center"/>
    </xf>
    <xf numFmtId="0" fontId="51" fillId="11" borderId="0" xfId="0" applyFont="1" applyFill="1" applyAlignment="1">
      <alignment horizontal="center" vertical="center"/>
    </xf>
    <xf numFmtId="0" fontId="22" fillId="0" borderId="0" xfId="0" applyFont="1" applyAlignment="1">
      <alignment vertical="top"/>
    </xf>
    <xf numFmtId="0" fontId="52" fillId="0" borderId="0" xfId="0" applyFont="1" applyAlignment="1">
      <alignment vertical="top"/>
    </xf>
    <xf numFmtId="0" fontId="53" fillId="0" borderId="0" xfId="0" applyFont="1" applyAlignment="1">
      <alignment vertical="top" wrapText="1"/>
    </xf>
    <xf numFmtId="0" fontId="54" fillId="0" borderId="0" xfId="0" applyFont="1" applyAlignment="1">
      <alignment vertical="top"/>
    </xf>
    <xf numFmtId="0" fontId="55" fillId="0" borderId="0" xfId="0" applyFont="1" applyAlignment="1">
      <alignment vertical="top"/>
    </xf>
    <xf numFmtId="0" fontId="54" fillId="0" borderId="0" xfId="0" applyFont="1" applyAlignment="1">
      <alignment horizontal="left" vertical="top"/>
    </xf>
    <xf numFmtId="0" fontId="55" fillId="0" borderId="0" xfId="0" applyFont="1" applyAlignment="1">
      <alignment horizontal="center" vertical="top"/>
    </xf>
    <xf numFmtId="0" fontId="55" fillId="0" borderId="0" xfId="0" applyFont="1" applyAlignment="1">
      <alignment horizontal="center" vertical="top" wrapText="1"/>
    </xf>
    <xf numFmtId="0" fontId="54" fillId="0" borderId="0" xfId="0" applyFont="1" applyAlignment="1">
      <alignment vertical="top" wrapText="1"/>
    </xf>
    <xf numFmtId="0" fontId="54" fillId="0" borderId="0" xfId="0" applyFont="1" applyAlignment="1">
      <alignment horizontal="right" vertical="top" wrapText="1"/>
    </xf>
    <xf numFmtId="0" fontId="54" fillId="0" borderId="0" xfId="0" applyFont="1" applyAlignment="1">
      <alignment horizontal="center" vertical="top" wrapText="1"/>
    </xf>
    <xf numFmtId="0" fontId="22" fillId="0" borderId="1" xfId="0" applyFont="1" applyBorder="1" applyAlignment="1">
      <alignment vertical="top"/>
    </xf>
    <xf numFmtId="0" fontId="52" fillId="0" borderId="1" xfId="0" applyFont="1" applyBorder="1" applyAlignment="1">
      <alignment vertical="top"/>
    </xf>
    <xf numFmtId="0" fontId="56" fillId="11" borderId="0" xfId="0" applyFont="1" applyFill="1" applyAlignment="1">
      <alignment vertical="center"/>
    </xf>
    <xf numFmtId="0" fontId="57" fillId="11" borderId="0" xfId="0" applyFont="1" applyFill="1" applyAlignment="1">
      <alignment horizontal="left" vertical="center"/>
    </xf>
    <xf numFmtId="0" fontId="56" fillId="11" borderId="0" xfId="0" applyFont="1" applyFill="1" applyAlignment="1">
      <alignment horizontal="left" vertical="top"/>
    </xf>
    <xf numFmtId="0" fontId="58" fillId="11" borderId="0" xfId="0" applyFont="1" applyFill="1" applyAlignment="1">
      <alignment vertical="top"/>
    </xf>
    <xf numFmtId="0" fontId="56" fillId="0" borderId="0" xfId="0" applyFont="1"/>
    <xf numFmtId="0" fontId="56" fillId="0" borderId="0" xfId="0" applyFont="1" applyAlignment="1">
      <alignment vertical="top"/>
    </xf>
    <xf numFmtId="0" fontId="59" fillId="0" borderId="0" xfId="0" applyFont="1" applyAlignment="1">
      <alignment vertical="top"/>
    </xf>
    <xf numFmtId="0" fontId="56" fillId="0" borderId="0" xfId="0" applyFont="1" applyAlignment="1">
      <alignment vertical="center"/>
    </xf>
    <xf numFmtId="0" fontId="56" fillId="0" borderId="0" xfId="0" applyFont="1" applyAlignment="1">
      <alignment horizontal="left" vertical="top"/>
    </xf>
    <xf numFmtId="0" fontId="60" fillId="14" borderId="0" xfId="0" applyFont="1" applyFill="1" applyAlignment="1">
      <alignment horizontal="left" vertical="top"/>
    </xf>
    <xf numFmtId="0" fontId="60" fillId="14" borderId="0" xfId="0" applyFont="1" applyFill="1" applyAlignment="1">
      <alignment vertical="top"/>
    </xf>
    <xf numFmtId="0" fontId="56" fillId="14" borderId="0" xfId="0" applyFont="1" applyFill="1"/>
    <xf numFmtId="0" fontId="60" fillId="0" borderId="0" xfId="0" applyFont="1" applyAlignment="1">
      <alignment horizontal="left" vertical="top"/>
    </xf>
    <xf numFmtId="0" fontId="60" fillId="0" borderId="0" xfId="0" applyFont="1" applyAlignment="1">
      <alignment vertical="top"/>
    </xf>
    <xf numFmtId="0" fontId="60" fillId="14" borderId="0" xfId="0" applyFont="1" applyFill="1" applyAlignment="1">
      <alignment vertical="center"/>
    </xf>
    <xf numFmtId="0" fontId="59" fillId="0" borderId="0" xfId="0" applyFont="1" applyAlignment="1">
      <alignment horizontal="left" vertical="top"/>
    </xf>
    <xf numFmtId="0" fontId="59" fillId="0" borderId="0" xfId="0" applyFont="1"/>
    <xf numFmtId="0" fontId="59" fillId="0" borderId="0" xfId="0" applyFont="1" applyAlignment="1">
      <alignment vertical="center"/>
    </xf>
    <xf numFmtId="0" fontId="56" fillId="0" borderId="0" xfId="0" applyFont="1" applyAlignment="1">
      <alignment horizontal="left" vertical="center"/>
    </xf>
    <xf numFmtId="0" fontId="60" fillId="0" borderId="0" xfId="0" applyFont="1" applyAlignment="1">
      <alignment vertical="center"/>
    </xf>
    <xf numFmtId="0" fontId="60" fillId="14" borderId="0" xfId="0" applyFont="1" applyFill="1"/>
    <xf numFmtId="0" fontId="60" fillId="14" borderId="0" xfId="0" applyFont="1" applyFill="1" applyAlignment="1">
      <alignment horizontal="left"/>
    </xf>
    <xf numFmtId="0" fontId="62" fillId="14" borderId="0" xfId="0" applyFont="1" applyFill="1" applyAlignment="1">
      <alignment horizontal="left" vertical="center"/>
    </xf>
    <xf numFmtId="0" fontId="60" fillId="14" borderId="0" xfId="0" applyFont="1" applyFill="1" applyAlignment="1">
      <alignment horizontal="left" vertical="center"/>
    </xf>
    <xf numFmtId="0" fontId="38" fillId="11" borderId="1" xfId="0" applyFont="1" applyFill="1" applyBorder="1" applyAlignment="1">
      <alignment vertical="top"/>
    </xf>
    <xf numFmtId="49" fontId="39" fillId="11" borderId="1" xfId="0" applyNumberFormat="1" applyFont="1" applyFill="1" applyBorder="1"/>
    <xf numFmtId="0" fontId="39" fillId="0" borderId="1" xfId="0" applyFont="1" applyBorder="1"/>
    <xf numFmtId="0" fontId="64" fillId="11" borderId="1" xfId="0" applyFont="1" applyFill="1" applyBorder="1" applyAlignment="1">
      <alignment vertical="center" wrapText="1"/>
    </xf>
    <xf numFmtId="49" fontId="64" fillId="11" borderId="1" xfId="0" applyNumberFormat="1" applyFont="1" applyFill="1" applyBorder="1" applyAlignment="1">
      <alignment vertical="center" wrapText="1"/>
    </xf>
    <xf numFmtId="0" fontId="34" fillId="0" borderId="1" xfId="0" applyFont="1" applyBorder="1" applyAlignment="1">
      <alignment vertical="top"/>
    </xf>
    <xf numFmtId="0" fontId="34" fillId="2" borderId="1" xfId="0" applyFont="1" applyFill="1" applyBorder="1" applyAlignment="1">
      <alignment horizontal="center" vertical="top" wrapText="1"/>
    </xf>
    <xf numFmtId="49" fontId="34" fillId="0" borderId="1" xfId="0" applyNumberFormat="1" applyFont="1" applyBorder="1" applyAlignment="1">
      <alignment vertical="top"/>
    </xf>
    <xf numFmtId="0" fontId="36" fillId="0" borderId="1" xfId="0" applyFont="1" applyBorder="1" applyAlignment="1">
      <alignment horizontal="center" vertical="top" wrapText="1"/>
    </xf>
    <xf numFmtId="0" fontId="34" fillId="0" borderId="1" xfId="0" applyFont="1" applyBorder="1" applyAlignment="1">
      <alignment horizontal="center" vertical="top"/>
    </xf>
    <xf numFmtId="4" fontId="36" fillId="0" borderId="1" xfId="0" applyNumberFormat="1" applyFont="1" applyBorder="1" applyAlignment="1">
      <alignment horizontal="center" vertical="top"/>
    </xf>
    <xf numFmtId="3" fontId="36" fillId="0" borderId="1" xfId="0" applyNumberFormat="1" applyFont="1" applyBorder="1" applyAlignment="1">
      <alignment horizontal="center" vertical="top"/>
    </xf>
    <xf numFmtId="0" fontId="36" fillId="0" borderId="1" xfId="0" applyFont="1" applyBorder="1" applyAlignment="1">
      <alignment horizontal="center" vertical="top"/>
    </xf>
    <xf numFmtId="0" fontId="36" fillId="0" borderId="1" xfId="0" applyFont="1" applyBorder="1" applyAlignment="1">
      <alignment vertical="top" wrapText="1"/>
    </xf>
    <xf numFmtId="4" fontId="34" fillId="0" borderId="1" xfId="0" applyNumberFormat="1" applyFont="1" applyBorder="1" applyAlignment="1">
      <alignment vertical="top"/>
    </xf>
    <xf numFmtId="3" fontId="34" fillId="0" borderId="1" xfId="0" applyNumberFormat="1" applyFont="1" applyBorder="1" applyAlignment="1">
      <alignment vertical="top"/>
    </xf>
    <xf numFmtId="4" fontId="36" fillId="0" borderId="1" xfId="0" applyNumberFormat="1" applyFont="1" applyBorder="1" applyAlignment="1">
      <alignment vertical="top"/>
    </xf>
    <xf numFmtId="3" fontId="36" fillId="0" borderId="1" xfId="0" applyNumberFormat="1" applyFont="1" applyBorder="1" applyAlignment="1">
      <alignment vertical="top"/>
    </xf>
    <xf numFmtId="49" fontId="32" fillId="0" borderId="1" xfId="0" applyNumberFormat="1" applyFont="1" applyBorder="1"/>
    <xf numFmtId="0" fontId="65" fillId="11" borderId="1" xfId="0" applyFont="1" applyFill="1" applyBorder="1"/>
    <xf numFmtId="0" fontId="65" fillId="11" borderId="1" xfId="0" applyFont="1" applyFill="1" applyBorder="1" applyAlignment="1">
      <alignment vertical="top"/>
    </xf>
    <xf numFmtId="0" fontId="32" fillId="11" borderId="1" xfId="0" applyFont="1" applyFill="1" applyBorder="1"/>
    <xf numFmtId="0" fontId="65" fillId="0" borderId="1" xfId="0" applyFont="1" applyBorder="1"/>
    <xf numFmtId="0" fontId="36" fillId="0" borderId="1" xfId="0" applyFont="1" applyBorder="1" applyAlignment="1">
      <alignment vertical="center"/>
    </xf>
    <xf numFmtId="0" fontId="66" fillId="0" borderId="1" xfId="0" applyFont="1" applyBorder="1" applyAlignment="1">
      <alignment vertical="top" wrapText="1"/>
    </xf>
    <xf numFmtId="0" fontId="41" fillId="0" borderId="1" xfId="0" applyFont="1" applyBorder="1"/>
    <xf numFmtId="0" fontId="34" fillId="0" borderId="1" xfId="0" applyFont="1" applyBorder="1" applyAlignment="1">
      <alignment horizontal="center" vertical="top" wrapText="1"/>
    </xf>
    <xf numFmtId="0" fontId="36" fillId="0" borderId="1" xfId="0" applyFont="1" applyBorder="1" applyAlignment="1">
      <alignment horizontal="left" vertical="top" wrapText="1"/>
    </xf>
    <xf numFmtId="0" fontId="34" fillId="0" borderId="1" xfId="0" applyFont="1" applyBorder="1" applyAlignment="1">
      <alignment horizontal="left" wrapText="1"/>
    </xf>
    <xf numFmtId="0" fontId="65" fillId="11" borderId="1"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center" vertical="center"/>
    </xf>
    <xf numFmtId="0" fontId="37" fillId="0" borderId="1" xfId="0" applyFont="1" applyBorder="1" applyAlignment="1">
      <alignment horizontal="center" vertical="center" wrapText="1"/>
    </xf>
    <xf numFmtId="0" fontId="37" fillId="0" borderId="1" xfId="0" applyFont="1" applyBorder="1" applyAlignment="1">
      <alignment horizontal="left"/>
    </xf>
    <xf numFmtId="0" fontId="41" fillId="0" borderId="1" xfId="0" applyFont="1" applyBorder="1" applyAlignment="1">
      <alignment horizontal="center" vertical="center"/>
    </xf>
    <xf numFmtId="0" fontId="65" fillId="0" borderId="1" xfId="0" applyFont="1" applyBorder="1" applyAlignment="1">
      <alignment horizontal="center" vertical="center"/>
    </xf>
    <xf numFmtId="164" fontId="34" fillId="2" borderId="1" xfId="0" applyNumberFormat="1" applyFont="1" applyFill="1" applyBorder="1" applyAlignment="1">
      <alignment horizontal="center" vertical="top" wrapText="1"/>
    </xf>
    <xf numFmtId="0" fontId="39" fillId="11" borderId="1" xfId="0" applyFont="1" applyFill="1" applyBorder="1" applyAlignment="1">
      <alignment horizontal="center"/>
    </xf>
    <xf numFmtId="0" fontId="32" fillId="11" borderId="1" xfId="0" applyFont="1" applyFill="1" applyBorder="1" applyAlignment="1">
      <alignment horizontal="center"/>
    </xf>
    <xf numFmtId="0" fontId="32" fillId="0" borderId="1" xfId="0" applyFont="1" applyBorder="1" applyAlignment="1">
      <alignment horizontal="center"/>
    </xf>
    <xf numFmtId="0" fontId="64" fillId="4" borderId="1" xfId="0" applyFont="1" applyFill="1" applyBorder="1" applyAlignment="1">
      <alignment horizontal="center" vertical="center" wrapText="1"/>
    </xf>
    <xf numFmtId="0" fontId="64" fillId="4" borderId="1" xfId="0" applyFont="1" applyFill="1" applyBorder="1" applyAlignment="1">
      <alignment vertical="center" wrapText="1"/>
    </xf>
    <xf numFmtId="0" fontId="68" fillId="0" borderId="1" xfId="0" applyFont="1" applyBorder="1" applyAlignment="1">
      <alignment horizontal="center" vertical="center"/>
    </xf>
    <xf numFmtId="0" fontId="41" fillId="11" borderId="1" xfId="0" applyFont="1" applyFill="1" applyBorder="1" applyAlignment="1">
      <alignment horizontal="left"/>
    </xf>
    <xf numFmtId="0" fontId="32" fillId="11" borderId="1" xfId="0" applyFont="1" applyFill="1" applyBorder="1" applyAlignment="1">
      <alignment horizontal="left"/>
    </xf>
    <xf numFmtId="0" fontId="41" fillId="11" borderId="1" xfId="0" applyFont="1" applyFill="1" applyBorder="1"/>
    <xf numFmtId="0" fontId="64" fillId="4" borderId="1" xfId="0" applyFont="1" applyFill="1" applyBorder="1" applyAlignment="1">
      <alignment horizontal="left" vertical="center" wrapText="1"/>
    </xf>
    <xf numFmtId="165" fontId="64" fillId="4" borderId="1" xfId="0" applyNumberFormat="1" applyFont="1" applyFill="1" applyBorder="1" applyAlignment="1">
      <alignment horizontal="left" vertical="center" wrapText="1"/>
    </xf>
    <xf numFmtId="0" fontId="69" fillId="0" borderId="1" xfId="0" applyFont="1" applyBorder="1" applyAlignment="1">
      <alignment horizontal="left"/>
    </xf>
    <xf numFmtId="0" fontId="34" fillId="0" borderId="1" xfId="0" applyFont="1" applyBorder="1" applyAlignment="1">
      <alignment horizontal="left" vertical="top" wrapText="1"/>
    </xf>
    <xf numFmtId="0" fontId="41" fillId="0" borderId="1" xfId="0" applyFont="1" applyBorder="1" applyAlignment="1">
      <alignment horizontal="left"/>
    </xf>
    <xf numFmtId="0" fontId="32" fillId="0" borderId="1" xfId="0" applyFont="1" applyBorder="1" applyAlignment="1">
      <alignment horizontal="left"/>
    </xf>
    <xf numFmtId="0" fontId="64" fillId="11" borderId="1" xfId="0" applyFont="1" applyFill="1" applyBorder="1" applyAlignment="1">
      <alignment vertical="center"/>
    </xf>
    <xf numFmtId="0" fontId="36" fillId="0" borderId="1" xfId="0" applyFont="1" applyBorder="1" applyAlignment="1">
      <alignment horizontal="left" vertical="top"/>
    </xf>
    <xf numFmtId="0" fontId="34" fillId="0" borderId="1" xfId="0" applyFont="1" applyBorder="1" applyAlignment="1">
      <alignment horizontal="left" vertical="top"/>
    </xf>
    <xf numFmtId="0" fontId="41" fillId="11" borderId="0" xfId="0" applyFont="1" applyFill="1" applyAlignment="1">
      <alignment horizontal="center" vertical="center"/>
    </xf>
    <xf numFmtId="0" fontId="64" fillId="11" borderId="0" xfId="0" applyFont="1" applyFill="1" applyAlignment="1">
      <alignment horizontal="center" vertical="center" wrapText="1"/>
    </xf>
    <xf numFmtId="0" fontId="64" fillId="11" borderId="0" xfId="0" applyFont="1" applyFill="1" applyAlignment="1">
      <alignment vertical="center" wrapText="1"/>
    </xf>
    <xf numFmtId="0" fontId="41" fillId="11" borderId="0" xfId="0" applyFont="1" applyFill="1" applyAlignment="1">
      <alignment horizontal="center" vertical="center" wrapText="1"/>
    </xf>
    <xf numFmtId="0" fontId="64" fillId="11" borderId="0" xfId="0" applyFont="1" applyFill="1" applyAlignment="1">
      <alignment vertical="center"/>
    </xf>
    <xf numFmtId="0" fontId="36" fillId="0" borderId="0" xfId="0" applyFont="1" applyAlignment="1">
      <alignment horizontal="center" vertical="top"/>
    </xf>
    <xf numFmtId="0" fontId="47" fillId="0" borderId="0" xfId="0" applyFont="1" applyAlignment="1">
      <alignment horizontal="center" vertical="center"/>
    </xf>
    <xf numFmtId="0" fontId="34" fillId="0" borderId="0" xfId="0" applyFont="1" applyAlignment="1">
      <alignment horizontal="center" vertical="top"/>
    </xf>
    <xf numFmtId="0" fontId="41" fillId="0" borderId="0" xfId="0" applyFont="1" applyAlignment="1">
      <alignment horizontal="center" vertical="center"/>
    </xf>
    <xf numFmtId="0" fontId="34" fillId="10" borderId="0" xfId="0" applyFont="1" applyFill="1" applyAlignment="1">
      <alignment horizontal="center" vertical="top"/>
    </xf>
    <xf numFmtId="0" fontId="65" fillId="11" borderId="0" xfId="0" applyFont="1" applyFill="1" applyAlignment="1">
      <alignment horizontal="center" vertical="center"/>
    </xf>
    <xf numFmtId="0" fontId="64" fillId="11" borderId="0" xfId="0" applyFont="1" applyFill="1" applyAlignment="1">
      <alignment horizontal="right" vertical="center"/>
    </xf>
    <xf numFmtId="0" fontId="65" fillId="0" borderId="0" xfId="0" applyFont="1" applyAlignment="1">
      <alignment horizontal="center" vertical="center"/>
    </xf>
    <xf numFmtId="0" fontId="65" fillId="11" borderId="0" xfId="0" applyFont="1" applyFill="1" applyAlignment="1">
      <alignment horizontal="left" vertical="center"/>
    </xf>
    <xf numFmtId="0" fontId="64" fillId="11" borderId="0" xfId="0" applyFont="1" applyFill="1" applyAlignment="1">
      <alignment horizontal="left" vertical="center" wrapText="1"/>
    </xf>
    <xf numFmtId="0" fontId="41" fillId="0" borderId="0" xfId="0" applyFont="1" applyAlignment="1">
      <alignment horizontal="left" vertical="center"/>
    </xf>
    <xf numFmtId="0" fontId="64" fillId="11" borderId="1" xfId="0" applyFont="1" applyFill="1" applyBorder="1" applyAlignment="1">
      <alignment horizontal="center" vertical="center" wrapText="1"/>
    </xf>
    <xf numFmtId="0" fontId="64" fillId="11" borderId="1" xfId="0" applyFont="1" applyFill="1" applyBorder="1" applyAlignment="1">
      <alignment horizontal="left" vertical="center" wrapText="1"/>
    </xf>
    <xf numFmtId="0" fontId="64" fillId="11" borderId="1" xfId="0" applyFont="1" applyFill="1" applyBorder="1" applyAlignment="1">
      <alignment horizontal="right" vertical="center"/>
    </xf>
    <xf numFmtId="0" fontId="64" fillId="11" borderId="0" xfId="0" applyFont="1" applyFill="1" applyAlignment="1">
      <alignment horizontal="left" vertical="center"/>
    </xf>
    <xf numFmtId="0" fontId="64" fillId="11" borderId="0" xfId="0" applyFont="1" applyFill="1" applyAlignment="1">
      <alignment horizontal="right" vertical="center" wrapText="1"/>
    </xf>
    <xf numFmtId="0" fontId="34" fillId="0" borderId="0" xfId="0" applyFont="1" applyAlignment="1">
      <alignment horizontal="right" vertical="top"/>
    </xf>
    <xf numFmtId="0" fontId="36" fillId="0" borderId="0" xfId="0" applyFont="1" applyAlignment="1">
      <alignment vertical="top"/>
    </xf>
    <xf numFmtId="0" fontId="34" fillId="0" borderId="0" xfId="0" applyFont="1" applyAlignment="1">
      <alignment vertical="top" wrapText="1"/>
    </xf>
    <xf numFmtId="0" fontId="34" fillId="0" borderId="0" xfId="0" applyFont="1" applyAlignment="1">
      <alignment horizontal="left" vertical="top"/>
    </xf>
    <xf numFmtId="0" fontId="39" fillId="11" borderId="1" xfId="0" applyFont="1" applyFill="1" applyBorder="1" applyAlignment="1">
      <alignment horizontal="center" vertical="center"/>
    </xf>
    <xf numFmtId="0" fontId="41" fillId="11" borderId="1" xfId="0" applyFont="1" applyFill="1" applyBorder="1" applyAlignment="1">
      <alignment horizontal="center" vertical="center"/>
    </xf>
    <xf numFmtId="0" fontId="39" fillId="0" borderId="1" xfId="0" applyFont="1" applyBorder="1" applyAlignment="1">
      <alignment horizontal="center" vertical="center"/>
    </xf>
    <xf numFmtId="0" fontId="56" fillId="11" borderId="0" xfId="0" applyFont="1" applyFill="1"/>
    <xf numFmtId="0" fontId="57" fillId="11" borderId="1" xfId="0" applyFont="1" applyFill="1" applyBorder="1" applyAlignment="1">
      <alignment vertical="center"/>
    </xf>
    <xf numFmtId="0" fontId="71" fillId="11" borderId="0" xfId="0" applyFont="1" applyFill="1" applyAlignment="1">
      <alignment horizontal="center" vertical="center"/>
    </xf>
    <xf numFmtId="0" fontId="71" fillId="11" borderId="0" xfId="0" applyFont="1" applyFill="1" applyAlignment="1">
      <alignment vertical="center"/>
    </xf>
    <xf numFmtId="0" fontId="72" fillId="0" borderId="0" xfId="0" applyFont="1" applyAlignment="1">
      <alignment vertical="top"/>
    </xf>
    <xf numFmtId="0" fontId="72" fillId="0" borderId="1" xfId="0" applyFont="1" applyBorder="1" applyAlignment="1">
      <alignment vertical="top"/>
    </xf>
    <xf numFmtId="0" fontId="32" fillId="11" borderId="1" xfId="0" applyFont="1" applyFill="1" applyBorder="1" applyAlignment="1">
      <alignment vertical="center"/>
    </xf>
    <xf numFmtId="0" fontId="73" fillId="15" borderId="1" xfId="0" applyFont="1" applyFill="1" applyBorder="1" applyAlignment="1">
      <alignment vertical="center" wrapText="1"/>
    </xf>
    <xf numFmtId="0" fontId="46" fillId="15" borderId="1" xfId="0" applyFont="1" applyFill="1" applyBorder="1" applyAlignment="1">
      <alignment vertical="top"/>
    </xf>
    <xf numFmtId="0" fontId="39" fillId="15" borderId="1" xfId="0" applyFont="1" applyFill="1" applyBorder="1"/>
    <xf numFmtId="165" fontId="36" fillId="0" borderId="1" xfId="0" applyNumberFormat="1" applyFont="1" applyBorder="1" applyAlignment="1">
      <alignment horizontal="left" vertical="top" wrapText="1"/>
    </xf>
    <xf numFmtId="0" fontId="11" fillId="13" borderId="0" xfId="0" applyFont="1" applyFill="1" applyAlignment="1">
      <alignment vertical="top"/>
    </xf>
    <xf numFmtId="0" fontId="54" fillId="13" borderId="0" xfId="0" applyFont="1" applyFill="1" applyAlignment="1">
      <alignment vertical="top"/>
    </xf>
    <xf numFmtId="0" fontId="22" fillId="13" borderId="0" xfId="0" applyFont="1" applyFill="1"/>
    <xf numFmtId="0" fontId="54" fillId="13" borderId="0" xfId="0" applyFont="1" applyFill="1" applyAlignment="1">
      <alignment horizontal="center" vertical="top"/>
    </xf>
    <xf numFmtId="0" fontId="11" fillId="13" borderId="1" xfId="0" applyFont="1" applyFill="1" applyBorder="1" applyAlignment="1">
      <alignment vertical="top"/>
    </xf>
    <xf numFmtId="0" fontId="0" fillId="13" borderId="1" xfId="0" applyFill="1" applyBorder="1"/>
    <xf numFmtId="0" fontId="12" fillId="13" borderId="1" xfId="0" applyFont="1" applyFill="1" applyBorder="1" applyAlignment="1">
      <alignment vertical="top"/>
    </xf>
    <xf numFmtId="0" fontId="11" fillId="13" borderId="1" xfId="0" applyFont="1" applyFill="1" applyBorder="1" applyAlignment="1">
      <alignment horizontal="left" vertical="top"/>
    </xf>
    <xf numFmtId="0" fontId="12" fillId="13" borderId="0" xfId="0" applyFont="1" applyFill="1" applyAlignment="1">
      <alignment vertical="top"/>
    </xf>
    <xf numFmtId="0" fontId="13" fillId="17" borderId="0" xfId="0" applyFont="1" applyFill="1" applyAlignment="1">
      <alignment vertical="top"/>
    </xf>
    <xf numFmtId="0" fontId="53" fillId="17" borderId="0" xfId="0" applyFont="1" applyFill="1" applyAlignment="1">
      <alignment vertical="top" wrapText="1"/>
    </xf>
    <xf numFmtId="0" fontId="13" fillId="17" borderId="0" xfId="0" applyFont="1" applyFill="1" applyAlignment="1">
      <alignment vertical="top" wrapText="1"/>
    </xf>
    <xf numFmtId="0" fontId="13" fillId="17" borderId="0" xfId="0" applyFont="1" applyFill="1"/>
    <xf numFmtId="0" fontId="13" fillId="17" borderId="0" xfId="0" applyFont="1" applyFill="1" applyAlignment="1">
      <alignment wrapText="1"/>
    </xf>
    <xf numFmtId="0" fontId="0" fillId="17" borderId="0" xfId="0" applyFill="1"/>
    <xf numFmtId="0" fontId="22" fillId="13" borderId="0" xfId="0" applyFont="1" applyFill="1" applyAlignment="1">
      <alignment vertical="top"/>
    </xf>
    <xf numFmtId="0" fontId="52" fillId="13" borderId="0" xfId="0" applyFont="1" applyFill="1" applyAlignment="1">
      <alignment vertical="top"/>
    </xf>
    <xf numFmtId="0" fontId="22" fillId="13" borderId="0" xfId="0" applyFont="1" applyFill="1" applyAlignment="1">
      <alignment horizontal="left" vertical="top"/>
    </xf>
    <xf numFmtId="0" fontId="32" fillId="13" borderId="1" xfId="0" applyFont="1" applyFill="1" applyBorder="1"/>
    <xf numFmtId="0" fontId="47" fillId="13" borderId="1" xfId="0" applyFont="1" applyFill="1" applyBorder="1" applyAlignment="1">
      <alignment horizontal="center" vertical="center" wrapText="1"/>
    </xf>
    <xf numFmtId="0" fontId="37" fillId="13" borderId="1" xfId="0" applyFont="1" applyFill="1" applyBorder="1" applyAlignment="1">
      <alignment wrapText="1"/>
    </xf>
    <xf numFmtId="0" fontId="36" fillId="13" borderId="1" xfId="0" applyFont="1" applyFill="1" applyBorder="1"/>
    <xf numFmtId="0" fontId="32" fillId="13" borderId="1" xfId="0" applyFont="1" applyFill="1" applyBorder="1" applyAlignment="1">
      <alignment wrapText="1"/>
    </xf>
    <xf numFmtId="0" fontId="37" fillId="13" borderId="1" xfId="0" applyFont="1" applyFill="1" applyBorder="1"/>
    <xf numFmtId="0" fontId="34" fillId="13" borderId="1" xfId="0" applyFont="1" applyFill="1" applyBorder="1" applyAlignment="1">
      <alignment wrapText="1"/>
    </xf>
    <xf numFmtId="0" fontId="36" fillId="13" borderId="1" xfId="0" applyFont="1" applyFill="1" applyBorder="1" applyAlignment="1">
      <alignment wrapText="1"/>
    </xf>
    <xf numFmtId="0" fontId="34" fillId="13" borderId="1" xfId="0" applyFont="1" applyFill="1" applyBorder="1" applyAlignment="1">
      <alignment horizontal="left" vertical="center" wrapText="1"/>
    </xf>
    <xf numFmtId="0" fontId="37" fillId="13" borderId="1" xfId="0" applyFont="1" applyFill="1" applyBorder="1" applyAlignment="1">
      <alignment vertical="center" wrapText="1"/>
    </xf>
    <xf numFmtId="0" fontId="36" fillId="13" borderId="1" xfId="0" applyFont="1" applyFill="1" applyBorder="1" applyAlignment="1">
      <alignment vertical="center" wrapText="1"/>
    </xf>
    <xf numFmtId="0" fontId="36" fillId="13" borderId="1" xfId="0" applyFont="1" applyFill="1" applyBorder="1" applyAlignment="1">
      <alignment horizontal="left" vertical="center" wrapText="1"/>
    </xf>
    <xf numFmtId="0" fontId="34" fillId="13" borderId="1" xfId="0" applyFont="1" applyFill="1" applyBorder="1" applyAlignment="1">
      <alignment vertical="top" wrapText="1"/>
    </xf>
    <xf numFmtId="0" fontId="34" fillId="13" borderId="1" xfId="0" applyFont="1" applyFill="1" applyBorder="1"/>
    <xf numFmtId="0" fontId="36" fillId="13" borderId="1" xfId="0" applyFont="1" applyFill="1" applyBorder="1" applyAlignment="1">
      <alignment vertical="top"/>
    </xf>
    <xf numFmtId="0" fontId="34" fillId="13" borderId="0" xfId="0" applyFont="1" applyFill="1" applyAlignment="1">
      <alignment vertical="top" wrapText="1"/>
    </xf>
    <xf numFmtId="0" fontId="37" fillId="16" borderId="0" xfId="0" applyFont="1" applyFill="1" applyAlignment="1">
      <alignment vertical="top"/>
    </xf>
    <xf numFmtId="0" fontId="34" fillId="10" borderId="0" xfId="0" applyFont="1" applyFill="1" applyAlignment="1">
      <alignment vertical="top" wrapText="1"/>
    </xf>
    <xf numFmtId="0" fontId="31" fillId="11" borderId="0" xfId="0" applyFont="1" applyFill="1" applyAlignment="1">
      <alignment vertical="center"/>
    </xf>
    <xf numFmtId="0" fontId="33" fillId="16" borderId="0" xfId="0" applyFont="1" applyFill="1" applyAlignment="1">
      <alignment vertical="center"/>
    </xf>
    <xf numFmtId="0" fontId="35" fillId="11" borderId="0" xfId="0" applyFont="1" applyFill="1" applyAlignment="1">
      <alignment vertical="top"/>
    </xf>
    <xf numFmtId="0" fontId="34" fillId="7" borderId="0" xfId="0" applyFont="1" applyFill="1" applyAlignment="1">
      <alignment vertical="top" wrapText="1"/>
    </xf>
    <xf numFmtId="0" fontId="36" fillId="0" borderId="1" xfId="0" applyFont="1" applyBorder="1" applyAlignment="1">
      <alignment vertical="top"/>
    </xf>
    <xf numFmtId="0" fontId="34" fillId="0" borderId="1" xfId="0" applyFont="1" applyBorder="1" applyAlignment="1">
      <alignment vertical="top"/>
    </xf>
    <xf numFmtId="0" fontId="29" fillId="8" borderId="0" xfId="0" applyFont="1" applyFill="1" applyAlignment="1">
      <alignment horizontal="center" vertical="center"/>
    </xf>
    <xf numFmtId="0" fontId="30" fillId="8" borderId="0" xfId="0" applyFont="1" applyFill="1" applyAlignment="1">
      <alignment horizontal="center" vertical="center"/>
    </xf>
    <xf numFmtId="0" fontId="14" fillId="0" borderId="0" xfId="0" applyFont="1"/>
  </cellXfs>
  <cellStyles count="9">
    <cellStyle name="Good" xfId="8" xr:uid="{00000000-0005-0000-0000-000000000000}"/>
    <cellStyle name="Hyperlink" xfId="7" xr:uid="{00000000-0005-0000-0000-000001000000}"/>
    <cellStyle name="Normal" xfId="0" builtinId="0"/>
    <cellStyle name="Normal 2" xfId="6" xr:uid="{00000000-0005-0000-0000-000003000000}"/>
    <cellStyle name="Normal 3" xfId="5" xr:uid="{00000000-0005-0000-0000-000004000000}"/>
    <cellStyle name="Normal 5" xfId="4" xr:uid="{00000000-0005-0000-0000-000005000000}"/>
    <cellStyle name="Normal 6" xfId="3" xr:uid="{00000000-0005-0000-0000-000006000000}"/>
    <cellStyle name="Normal 7" xfId="2" xr:uid="{00000000-0005-0000-0000-000007000000}"/>
    <cellStyle name="Normal 8" xfId="1" xr:uid="{00000000-0005-0000-0000-000008000000}"/>
  </cellStyles>
  <dxfs count="21">
    <dxf>
      <fill>
        <patternFill>
          <bgColor rgb="FFFAF4F4"/>
        </patternFill>
      </fill>
    </dxf>
    <dxf>
      <fill>
        <patternFill>
          <bgColor rgb="FFFAF4F4"/>
        </patternFill>
      </fil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numFmt numFmtId="0" formatCode="General"/>
    </dxf>
    <dxf>
      <font>
        <strike val="0"/>
        <outline val="0"/>
        <shadow val="0"/>
        <u val="none"/>
        <vertAlign val="baseline"/>
        <sz val="12"/>
        <color rgb="FF060622"/>
        <name val="Aptos Narrow"/>
        <family val="2"/>
        <scheme val="none"/>
      </font>
    </dxf>
    <dxf>
      <font>
        <strike val="0"/>
        <outline val="0"/>
        <shadow val="0"/>
        <u val="none"/>
        <vertAlign val="baseline"/>
        <name val="Aptos Narrow"/>
        <family val="2"/>
        <scheme val="none"/>
      </font>
    </dxf>
  </dxfs>
  <tableStyles count="0" defaultTableStyle="TableStyleMedium2" defaultPivotStyle="PivotStyleLight16"/>
  <colors>
    <mruColors>
      <color rgb="FFFA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ge001__3" displayName="Page001__3" ref="A3:Q57" headerRowCount="0" totalsRowShown="0" headerRowDxfId="20" dataDxfId="19">
  <tableColumns count="17">
    <tableColumn id="1" xr3:uid="{00000000-0010-0000-0000-000001000000}" name="Column1" dataDxfId="18"/>
    <tableColumn id="2" xr3:uid="{00000000-0010-0000-0000-000002000000}" name="Column2" dataDxfId="17"/>
    <tableColumn id="3" xr3:uid="{00000000-0010-0000-0000-000003000000}" name="Column3" dataDxfId="16"/>
    <tableColumn id="4" xr3:uid="{00000000-0010-0000-0000-000004000000}" name="Column4" dataDxfId="15"/>
    <tableColumn id="5" xr3:uid="{00000000-0010-0000-0000-000005000000}" name="Column5" dataDxfId="14"/>
    <tableColumn id="6" xr3:uid="{00000000-0010-0000-0000-000006000000}" name="Total dispensed naloxone from retail settings: 2012–2024" dataDxfId="13"/>
    <tableColumn id="7" xr3:uid="{00000000-0010-0000-0000-000007000000}" name="Column7" dataDxfId="12"/>
    <tableColumn id="8" xr3:uid="{00000000-0010-0000-0000-000008000000}" name="Column8" dataDxfId="11"/>
    <tableColumn id="9" xr3:uid="{00000000-0010-0000-0000-000009000000}" name="Column9" dataDxfId="10"/>
    <tableColumn id="10" xr3:uid="{00000000-0010-0000-0000-00000A000000}" name="Column10" dataDxfId="9"/>
    <tableColumn id="11" xr3:uid="{00000000-0010-0000-0000-00000B000000}" name="Column11" dataDxfId="8"/>
    <tableColumn id="12" xr3:uid="{00000000-0010-0000-0000-00000C000000}" name="Column12" dataDxfId="7"/>
    <tableColumn id="13" xr3:uid="{00000000-0010-0000-0000-00000D000000}" name="Column13" dataDxfId="6"/>
    <tableColumn id="14" xr3:uid="{00000000-0010-0000-0000-00000E000000}" name="Column14" dataDxfId="5"/>
    <tableColumn id="15" xr3:uid="{00000000-0010-0000-0000-00000F000000}" name="Column15" dataDxfId="4"/>
    <tableColumn id="16" xr3:uid="{00000000-0010-0000-0000-000010000000}" name="Column16" dataDxfId="3"/>
    <tableColumn id="17" xr3:uid="{00000000-0010-0000-0000-000011000000}" name="Column17" dataDxfId="2"/>
  </tableColumns>
  <tableStyleInfo showFirstColumn="0" showLastColumn="0" showRowStripes="1" showColumnStripes="0"/>
</table>
</file>

<file path=xl/theme/theme1.xml><?xml version="1.0" encoding="utf-8"?>
<a:theme xmlns:a="http://schemas.openxmlformats.org/drawingml/2006/main" name="Office Theme">
  <a:themeElements>
    <a:clrScheme name="Custom 1">
      <a:dk1>
        <a:srgbClr val="060622"/>
      </a:dk1>
      <a:lt1>
        <a:srgbClr val="F0F0F0"/>
      </a:lt1>
      <a:dk2>
        <a:srgbClr val="1E1E2F"/>
      </a:dk2>
      <a:lt2>
        <a:srgbClr val="F2E9E4"/>
      </a:lt2>
      <a:accent1>
        <a:srgbClr val="4A4E69"/>
      </a:accent1>
      <a:accent2>
        <a:srgbClr val="8D8D8D"/>
      </a:accent2>
      <a:accent3>
        <a:srgbClr val="4A2D75"/>
      </a:accent3>
      <a:accent4>
        <a:srgbClr val="9A8C98"/>
      </a:accent4>
      <a:accent5>
        <a:srgbClr val="BA9AAF"/>
      </a:accent5>
      <a:accent6>
        <a:srgbClr val="D8E0DA"/>
      </a:accent6>
      <a:hlink>
        <a:srgbClr val="4A4E69"/>
      </a:hlink>
      <a:folHlink>
        <a:srgbClr val="4A2D75"/>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3" Type="http://schemas.openxmlformats.org/officeDocument/2006/relationships/hyperlink" Target="https://archive.cdc.gov/www_cdc_gov/drugoverdose/rxrate-maps/state2009.html" TargetMode="External"/><Relationship Id="rId2" Type="http://schemas.openxmlformats.org/officeDocument/2006/relationships/hyperlink" Target="https://archive.cdc.gov/www_cdc_gov/drugoverdose/rxrate-maps/state2019.html" TargetMode="External"/><Relationship Id="rId1" Type="http://schemas.openxmlformats.org/officeDocument/2006/relationships/hyperlink" Target="https://www.cdc.gov/overdose-prevention/data-research/facts-stats/opioid-dispensing-rate-maps.html" TargetMode="External"/><Relationship Id="rId4" Type="http://schemas.openxmlformats.org/officeDocument/2006/relationships/hyperlink" Target="https://archive.cdc.gov/www_cdc_gov/drugoverdose/rxrate-maps/state2008.html"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cdc.gov/nchs/state-stats/deaths/kidney-disease.html"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cdc.gov/nchs/state-stats/deaths/drug-overdose.html"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cdc.gov/nchs/state-stats/deaths/diabetes.html"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archive.cdc.gov/www_cdc_gov/drugoverdose/rxrate-maps/state2008.html" TargetMode="External"/><Relationship Id="rId2" Type="http://schemas.openxmlformats.org/officeDocument/2006/relationships/hyperlink" Target="https://archive.cdc.gov/www_cdc_gov/drugoverdose/rxrate-maps/state2009.html" TargetMode="External"/><Relationship Id="rId1" Type="http://schemas.openxmlformats.org/officeDocument/2006/relationships/hyperlink" Target="https://www.cdc.gov/overdose-prevention/data-research/facts-stats/opioid-dispensing-rate-maps.html" TargetMode="External"/></Relationships>
</file>

<file path=xl/worksheets/_rels/sheet31.xml.rels><?xml version="1.0" encoding="UTF-8" standalone="yes"?>
<Relationships xmlns="http://schemas.openxmlformats.org/package/2006/relationships"><Relationship Id="rId2" Type="http://schemas.openxmlformats.org/officeDocument/2006/relationships/hyperlink" Target="https://www.google.com/intl/en-US/help/terms_maps/" TargetMode="External"/><Relationship Id="rId1" Type="http://schemas.openxmlformats.org/officeDocument/2006/relationships/hyperlink" Target="https://journals.sagepub.com/doi/10.1177/2158244018789750" TargetMode="External"/></Relationships>
</file>

<file path=xl/worksheets/_rels/sheet32.xml.rels><?xml version="1.0" encoding="UTF-8" standalone="yes"?>
<Relationships xmlns="http://schemas.openxmlformats.org/package/2006/relationships"><Relationship Id="rId2" Type="http://schemas.openxmlformats.org/officeDocument/2006/relationships/hyperlink" Target="https://yardsale8.github.io/stat110_book/chp7/chp7_iverson.html" TargetMode="External"/><Relationship Id="rId1" Type="http://schemas.openxmlformats.org/officeDocument/2006/relationships/hyperlink" Target="https://mindthegraph.com/blog/pearson-correl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4A2D75"/>
  </sheetPr>
  <dimension ref="A1:Y65"/>
  <sheetViews>
    <sheetView showGridLines="0" tabSelected="1" workbookViewId="0"/>
  </sheetViews>
  <sheetFormatPr defaultColWidth="9.125" defaultRowHeight="16.5"/>
  <cols>
    <col min="1" max="1" width="37.625" style="126" customWidth="1"/>
    <col min="2" max="2" width="94.25" style="126" customWidth="1"/>
    <col min="3" max="16384" width="9.125" style="126"/>
  </cols>
  <sheetData>
    <row r="1" spans="1:25" ht="39.75" customHeight="1">
      <c r="A1" s="122"/>
      <c r="B1" s="123" t="s">
        <v>4317</v>
      </c>
      <c r="C1" s="124"/>
      <c r="D1" s="125"/>
      <c r="E1" s="125"/>
      <c r="F1" s="125"/>
      <c r="G1" s="125"/>
      <c r="H1" s="125"/>
      <c r="I1" s="125"/>
      <c r="J1" s="125"/>
      <c r="K1" s="125"/>
      <c r="L1" s="125"/>
      <c r="M1" s="125"/>
      <c r="N1" s="125"/>
      <c r="O1" s="125"/>
      <c r="P1" s="125"/>
      <c r="Q1" s="125"/>
      <c r="R1" s="125"/>
      <c r="S1" s="125"/>
      <c r="T1" s="125"/>
      <c r="U1" s="125"/>
      <c r="V1" s="125"/>
      <c r="W1" s="125"/>
      <c r="X1" s="125"/>
      <c r="Y1" s="125"/>
    </row>
    <row r="2" spans="1:25">
      <c r="A2" s="127"/>
      <c r="B2" s="127"/>
      <c r="C2" s="127"/>
      <c r="D2" s="127"/>
      <c r="E2" s="127"/>
      <c r="F2" s="127"/>
      <c r="G2" s="127"/>
      <c r="H2" s="127"/>
      <c r="I2" s="127"/>
      <c r="J2" s="127"/>
      <c r="K2" s="127"/>
      <c r="L2" s="127"/>
      <c r="M2" s="127"/>
      <c r="N2" s="127"/>
      <c r="O2" s="127"/>
      <c r="P2" s="127"/>
      <c r="Q2" s="127"/>
      <c r="R2" s="127"/>
      <c r="S2" s="127"/>
      <c r="T2" s="127"/>
      <c r="U2" s="127"/>
      <c r="V2" s="127"/>
      <c r="W2" s="127"/>
      <c r="X2" s="127"/>
      <c r="Y2" s="127"/>
    </row>
    <row r="3" spans="1:25">
      <c r="A3" s="128" t="s">
        <v>0</v>
      </c>
      <c r="B3" s="127"/>
      <c r="C3" s="127"/>
      <c r="D3" s="127"/>
      <c r="E3" s="127"/>
      <c r="F3" s="127"/>
      <c r="G3" s="127"/>
      <c r="H3" s="127"/>
      <c r="I3" s="127"/>
      <c r="J3" s="127"/>
      <c r="K3" s="127"/>
      <c r="L3" s="127"/>
      <c r="M3" s="127"/>
      <c r="N3" s="127"/>
      <c r="O3" s="127"/>
      <c r="P3" s="127"/>
      <c r="Q3" s="127"/>
      <c r="R3" s="127"/>
      <c r="S3" s="127"/>
      <c r="T3" s="127"/>
      <c r="U3" s="127"/>
      <c r="V3" s="127"/>
      <c r="W3" s="127"/>
      <c r="X3" s="127"/>
      <c r="Y3" s="127"/>
    </row>
    <row r="4" spans="1:25">
      <c r="A4" s="127"/>
      <c r="B4" s="127"/>
      <c r="C4" s="127"/>
      <c r="D4" s="127"/>
      <c r="E4" s="127"/>
      <c r="F4" s="127"/>
      <c r="G4" s="127"/>
      <c r="H4" s="127"/>
      <c r="I4" s="127"/>
      <c r="J4" s="127"/>
      <c r="K4" s="127"/>
      <c r="L4" s="127"/>
      <c r="M4" s="127"/>
      <c r="N4" s="127"/>
      <c r="O4" s="127"/>
      <c r="P4" s="127"/>
      <c r="Q4" s="127"/>
      <c r="R4" s="127"/>
      <c r="S4" s="127"/>
      <c r="T4" s="127"/>
      <c r="U4" s="127"/>
      <c r="V4" s="127"/>
      <c r="W4" s="127"/>
      <c r="X4" s="127"/>
      <c r="Y4" s="127"/>
    </row>
    <row r="5" spans="1:25">
      <c r="A5" s="129" t="s">
        <v>1</v>
      </c>
      <c r="B5" s="127"/>
      <c r="C5" s="127"/>
      <c r="D5" s="127"/>
      <c r="E5" s="127"/>
      <c r="F5" s="127"/>
      <c r="G5" s="127"/>
      <c r="H5" s="127"/>
      <c r="I5" s="127"/>
      <c r="J5" s="127"/>
      <c r="K5" s="127"/>
      <c r="L5" s="127"/>
      <c r="M5" s="127"/>
      <c r="N5" s="127"/>
      <c r="O5" s="127"/>
      <c r="P5" s="127"/>
      <c r="Q5" s="127"/>
      <c r="R5" s="127"/>
      <c r="S5" s="127"/>
      <c r="T5" s="127"/>
      <c r="U5" s="127"/>
      <c r="V5" s="127"/>
      <c r="W5" s="127"/>
      <c r="X5" s="127"/>
      <c r="Y5" s="127"/>
    </row>
    <row r="6" spans="1:25">
      <c r="A6" s="126" t="s">
        <v>4311</v>
      </c>
      <c r="B6" s="127"/>
      <c r="C6" s="127"/>
      <c r="D6" s="127"/>
      <c r="E6" s="127"/>
      <c r="F6" s="127"/>
      <c r="G6" s="127"/>
      <c r="H6" s="127"/>
      <c r="I6" s="127"/>
      <c r="J6" s="127"/>
      <c r="K6" s="127"/>
      <c r="L6" s="127"/>
      <c r="M6" s="127"/>
      <c r="N6" s="127"/>
      <c r="O6" s="127"/>
      <c r="P6" s="127"/>
      <c r="Q6" s="127"/>
      <c r="R6" s="127"/>
      <c r="S6" s="127"/>
      <c r="T6" s="127"/>
      <c r="U6" s="127"/>
      <c r="V6" s="127"/>
      <c r="W6" s="127"/>
      <c r="X6" s="127"/>
      <c r="Y6" s="127"/>
    </row>
    <row r="7" spans="1:25">
      <c r="A7" s="129" t="s">
        <v>3823</v>
      </c>
      <c r="B7" s="127"/>
      <c r="C7" s="127"/>
      <c r="D7" s="127"/>
      <c r="E7" s="127"/>
      <c r="F7" s="127"/>
      <c r="G7" s="127"/>
      <c r="H7" s="127"/>
      <c r="I7" s="127"/>
      <c r="J7" s="127"/>
      <c r="K7" s="127"/>
      <c r="L7" s="127"/>
      <c r="M7" s="127"/>
      <c r="N7" s="127"/>
      <c r="O7" s="127"/>
      <c r="P7" s="127"/>
      <c r="Q7" s="127"/>
      <c r="R7" s="127"/>
      <c r="S7" s="127"/>
      <c r="T7" s="127"/>
      <c r="U7" s="127"/>
      <c r="V7" s="127"/>
      <c r="W7" s="127"/>
      <c r="X7" s="127"/>
      <c r="Y7" s="127"/>
    </row>
    <row r="8" spans="1:25">
      <c r="A8" s="129"/>
      <c r="B8" s="127"/>
      <c r="C8" s="127"/>
      <c r="D8" s="127"/>
      <c r="E8" s="127"/>
      <c r="F8" s="127"/>
      <c r="G8" s="127"/>
      <c r="H8" s="127"/>
      <c r="I8" s="127"/>
      <c r="J8" s="127"/>
      <c r="K8" s="127"/>
      <c r="L8" s="127"/>
      <c r="M8" s="127"/>
      <c r="N8" s="127"/>
      <c r="O8" s="127"/>
      <c r="P8" s="127"/>
      <c r="Q8" s="127"/>
      <c r="R8" s="127"/>
      <c r="S8" s="127"/>
      <c r="T8" s="127"/>
      <c r="U8" s="127"/>
      <c r="V8" s="127"/>
      <c r="W8" s="127"/>
      <c r="X8" s="127"/>
      <c r="Y8" s="127"/>
    </row>
    <row r="9" spans="1:25">
      <c r="A9" s="128" t="s">
        <v>2</v>
      </c>
      <c r="B9" s="127"/>
      <c r="C9" s="127"/>
      <c r="D9" s="127"/>
      <c r="E9" s="127"/>
      <c r="F9" s="127"/>
      <c r="G9" s="127"/>
      <c r="H9" s="127"/>
      <c r="I9" s="127"/>
      <c r="J9" s="127"/>
      <c r="K9" s="127"/>
      <c r="L9" s="127"/>
      <c r="M9" s="127"/>
      <c r="N9" s="127"/>
      <c r="O9" s="127"/>
      <c r="P9" s="127"/>
      <c r="Q9" s="127"/>
      <c r="R9" s="127"/>
      <c r="S9" s="127"/>
      <c r="T9" s="127"/>
      <c r="U9" s="127"/>
      <c r="V9" s="127"/>
      <c r="W9" s="127"/>
      <c r="X9" s="127"/>
      <c r="Y9" s="127"/>
    </row>
    <row r="10" spans="1:25">
      <c r="A10" s="130"/>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row>
    <row r="11" spans="1:25" s="133" customFormat="1">
      <c r="A11" s="131" t="s">
        <v>3824</v>
      </c>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row>
    <row r="12" spans="1:25">
      <c r="A12" s="130"/>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row>
    <row r="13" spans="1:25" s="133" customFormat="1">
      <c r="A13" s="131" t="s">
        <v>3825</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row>
    <row r="14" spans="1:25">
      <c r="A14" s="130"/>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row>
    <row r="15" spans="1:25" s="133" customFormat="1">
      <c r="A15" s="131" t="s">
        <v>3</v>
      </c>
      <c r="B15" s="132"/>
      <c r="C15" s="132"/>
      <c r="D15" s="132"/>
      <c r="E15" s="132"/>
      <c r="F15" s="132"/>
      <c r="G15" s="132"/>
      <c r="H15" s="132"/>
      <c r="I15" s="132"/>
      <c r="J15" s="132"/>
      <c r="K15" s="132"/>
      <c r="L15" s="132"/>
      <c r="M15" s="132"/>
      <c r="N15" s="132"/>
      <c r="O15" s="132"/>
      <c r="P15" s="132"/>
      <c r="Q15" s="132"/>
      <c r="R15" s="132"/>
      <c r="S15" s="132"/>
      <c r="T15" s="132"/>
      <c r="U15" s="132"/>
      <c r="V15" s="132"/>
      <c r="W15" s="132"/>
      <c r="X15" s="132"/>
      <c r="Y15" s="132"/>
    </row>
    <row r="16" spans="1:25">
      <c r="A16" s="134"/>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row>
    <row r="17" spans="1:25" s="133" customFormat="1">
      <c r="A17" s="136" t="s">
        <v>4</v>
      </c>
      <c r="B17" s="132"/>
      <c r="C17" s="132"/>
      <c r="D17" s="132"/>
      <c r="E17" s="132"/>
      <c r="F17" s="132"/>
      <c r="G17" s="132"/>
      <c r="H17" s="132"/>
      <c r="I17" s="132"/>
      <c r="J17" s="132"/>
      <c r="K17" s="132"/>
      <c r="L17" s="132"/>
      <c r="M17" s="132"/>
      <c r="N17" s="132"/>
      <c r="O17" s="132"/>
      <c r="P17" s="132"/>
      <c r="Q17" s="132"/>
      <c r="R17" s="132"/>
      <c r="S17" s="132"/>
      <c r="T17" s="132"/>
      <c r="U17" s="132"/>
      <c r="V17" s="132"/>
      <c r="W17" s="132"/>
      <c r="X17" s="132"/>
      <c r="Y17" s="132"/>
    </row>
    <row r="18" spans="1:25">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row>
    <row r="19" spans="1:25">
      <c r="A19" s="128" t="s">
        <v>5</v>
      </c>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row>
    <row r="20" spans="1:25">
      <c r="A20" s="130"/>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row>
    <row r="21" spans="1:25">
      <c r="A21" s="137" t="s">
        <v>6</v>
      </c>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row>
    <row r="22" spans="1:25">
      <c r="A22" s="130"/>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row>
    <row r="23" spans="1:25">
      <c r="A23" s="138" t="s">
        <v>4312</v>
      </c>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row>
    <row r="24" spans="1:25">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row>
    <row r="25" spans="1:25">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row>
    <row r="26" spans="1:25">
      <c r="A26" s="128" t="s">
        <v>7</v>
      </c>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row>
    <row r="27" spans="1:25">
      <c r="A27" s="127"/>
      <c r="B27" s="126" t="s">
        <v>4314</v>
      </c>
      <c r="C27" s="127"/>
      <c r="D27" s="127"/>
      <c r="E27" s="127"/>
      <c r="F27" s="127"/>
      <c r="G27" s="127"/>
      <c r="H27" s="127"/>
      <c r="I27" s="127"/>
      <c r="J27" s="127"/>
      <c r="K27" s="127"/>
      <c r="L27" s="127"/>
      <c r="M27" s="127"/>
      <c r="N27" s="127"/>
      <c r="O27" s="127"/>
      <c r="P27" s="127"/>
      <c r="Q27" s="127"/>
      <c r="R27" s="127"/>
      <c r="S27" s="127"/>
      <c r="T27" s="127"/>
      <c r="U27" s="127"/>
      <c r="V27" s="127"/>
      <c r="W27" s="127"/>
      <c r="X27" s="127"/>
      <c r="Y27" s="127"/>
    </row>
    <row r="28" spans="1:25">
      <c r="A28" s="127"/>
      <c r="B28" s="127" t="s">
        <v>4313</v>
      </c>
      <c r="C28" s="127"/>
      <c r="D28" s="127"/>
      <c r="E28" s="127"/>
      <c r="F28" s="127"/>
      <c r="G28" s="127"/>
      <c r="H28" s="127"/>
      <c r="I28" s="127"/>
      <c r="J28" s="127"/>
      <c r="K28" s="127"/>
      <c r="L28" s="127"/>
      <c r="M28" s="127"/>
      <c r="N28" s="127"/>
      <c r="O28" s="127"/>
      <c r="P28" s="127"/>
      <c r="Q28" s="127"/>
      <c r="R28" s="127"/>
      <c r="S28" s="127"/>
      <c r="T28" s="127"/>
      <c r="U28" s="127"/>
      <c r="V28" s="127"/>
      <c r="W28" s="127"/>
      <c r="X28" s="127"/>
      <c r="Y28" s="127"/>
    </row>
    <row r="29" spans="1:25">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row>
    <row r="30" spans="1:25">
      <c r="A30" s="139" t="s">
        <v>8</v>
      </c>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row>
    <row r="31" spans="1:25">
      <c r="A31" s="129" t="s">
        <v>9</v>
      </c>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row>
    <row r="32" spans="1:25">
      <c r="A32" s="129" t="s">
        <v>10</v>
      </c>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row>
    <row r="33" spans="1:25">
      <c r="A33" s="140" t="s">
        <v>11</v>
      </c>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row>
    <row r="34" spans="1:25">
      <c r="A34" s="140" t="s">
        <v>12</v>
      </c>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row>
    <row r="35" spans="1:25">
      <c r="A35" s="140" t="s">
        <v>13</v>
      </c>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row>
    <row r="36" spans="1:25">
      <c r="A36" s="140" t="s">
        <v>14</v>
      </c>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row>
    <row r="37" spans="1:25">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row>
    <row r="38" spans="1:25">
      <c r="A38" s="129" t="s">
        <v>15</v>
      </c>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row>
    <row r="39" spans="1:25">
      <c r="A39" s="140" t="s">
        <v>16</v>
      </c>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row>
    <row r="40" spans="1:25">
      <c r="A40" s="140" t="s">
        <v>17</v>
      </c>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row>
    <row r="41" spans="1:25">
      <c r="A41" s="140" t="s">
        <v>18</v>
      </c>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row>
    <row r="42" spans="1:25">
      <c r="A42" s="129"/>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row>
    <row r="43" spans="1:25">
      <c r="A43" s="141" t="s">
        <v>19</v>
      </c>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row>
    <row r="44" spans="1:25" s="133" customFormat="1">
      <c r="A44" s="142" t="s">
        <v>20</v>
      </c>
      <c r="B44" s="132"/>
      <c r="C44" s="132"/>
      <c r="D44" s="132"/>
      <c r="E44" s="132"/>
      <c r="F44" s="132"/>
      <c r="G44" s="132"/>
      <c r="H44" s="132"/>
      <c r="I44" s="132"/>
      <c r="J44" s="132"/>
      <c r="K44" s="132"/>
      <c r="L44" s="132"/>
      <c r="M44" s="132"/>
      <c r="N44" s="132"/>
      <c r="O44" s="132"/>
      <c r="P44" s="132"/>
      <c r="Q44" s="132"/>
      <c r="R44" s="132"/>
      <c r="S44" s="132"/>
      <c r="T44" s="132"/>
      <c r="U44" s="132"/>
      <c r="V44" s="132"/>
      <c r="W44" s="132"/>
      <c r="X44" s="132"/>
      <c r="Y44" s="132"/>
    </row>
    <row r="45" spans="1:25" s="133" customFormat="1">
      <c r="A45" s="142" t="s">
        <v>21</v>
      </c>
      <c r="B45" s="132"/>
      <c r="C45" s="132"/>
      <c r="D45" s="132"/>
      <c r="E45" s="132"/>
      <c r="F45" s="132"/>
      <c r="G45" s="132"/>
      <c r="H45" s="132"/>
      <c r="I45" s="132"/>
      <c r="J45" s="132"/>
      <c r="K45" s="132"/>
      <c r="L45" s="132"/>
      <c r="M45" s="132"/>
      <c r="N45" s="132"/>
      <c r="O45" s="132"/>
      <c r="P45" s="132"/>
      <c r="Q45" s="132"/>
      <c r="R45" s="132"/>
      <c r="S45" s="132"/>
      <c r="T45" s="132"/>
      <c r="U45" s="132"/>
      <c r="V45" s="132"/>
      <c r="W45" s="132"/>
      <c r="X45" s="132"/>
      <c r="Y45" s="132"/>
    </row>
    <row r="46" spans="1:25" s="133" customFormat="1">
      <c r="A46" s="143" t="s">
        <v>4490</v>
      </c>
      <c r="B46" s="132"/>
      <c r="C46" s="132"/>
      <c r="D46" s="132"/>
      <c r="E46" s="132"/>
      <c r="F46" s="132"/>
      <c r="G46" s="132"/>
      <c r="H46" s="132"/>
      <c r="I46" s="132"/>
      <c r="J46" s="132"/>
      <c r="K46" s="132"/>
      <c r="L46" s="132"/>
      <c r="M46" s="132"/>
      <c r="N46" s="132"/>
      <c r="O46" s="132"/>
      <c r="P46" s="132"/>
      <c r="Q46" s="132"/>
      <c r="R46" s="132"/>
      <c r="S46" s="132"/>
      <c r="T46" s="132"/>
      <c r="U46" s="132"/>
      <c r="V46" s="132"/>
      <c r="W46" s="132"/>
      <c r="X46" s="132"/>
      <c r="Y46" s="132"/>
    </row>
    <row r="47" spans="1:25" s="133" customFormat="1">
      <c r="A47" s="132" t="s">
        <v>22</v>
      </c>
      <c r="B47" s="132"/>
      <c r="C47" s="132"/>
      <c r="D47" s="132"/>
      <c r="E47" s="132"/>
      <c r="F47" s="132"/>
      <c r="G47" s="132"/>
      <c r="H47" s="132"/>
      <c r="I47" s="132"/>
      <c r="J47" s="132"/>
      <c r="K47" s="132"/>
      <c r="L47" s="132"/>
      <c r="M47" s="132"/>
      <c r="N47" s="132"/>
      <c r="O47" s="132"/>
      <c r="P47" s="132"/>
      <c r="Q47" s="132"/>
      <c r="R47" s="132"/>
      <c r="S47" s="132"/>
      <c r="T47" s="132"/>
      <c r="U47" s="132"/>
      <c r="V47" s="132"/>
      <c r="W47" s="132"/>
      <c r="X47" s="132"/>
      <c r="Y47" s="132"/>
    </row>
    <row r="48" spans="1:25" s="133" customFormat="1">
      <c r="A48" s="132" t="s">
        <v>23</v>
      </c>
      <c r="B48" s="132"/>
      <c r="C48" s="132"/>
      <c r="D48" s="132"/>
      <c r="E48" s="132"/>
      <c r="F48" s="132"/>
      <c r="G48" s="132"/>
      <c r="H48" s="132"/>
      <c r="I48" s="132"/>
      <c r="J48" s="132"/>
      <c r="K48" s="132"/>
      <c r="L48" s="132"/>
      <c r="M48" s="132"/>
      <c r="N48" s="132"/>
      <c r="O48" s="132"/>
      <c r="P48" s="132"/>
      <c r="Q48" s="132"/>
      <c r="R48" s="132"/>
      <c r="S48" s="132"/>
      <c r="T48" s="132"/>
      <c r="U48" s="132"/>
      <c r="V48" s="132"/>
      <c r="W48" s="132"/>
      <c r="X48" s="132"/>
      <c r="Y48" s="132"/>
    </row>
    <row r="49" spans="1:25" s="133" customFormat="1">
      <c r="A49" s="132" t="s">
        <v>4491</v>
      </c>
      <c r="B49" s="132"/>
      <c r="C49" s="132"/>
      <c r="D49" s="132"/>
      <c r="E49" s="132"/>
      <c r="F49" s="132"/>
      <c r="G49" s="132"/>
      <c r="H49" s="132"/>
      <c r="I49" s="132"/>
      <c r="J49" s="132"/>
      <c r="K49" s="132"/>
      <c r="L49" s="132"/>
      <c r="M49" s="132"/>
      <c r="N49" s="132"/>
      <c r="O49" s="132"/>
      <c r="P49" s="132"/>
      <c r="Q49" s="132"/>
      <c r="R49" s="132"/>
      <c r="S49" s="132"/>
      <c r="T49" s="132"/>
      <c r="U49" s="132"/>
      <c r="V49" s="132"/>
      <c r="W49" s="132"/>
      <c r="X49" s="132"/>
      <c r="Y49" s="132"/>
    </row>
    <row r="50" spans="1:25" s="133" customFormat="1">
      <c r="A50" s="132" t="s">
        <v>4315</v>
      </c>
      <c r="B50" s="132"/>
      <c r="C50" s="132"/>
      <c r="D50" s="132"/>
      <c r="E50" s="132"/>
      <c r="F50" s="132"/>
      <c r="G50" s="132"/>
      <c r="H50" s="132"/>
      <c r="I50" s="132"/>
      <c r="J50" s="132"/>
      <c r="K50" s="132"/>
      <c r="L50" s="132"/>
      <c r="M50" s="132"/>
      <c r="N50" s="132"/>
      <c r="O50" s="132"/>
      <c r="P50" s="132"/>
      <c r="Q50" s="132"/>
      <c r="R50" s="132"/>
      <c r="S50" s="132"/>
      <c r="T50" s="132"/>
      <c r="U50" s="132"/>
      <c r="V50" s="132"/>
      <c r="W50" s="132"/>
      <c r="X50" s="132"/>
      <c r="Y50" s="132"/>
    </row>
    <row r="51" spans="1:25" s="133" customFormat="1">
      <c r="A51" s="132" t="s">
        <v>4316</v>
      </c>
      <c r="B51" s="132"/>
      <c r="C51" s="132"/>
      <c r="D51" s="132"/>
      <c r="E51" s="132"/>
      <c r="F51" s="132"/>
      <c r="G51" s="132"/>
      <c r="H51" s="132"/>
      <c r="I51" s="132"/>
      <c r="J51" s="132"/>
      <c r="K51" s="132"/>
      <c r="L51" s="132"/>
      <c r="M51" s="132"/>
      <c r="N51" s="132"/>
      <c r="O51" s="132"/>
      <c r="P51" s="132"/>
      <c r="Q51" s="132"/>
      <c r="R51" s="132"/>
      <c r="S51" s="132"/>
      <c r="T51" s="132"/>
      <c r="U51" s="132"/>
      <c r="V51" s="132"/>
      <c r="W51" s="132"/>
      <c r="X51" s="132"/>
      <c r="Y51" s="132"/>
    </row>
    <row r="52" spans="1:25" s="133" customFormat="1">
      <c r="A52" s="132" t="s">
        <v>24</v>
      </c>
      <c r="B52" s="132"/>
      <c r="C52" s="132"/>
      <c r="D52" s="132"/>
      <c r="E52" s="132"/>
      <c r="F52" s="132"/>
      <c r="G52" s="132"/>
      <c r="H52" s="132"/>
      <c r="I52" s="132"/>
      <c r="J52" s="132"/>
      <c r="K52" s="132"/>
      <c r="L52" s="132"/>
      <c r="M52" s="132"/>
      <c r="N52" s="132"/>
      <c r="O52" s="132"/>
      <c r="P52" s="132"/>
      <c r="Q52" s="132"/>
      <c r="R52" s="132"/>
      <c r="S52" s="132"/>
      <c r="T52" s="132"/>
      <c r="U52" s="132"/>
      <c r="V52" s="132"/>
      <c r="W52" s="132"/>
      <c r="X52" s="132"/>
      <c r="Y52" s="132"/>
    </row>
    <row r="53" spans="1:25" s="133" customFormat="1">
      <c r="A53" s="132" t="s">
        <v>25</v>
      </c>
      <c r="B53" s="132"/>
      <c r="C53" s="132"/>
      <c r="D53" s="132"/>
      <c r="E53" s="132"/>
      <c r="F53" s="132"/>
      <c r="G53" s="132"/>
      <c r="H53" s="132"/>
      <c r="I53" s="132"/>
      <c r="J53" s="132"/>
      <c r="K53" s="132"/>
      <c r="L53" s="132"/>
      <c r="M53" s="132"/>
      <c r="N53" s="132"/>
      <c r="O53" s="132"/>
      <c r="P53" s="132"/>
      <c r="Q53" s="132"/>
      <c r="R53" s="132"/>
      <c r="S53" s="132"/>
      <c r="T53" s="132"/>
      <c r="U53" s="132"/>
      <c r="V53" s="132"/>
      <c r="W53" s="132"/>
      <c r="X53" s="132"/>
      <c r="Y53" s="132"/>
    </row>
    <row r="54" spans="1:25" s="133" customFormat="1">
      <c r="A54" s="132" t="s">
        <v>26</v>
      </c>
      <c r="B54" s="132"/>
      <c r="C54" s="132"/>
      <c r="D54" s="132"/>
      <c r="E54" s="132"/>
      <c r="F54" s="132"/>
      <c r="G54" s="132"/>
      <c r="H54" s="132"/>
      <c r="I54" s="132"/>
      <c r="J54" s="132"/>
      <c r="K54" s="132"/>
      <c r="L54" s="132"/>
      <c r="M54" s="132"/>
      <c r="N54" s="132"/>
      <c r="O54" s="132"/>
      <c r="P54" s="132"/>
      <c r="Q54" s="132"/>
      <c r="R54" s="132"/>
      <c r="S54" s="132"/>
      <c r="T54" s="132"/>
      <c r="U54" s="132"/>
      <c r="V54" s="132"/>
      <c r="W54" s="132"/>
      <c r="X54" s="132"/>
      <c r="Y54" s="132"/>
    </row>
    <row r="55" spans="1:25" s="133" customFormat="1">
      <c r="A55" s="132" t="s">
        <v>27</v>
      </c>
      <c r="B55" s="132"/>
      <c r="C55" s="132"/>
      <c r="D55" s="132"/>
      <c r="E55" s="132"/>
      <c r="F55" s="132"/>
      <c r="G55" s="132"/>
      <c r="H55" s="132"/>
      <c r="I55" s="132"/>
      <c r="J55" s="132"/>
      <c r="K55" s="132"/>
      <c r="L55" s="132"/>
      <c r="M55" s="132"/>
      <c r="N55" s="132"/>
      <c r="O55" s="132"/>
      <c r="P55" s="132"/>
      <c r="Q55" s="132"/>
      <c r="R55" s="132"/>
      <c r="S55" s="132"/>
      <c r="T55" s="132"/>
      <c r="U55" s="132"/>
      <c r="V55" s="132"/>
      <c r="W55" s="132"/>
      <c r="X55" s="132"/>
      <c r="Y55" s="132"/>
    </row>
    <row r="56" spans="1:2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row>
    <row r="57" spans="1:25">
      <c r="A57" s="135" t="s">
        <v>28</v>
      </c>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row>
    <row r="58" spans="1:25">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row>
    <row r="59" spans="1:25" s="133" customFormat="1">
      <c r="A59" s="144" t="s">
        <v>4492</v>
      </c>
      <c r="B59" s="132"/>
      <c r="C59" s="132"/>
      <c r="D59" s="132"/>
      <c r="E59" s="132"/>
      <c r="F59" s="132"/>
      <c r="G59" s="132"/>
      <c r="H59" s="132"/>
      <c r="I59" s="132"/>
      <c r="J59" s="132"/>
      <c r="K59" s="132"/>
      <c r="L59" s="132"/>
      <c r="M59" s="132"/>
      <c r="N59" s="132"/>
      <c r="O59" s="132"/>
      <c r="P59" s="132"/>
      <c r="Q59" s="132"/>
      <c r="R59" s="132"/>
      <c r="S59" s="132"/>
      <c r="T59" s="132"/>
      <c r="U59" s="132"/>
      <c r="V59" s="132"/>
      <c r="W59" s="132"/>
      <c r="X59" s="132"/>
      <c r="Y59" s="132"/>
    </row>
    <row r="60" spans="1:25" s="133" customFormat="1">
      <c r="A60" s="145" t="s">
        <v>29</v>
      </c>
      <c r="B60" s="132"/>
      <c r="C60" s="132"/>
      <c r="D60" s="132"/>
      <c r="E60" s="132"/>
      <c r="F60" s="132"/>
      <c r="G60" s="132"/>
      <c r="H60" s="132"/>
      <c r="I60" s="132"/>
      <c r="J60" s="132"/>
      <c r="K60" s="132"/>
      <c r="L60" s="132"/>
      <c r="M60" s="132"/>
      <c r="N60" s="132"/>
      <c r="O60" s="132"/>
      <c r="P60" s="132"/>
      <c r="Q60" s="132"/>
      <c r="R60" s="132"/>
      <c r="S60" s="132"/>
      <c r="T60" s="132"/>
      <c r="U60" s="132"/>
      <c r="V60" s="132"/>
      <c r="W60" s="132"/>
      <c r="X60" s="132"/>
      <c r="Y60" s="132"/>
    </row>
    <row r="61" spans="1:25" s="133" customFormat="1">
      <c r="A61" s="145" t="s">
        <v>30</v>
      </c>
      <c r="B61" s="132"/>
      <c r="C61" s="132"/>
      <c r="D61" s="132"/>
      <c r="E61" s="132"/>
      <c r="F61" s="132"/>
      <c r="G61" s="132"/>
      <c r="H61" s="132"/>
      <c r="I61" s="132"/>
      <c r="J61" s="132"/>
      <c r="K61" s="132"/>
      <c r="L61" s="132"/>
      <c r="M61" s="132"/>
      <c r="N61" s="132"/>
      <c r="O61" s="132"/>
      <c r="P61" s="132"/>
      <c r="Q61" s="132"/>
      <c r="R61" s="132"/>
      <c r="S61" s="132"/>
      <c r="T61" s="132"/>
      <c r="U61" s="132"/>
      <c r="V61" s="132"/>
      <c r="W61" s="132"/>
      <c r="X61" s="132"/>
      <c r="Y61" s="132"/>
    </row>
    <row r="62" spans="1:25" s="133" customFormat="1">
      <c r="A62" s="145" t="s">
        <v>31</v>
      </c>
      <c r="B62" s="132"/>
      <c r="C62" s="132"/>
      <c r="D62" s="132"/>
      <c r="E62" s="132"/>
      <c r="F62" s="132"/>
      <c r="G62" s="132"/>
      <c r="H62" s="132"/>
      <c r="I62" s="132"/>
      <c r="J62" s="132"/>
      <c r="K62" s="132"/>
      <c r="L62" s="132"/>
      <c r="M62" s="132"/>
      <c r="N62" s="132"/>
      <c r="O62" s="132"/>
      <c r="P62" s="132"/>
      <c r="Q62" s="132"/>
      <c r="R62" s="132"/>
      <c r="S62" s="132"/>
      <c r="T62" s="132"/>
      <c r="U62" s="132"/>
      <c r="V62" s="132"/>
      <c r="W62" s="132"/>
      <c r="X62" s="132"/>
      <c r="Y62" s="132"/>
    </row>
    <row r="63" spans="1:25" s="133" customFormat="1">
      <c r="A63" s="145" t="s">
        <v>32</v>
      </c>
      <c r="B63" s="132"/>
      <c r="C63" s="132"/>
      <c r="D63" s="132"/>
      <c r="E63" s="132"/>
      <c r="F63" s="132"/>
      <c r="G63" s="132"/>
      <c r="H63" s="132"/>
      <c r="I63" s="132"/>
      <c r="J63" s="132"/>
      <c r="K63" s="132"/>
      <c r="L63" s="132"/>
      <c r="M63" s="132"/>
      <c r="N63" s="132"/>
      <c r="O63" s="132"/>
      <c r="P63" s="132"/>
      <c r="Q63" s="132"/>
      <c r="R63" s="132"/>
      <c r="S63" s="132"/>
      <c r="T63" s="132"/>
      <c r="U63" s="132"/>
      <c r="V63" s="132"/>
      <c r="W63" s="132"/>
      <c r="X63" s="132"/>
      <c r="Y63" s="132"/>
    </row>
    <row r="64" spans="1:25" s="133" customFormat="1">
      <c r="A64" s="131" t="s">
        <v>33</v>
      </c>
      <c r="B64" s="132"/>
      <c r="C64" s="132"/>
      <c r="D64" s="132"/>
      <c r="E64" s="132"/>
      <c r="F64" s="132"/>
      <c r="G64" s="132"/>
      <c r="H64" s="132"/>
      <c r="I64" s="132"/>
      <c r="J64" s="132"/>
      <c r="K64" s="132"/>
      <c r="L64" s="132"/>
      <c r="M64" s="132"/>
      <c r="N64" s="132"/>
      <c r="O64" s="132"/>
      <c r="P64" s="132"/>
      <c r="Q64" s="132"/>
      <c r="R64" s="132"/>
      <c r="S64" s="132"/>
      <c r="T64" s="132"/>
      <c r="U64" s="132"/>
      <c r="V64" s="132"/>
      <c r="W64" s="132"/>
      <c r="X64" s="132"/>
      <c r="Y64" s="132"/>
    </row>
    <row r="65" spans="1:25" s="133" customFormat="1">
      <c r="A65" s="131" t="s">
        <v>34</v>
      </c>
      <c r="B65" s="132"/>
      <c r="C65" s="132"/>
      <c r="D65" s="132"/>
      <c r="E65" s="132"/>
      <c r="F65" s="132"/>
      <c r="G65" s="132"/>
      <c r="H65" s="132"/>
      <c r="I65" s="132"/>
      <c r="J65" s="132"/>
      <c r="K65" s="132"/>
      <c r="L65" s="132"/>
      <c r="M65" s="132"/>
      <c r="N65" s="132"/>
      <c r="O65" s="132"/>
      <c r="P65" s="132"/>
      <c r="Q65" s="132"/>
      <c r="R65" s="132"/>
      <c r="S65" s="132"/>
      <c r="T65" s="132"/>
      <c r="U65" s="132"/>
      <c r="V65" s="132"/>
      <c r="W65" s="132"/>
      <c r="X65" s="132"/>
      <c r="Y65" s="1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F3A56"/>
  </sheetPr>
  <dimension ref="A1:N130"/>
  <sheetViews>
    <sheetView showGridLines="0" workbookViewId="0"/>
  </sheetViews>
  <sheetFormatPr defaultColWidth="9.125" defaultRowHeight="15"/>
  <cols>
    <col min="1" max="1" width="13.25" style="87" customWidth="1"/>
    <col min="2" max="2" width="28.875" style="87" customWidth="1"/>
    <col min="3" max="3" width="46.375" style="87" customWidth="1"/>
    <col min="4" max="4" width="16.875" style="87" customWidth="1"/>
    <col min="5" max="5" width="18.25" style="87" customWidth="1"/>
    <col min="6" max="6" width="14.875" style="87" customWidth="1"/>
    <col min="7" max="7" width="12.125" style="164" customWidth="1"/>
    <col min="8" max="8" width="18.375" style="87" customWidth="1"/>
    <col min="9" max="9" width="20.625" style="87" customWidth="1"/>
    <col min="10" max="10" width="14.375" style="87" customWidth="1"/>
    <col min="11" max="11" width="17.125" style="87" customWidth="1"/>
    <col min="12" max="16384" width="9.125" style="87"/>
  </cols>
  <sheetData>
    <row r="1" spans="1:14" s="148" customFormat="1" ht="30.75" customHeight="1">
      <c r="A1" s="93"/>
      <c r="B1" s="93"/>
      <c r="C1" s="93"/>
      <c r="D1" s="146" t="s">
        <v>4348</v>
      </c>
      <c r="E1" s="93"/>
      <c r="F1" s="93"/>
      <c r="G1" s="147"/>
      <c r="H1" s="93"/>
      <c r="I1" s="93"/>
      <c r="J1" s="93"/>
      <c r="K1" s="93"/>
      <c r="L1" s="93"/>
      <c r="M1" s="93"/>
      <c r="N1" s="93"/>
    </row>
    <row r="2" spans="1:14" s="148" customFormat="1" ht="15" customHeight="1">
      <c r="A2" s="149" t="s">
        <v>35</v>
      </c>
      <c r="B2" s="149" t="s">
        <v>36</v>
      </c>
      <c r="C2" s="149" t="s">
        <v>37</v>
      </c>
      <c r="D2" s="149" t="s">
        <v>38</v>
      </c>
      <c r="E2" s="149" t="s">
        <v>39</v>
      </c>
      <c r="F2" s="149" t="s">
        <v>40</v>
      </c>
      <c r="G2" s="150" t="s">
        <v>41</v>
      </c>
      <c r="H2" s="149" t="s">
        <v>42</v>
      </c>
      <c r="I2" s="149" t="s">
        <v>43</v>
      </c>
      <c r="J2" s="149" t="s">
        <v>44</v>
      </c>
      <c r="K2" s="149"/>
      <c r="L2" s="149"/>
      <c r="M2" s="149"/>
      <c r="N2" s="149"/>
    </row>
    <row r="3" spans="1:14" ht="18" customHeight="1">
      <c r="A3" s="151" t="s">
        <v>45</v>
      </c>
      <c r="B3" s="151" t="s">
        <v>46</v>
      </c>
      <c r="C3" s="152" t="s">
        <v>47</v>
      </c>
      <c r="D3" s="151" t="s">
        <v>48</v>
      </c>
      <c r="E3" s="151" t="s">
        <v>49</v>
      </c>
      <c r="F3" s="151" t="s">
        <v>50</v>
      </c>
      <c r="G3" s="153" t="s">
        <v>51</v>
      </c>
      <c r="H3" s="151"/>
      <c r="I3" s="151" t="s">
        <v>35</v>
      </c>
      <c r="J3" s="151" t="s">
        <v>52</v>
      </c>
      <c r="K3" s="151"/>
      <c r="L3" s="151"/>
      <c r="M3" s="151"/>
      <c r="N3" s="151"/>
    </row>
    <row r="4" spans="1:14" ht="18" customHeight="1">
      <c r="A4" s="151" t="s">
        <v>45</v>
      </c>
      <c r="B4" s="151" t="s">
        <v>53</v>
      </c>
      <c r="C4" s="152" t="s">
        <v>54</v>
      </c>
      <c r="D4" s="151" t="s">
        <v>55</v>
      </c>
      <c r="E4" s="151" t="s">
        <v>56</v>
      </c>
      <c r="F4" s="151" t="s">
        <v>57</v>
      </c>
      <c r="G4" s="153" t="s">
        <v>58</v>
      </c>
      <c r="H4" s="151"/>
      <c r="I4" s="151" t="s">
        <v>36</v>
      </c>
      <c r="J4" s="151" t="s">
        <v>59</v>
      </c>
      <c r="K4" s="151"/>
      <c r="L4" s="151"/>
      <c r="M4" s="151"/>
      <c r="N4" s="151"/>
    </row>
    <row r="5" spans="1:14" ht="18" customHeight="1">
      <c r="A5" s="151" t="s">
        <v>45</v>
      </c>
      <c r="B5" s="151" t="s">
        <v>60</v>
      </c>
      <c r="C5" s="152" t="s">
        <v>61</v>
      </c>
      <c r="D5" s="151" t="s">
        <v>62</v>
      </c>
      <c r="E5" s="151" t="s">
        <v>63</v>
      </c>
      <c r="F5" s="151" t="s">
        <v>64</v>
      </c>
      <c r="G5" s="153" t="s">
        <v>65</v>
      </c>
      <c r="H5" s="151" t="s">
        <v>66</v>
      </c>
      <c r="I5" s="151" t="s">
        <v>37</v>
      </c>
      <c r="J5" s="151" t="s">
        <v>67</v>
      </c>
      <c r="K5" s="151"/>
      <c r="L5" s="151"/>
      <c r="M5" s="151"/>
      <c r="N5" s="151"/>
    </row>
    <row r="6" spans="1:14" ht="18" customHeight="1">
      <c r="A6" s="151" t="s">
        <v>68</v>
      </c>
      <c r="B6" s="151" t="s">
        <v>69</v>
      </c>
      <c r="C6" s="152" t="s">
        <v>70</v>
      </c>
      <c r="D6" s="151" t="s">
        <v>55</v>
      </c>
      <c r="E6" s="151" t="s">
        <v>71</v>
      </c>
      <c r="F6" s="151" t="s">
        <v>72</v>
      </c>
      <c r="G6" s="153" t="s">
        <v>73</v>
      </c>
      <c r="H6" s="151"/>
      <c r="I6" s="151" t="s">
        <v>38</v>
      </c>
      <c r="J6" s="151" t="s">
        <v>74</v>
      </c>
      <c r="K6" s="151"/>
      <c r="L6" s="151"/>
      <c r="M6" s="151"/>
      <c r="N6" s="151"/>
    </row>
    <row r="7" spans="1:14" ht="18" customHeight="1">
      <c r="A7" s="151" t="s">
        <v>68</v>
      </c>
      <c r="B7" s="151" t="s">
        <v>75</v>
      </c>
      <c r="C7" s="152" t="s">
        <v>76</v>
      </c>
      <c r="D7" s="151" t="s">
        <v>62</v>
      </c>
      <c r="E7" s="151" t="s">
        <v>77</v>
      </c>
      <c r="F7" s="151" t="s">
        <v>78</v>
      </c>
      <c r="G7" s="153" t="s">
        <v>79</v>
      </c>
      <c r="H7" s="151"/>
      <c r="I7" s="151" t="s">
        <v>39</v>
      </c>
      <c r="J7" s="151" t="s">
        <v>80</v>
      </c>
      <c r="K7" s="151"/>
      <c r="L7" s="151"/>
      <c r="M7" s="151"/>
      <c r="N7" s="151"/>
    </row>
    <row r="8" spans="1:14" ht="18" customHeight="1">
      <c r="A8" s="151" t="s">
        <v>68</v>
      </c>
      <c r="B8" s="151" t="s">
        <v>81</v>
      </c>
      <c r="C8" s="152" t="s">
        <v>82</v>
      </c>
      <c r="D8" s="151" t="s">
        <v>83</v>
      </c>
      <c r="E8" s="151" t="s">
        <v>84</v>
      </c>
      <c r="F8" s="151" t="s">
        <v>85</v>
      </c>
      <c r="G8" s="153" t="s">
        <v>86</v>
      </c>
      <c r="H8" s="151" t="s">
        <v>87</v>
      </c>
      <c r="I8" s="151" t="s">
        <v>40</v>
      </c>
      <c r="J8" s="151" t="s">
        <v>88</v>
      </c>
      <c r="K8" s="151"/>
      <c r="L8" s="151"/>
      <c r="M8" s="151"/>
      <c r="N8" s="151"/>
    </row>
    <row r="9" spans="1:14" ht="18" customHeight="1">
      <c r="A9" s="151"/>
      <c r="B9" s="151"/>
      <c r="C9" s="151"/>
      <c r="D9" s="151"/>
      <c r="E9" s="151"/>
      <c r="F9" s="151"/>
      <c r="G9" s="153"/>
      <c r="H9" s="151"/>
      <c r="I9" s="151" t="s">
        <v>41</v>
      </c>
      <c r="J9" s="151" t="s">
        <v>88</v>
      </c>
      <c r="K9" s="151" t="s">
        <v>89</v>
      </c>
      <c r="L9" s="151"/>
      <c r="M9" s="151"/>
      <c r="N9" s="151"/>
    </row>
    <row r="10" spans="1:14" ht="18" customHeight="1">
      <c r="A10" s="100" t="s">
        <v>90</v>
      </c>
      <c r="B10" s="151"/>
      <c r="C10" s="151"/>
      <c r="D10" s="151"/>
      <c r="E10" s="151"/>
      <c r="F10" s="151"/>
      <c r="G10" s="153"/>
      <c r="H10" s="151"/>
      <c r="I10" s="151" t="s">
        <v>42</v>
      </c>
      <c r="J10" s="151" t="s">
        <v>91</v>
      </c>
      <c r="K10" s="151"/>
      <c r="L10" s="151"/>
      <c r="M10" s="151"/>
      <c r="N10" s="151"/>
    </row>
    <row r="11" spans="1:14" ht="18" customHeight="1">
      <c r="A11" s="154" t="s">
        <v>35</v>
      </c>
      <c r="B11" s="154" t="s">
        <v>92</v>
      </c>
      <c r="C11" s="154" t="s">
        <v>93</v>
      </c>
      <c r="D11" s="154" t="s">
        <v>94</v>
      </c>
      <c r="E11" s="155"/>
      <c r="F11" s="156" t="s">
        <v>95</v>
      </c>
      <c r="G11" s="156" t="s">
        <v>35</v>
      </c>
      <c r="H11" s="156" t="s">
        <v>96</v>
      </c>
      <c r="I11" s="157" t="s">
        <v>97</v>
      </c>
      <c r="J11" s="157" t="s">
        <v>98</v>
      </c>
      <c r="K11" s="158" t="s">
        <v>44</v>
      </c>
      <c r="L11" s="158"/>
      <c r="M11" s="100"/>
      <c r="N11" s="151"/>
    </row>
    <row r="12" spans="1:14" ht="18" customHeight="1">
      <c r="A12" s="159" t="s">
        <v>99</v>
      </c>
      <c r="B12" s="98" t="s">
        <v>100</v>
      </c>
      <c r="C12" s="98">
        <v>22017</v>
      </c>
      <c r="D12" s="98" t="s">
        <v>46</v>
      </c>
      <c r="E12" s="151"/>
      <c r="F12" s="160" t="s">
        <v>101</v>
      </c>
      <c r="G12" s="160" t="s">
        <v>45</v>
      </c>
      <c r="H12" s="160" t="s">
        <v>102</v>
      </c>
      <c r="I12" s="161">
        <v>61773</v>
      </c>
      <c r="J12" s="161">
        <v>2</v>
      </c>
      <c r="K12" s="151" t="s">
        <v>103</v>
      </c>
      <c r="L12" s="151"/>
      <c r="M12" s="151"/>
      <c r="N12" s="151"/>
    </row>
    <row r="13" spans="1:14" ht="18" customHeight="1">
      <c r="A13" s="159" t="s">
        <v>99</v>
      </c>
      <c r="B13" s="98" t="s">
        <v>104</v>
      </c>
      <c r="C13" s="98">
        <v>22015</v>
      </c>
      <c r="D13" s="98" t="s">
        <v>46</v>
      </c>
      <c r="E13" s="151"/>
      <c r="F13" s="160" t="s">
        <v>105</v>
      </c>
      <c r="G13" s="160" t="s">
        <v>45</v>
      </c>
      <c r="H13" s="160" t="s">
        <v>106</v>
      </c>
      <c r="I13" s="161">
        <v>25764</v>
      </c>
      <c r="J13" s="161">
        <v>6</v>
      </c>
      <c r="K13" s="151" t="s">
        <v>107</v>
      </c>
      <c r="L13" s="151"/>
      <c r="M13" s="151"/>
      <c r="N13" s="151"/>
    </row>
    <row r="14" spans="1:14" ht="18" customHeight="1">
      <c r="A14" s="159" t="s">
        <v>99</v>
      </c>
      <c r="B14" s="98" t="s">
        <v>108</v>
      </c>
      <c r="C14" s="98">
        <v>22119</v>
      </c>
      <c r="D14" s="98" t="s">
        <v>46</v>
      </c>
      <c r="E14" s="151"/>
      <c r="F14" s="160" t="s">
        <v>109</v>
      </c>
      <c r="G14" s="160" t="s">
        <v>45</v>
      </c>
      <c r="H14" s="160" t="s">
        <v>110</v>
      </c>
      <c r="I14" s="161">
        <v>107215</v>
      </c>
      <c r="J14" s="161">
        <v>2</v>
      </c>
      <c r="K14" s="151" t="s">
        <v>103</v>
      </c>
      <c r="L14" s="151"/>
      <c r="M14" s="151"/>
      <c r="N14" s="151"/>
    </row>
    <row r="15" spans="1:14" ht="18" customHeight="1">
      <c r="A15" s="159" t="s">
        <v>99</v>
      </c>
      <c r="B15" s="98" t="s">
        <v>111</v>
      </c>
      <c r="C15" s="98">
        <v>22027</v>
      </c>
      <c r="D15" s="98" t="s">
        <v>46</v>
      </c>
      <c r="E15" s="151"/>
      <c r="F15" s="160" t="s">
        <v>112</v>
      </c>
      <c r="G15" s="160" t="s">
        <v>45</v>
      </c>
      <c r="H15" s="160" t="s">
        <v>113</v>
      </c>
      <c r="I15" s="161">
        <v>23421</v>
      </c>
      <c r="J15" s="161">
        <v>6</v>
      </c>
      <c r="K15" s="151" t="s">
        <v>107</v>
      </c>
      <c r="L15" s="151"/>
      <c r="M15" s="151"/>
      <c r="N15" s="151"/>
    </row>
    <row r="16" spans="1:14" ht="18" customHeight="1">
      <c r="A16" s="159" t="s">
        <v>99</v>
      </c>
      <c r="B16" s="98" t="s">
        <v>114</v>
      </c>
      <c r="C16" s="98">
        <v>22013</v>
      </c>
      <c r="D16" s="98" t="s">
        <v>46</v>
      </c>
      <c r="E16" s="151"/>
      <c r="F16" s="160" t="s">
        <v>115</v>
      </c>
      <c r="G16" s="160" t="s">
        <v>45</v>
      </c>
      <c r="H16" s="160" t="s">
        <v>116</v>
      </c>
      <c r="I16" s="161">
        <v>42073</v>
      </c>
      <c r="J16" s="161">
        <v>6</v>
      </c>
      <c r="K16" s="151" t="s">
        <v>107</v>
      </c>
      <c r="L16" s="151"/>
      <c r="M16" s="151"/>
      <c r="N16" s="151"/>
    </row>
    <row r="17" spans="1:14" ht="18" customHeight="1">
      <c r="A17" s="159" t="s">
        <v>99</v>
      </c>
      <c r="B17" s="98" t="s">
        <v>117</v>
      </c>
      <c r="C17" s="98">
        <v>22081</v>
      </c>
      <c r="D17" s="98" t="s">
        <v>46</v>
      </c>
      <c r="E17" s="151"/>
      <c r="F17" s="160" t="s">
        <v>118</v>
      </c>
      <c r="G17" s="160" t="s">
        <v>45</v>
      </c>
      <c r="H17" s="160" t="s">
        <v>119</v>
      </c>
      <c r="I17" s="161">
        <v>35654</v>
      </c>
      <c r="J17" s="161">
        <v>6</v>
      </c>
      <c r="K17" s="151" t="s">
        <v>107</v>
      </c>
      <c r="L17" s="151"/>
      <c r="M17" s="151"/>
      <c r="N17" s="151"/>
    </row>
    <row r="18" spans="1:14" ht="18" customHeight="1">
      <c r="A18" s="159" t="s">
        <v>99</v>
      </c>
      <c r="B18" s="98" t="s">
        <v>120</v>
      </c>
      <c r="C18" s="98">
        <v>22031</v>
      </c>
      <c r="D18" s="98" t="s">
        <v>46</v>
      </c>
      <c r="E18" s="151"/>
      <c r="F18" s="160" t="s">
        <v>121</v>
      </c>
      <c r="G18" s="160" t="s">
        <v>45</v>
      </c>
      <c r="H18" s="160" t="s">
        <v>114</v>
      </c>
      <c r="I18" s="161">
        <v>14353</v>
      </c>
      <c r="J18" s="161">
        <v>6</v>
      </c>
      <c r="K18" s="151" t="s">
        <v>107</v>
      </c>
      <c r="L18" s="151"/>
      <c r="M18" s="151"/>
      <c r="N18" s="151"/>
    </row>
    <row r="19" spans="1:14" ht="18" customHeight="1">
      <c r="A19" s="159" t="s">
        <v>99</v>
      </c>
      <c r="B19" s="98" t="s">
        <v>122</v>
      </c>
      <c r="C19" s="98">
        <v>22079</v>
      </c>
      <c r="D19" s="98" t="s">
        <v>53</v>
      </c>
      <c r="E19" s="151"/>
      <c r="F19" s="160" t="s">
        <v>123</v>
      </c>
      <c r="G19" s="160" t="s">
        <v>45</v>
      </c>
      <c r="H19" s="160" t="s">
        <v>104</v>
      </c>
      <c r="I19" s="161">
        <v>116979</v>
      </c>
      <c r="J19" s="161">
        <v>2</v>
      </c>
      <c r="K19" s="151" t="s">
        <v>103</v>
      </c>
      <c r="L19" s="151"/>
      <c r="M19" s="151"/>
      <c r="N19" s="151"/>
    </row>
    <row r="20" spans="1:14" ht="18" customHeight="1">
      <c r="A20" s="159" t="s">
        <v>99</v>
      </c>
      <c r="B20" s="98" t="s">
        <v>124</v>
      </c>
      <c r="C20" s="98">
        <v>22043</v>
      </c>
      <c r="D20" s="98" t="s">
        <v>53</v>
      </c>
      <c r="E20" s="151"/>
      <c r="F20" s="160" t="s">
        <v>125</v>
      </c>
      <c r="G20" s="160" t="s">
        <v>45</v>
      </c>
      <c r="H20" s="160" t="s">
        <v>100</v>
      </c>
      <c r="I20" s="161">
        <v>254969</v>
      </c>
      <c r="J20" s="161">
        <v>2</v>
      </c>
      <c r="K20" s="151" t="s">
        <v>103</v>
      </c>
      <c r="L20" s="151"/>
      <c r="M20" s="151"/>
      <c r="N20" s="151"/>
    </row>
    <row r="21" spans="1:14" ht="18" customHeight="1">
      <c r="A21" s="159" t="s">
        <v>99</v>
      </c>
      <c r="B21" s="98" t="s">
        <v>116</v>
      </c>
      <c r="C21" s="98">
        <v>22009</v>
      </c>
      <c r="D21" s="98" t="s">
        <v>53</v>
      </c>
      <c r="E21" s="151"/>
      <c r="F21" s="160" t="s">
        <v>126</v>
      </c>
      <c r="G21" s="160" t="s">
        <v>45</v>
      </c>
      <c r="H21" s="160" t="s">
        <v>127</v>
      </c>
      <c r="I21" s="161">
        <v>192768</v>
      </c>
      <c r="J21" s="161">
        <v>3</v>
      </c>
      <c r="K21" s="151" t="s">
        <v>128</v>
      </c>
      <c r="L21" s="151"/>
      <c r="M21" s="151"/>
      <c r="N21" s="151"/>
    </row>
    <row r="22" spans="1:14" ht="18" customHeight="1">
      <c r="A22" s="159" t="s">
        <v>99</v>
      </c>
      <c r="B22" s="98" t="s">
        <v>129</v>
      </c>
      <c r="C22" s="98">
        <v>22025</v>
      </c>
      <c r="D22" s="98" t="s">
        <v>53</v>
      </c>
      <c r="E22" s="151"/>
      <c r="F22" s="160" t="s">
        <v>130</v>
      </c>
      <c r="G22" s="160" t="s">
        <v>45</v>
      </c>
      <c r="H22" s="160" t="s">
        <v>131</v>
      </c>
      <c r="I22" s="161">
        <v>6839</v>
      </c>
      <c r="J22" s="161">
        <v>3</v>
      </c>
      <c r="K22" s="151" t="s">
        <v>128</v>
      </c>
      <c r="L22" s="151"/>
      <c r="M22" s="151"/>
      <c r="N22" s="151"/>
    </row>
    <row r="23" spans="1:14" ht="18" customHeight="1">
      <c r="A23" s="159" t="s">
        <v>99</v>
      </c>
      <c r="B23" s="98" t="s">
        <v>132</v>
      </c>
      <c r="C23" s="98">
        <v>22029</v>
      </c>
      <c r="D23" s="98" t="s">
        <v>53</v>
      </c>
      <c r="E23" s="151"/>
      <c r="F23" s="160" t="s">
        <v>133</v>
      </c>
      <c r="G23" s="160" t="s">
        <v>45</v>
      </c>
      <c r="H23" s="160" t="s">
        <v>129</v>
      </c>
      <c r="I23" s="161">
        <v>10407</v>
      </c>
      <c r="J23" s="161">
        <v>9</v>
      </c>
      <c r="K23" s="151" t="s">
        <v>134</v>
      </c>
      <c r="L23" s="151"/>
      <c r="M23" s="151"/>
      <c r="N23" s="151"/>
    </row>
    <row r="24" spans="1:14" ht="18" customHeight="1">
      <c r="A24" s="159" t="s">
        <v>99</v>
      </c>
      <c r="B24" s="98" t="s">
        <v>135</v>
      </c>
      <c r="C24" s="98">
        <v>22059</v>
      </c>
      <c r="D24" s="98" t="s">
        <v>53</v>
      </c>
      <c r="E24" s="151"/>
      <c r="F24" s="160" t="s">
        <v>136</v>
      </c>
      <c r="G24" s="160" t="s">
        <v>45</v>
      </c>
      <c r="H24" s="160" t="s">
        <v>111</v>
      </c>
      <c r="I24" s="161">
        <v>17195</v>
      </c>
      <c r="J24" s="161">
        <v>6</v>
      </c>
      <c r="K24" s="151" t="s">
        <v>107</v>
      </c>
      <c r="L24" s="151"/>
      <c r="M24" s="151"/>
      <c r="N24" s="151"/>
    </row>
    <row r="25" spans="1:14" ht="18" customHeight="1">
      <c r="A25" s="159" t="s">
        <v>99</v>
      </c>
      <c r="B25" s="98" t="s">
        <v>137</v>
      </c>
      <c r="C25" s="98">
        <v>22115</v>
      </c>
      <c r="D25" s="98" t="s">
        <v>53</v>
      </c>
      <c r="E25" s="151"/>
      <c r="F25" s="160" t="s">
        <v>138</v>
      </c>
      <c r="G25" s="160" t="s">
        <v>45</v>
      </c>
      <c r="H25" s="160" t="s">
        <v>132</v>
      </c>
      <c r="I25" s="161">
        <v>20822</v>
      </c>
      <c r="J25" s="161">
        <v>7</v>
      </c>
      <c r="K25" s="151" t="s">
        <v>139</v>
      </c>
      <c r="L25" s="151"/>
      <c r="M25" s="151"/>
      <c r="N25" s="151"/>
    </row>
    <row r="26" spans="1:14" ht="18" customHeight="1">
      <c r="A26" s="159" t="s">
        <v>99</v>
      </c>
      <c r="B26" s="98" t="s">
        <v>140</v>
      </c>
      <c r="C26" s="98">
        <v>22127</v>
      </c>
      <c r="D26" s="98" t="s">
        <v>53</v>
      </c>
      <c r="E26" s="151"/>
      <c r="F26" s="160" t="s">
        <v>141</v>
      </c>
      <c r="G26" s="160" t="s">
        <v>45</v>
      </c>
      <c r="H26" s="160" t="s">
        <v>120</v>
      </c>
      <c r="I26" s="161">
        <v>26656</v>
      </c>
      <c r="J26" s="161">
        <v>2</v>
      </c>
      <c r="K26" s="151" t="s">
        <v>103</v>
      </c>
      <c r="L26" s="151"/>
      <c r="M26" s="151"/>
      <c r="N26" s="151"/>
    </row>
    <row r="27" spans="1:14" ht="18" customHeight="1">
      <c r="A27" s="159" t="s">
        <v>99</v>
      </c>
      <c r="B27" s="98" t="s">
        <v>110</v>
      </c>
      <c r="C27" s="98">
        <v>22005</v>
      </c>
      <c r="D27" s="98" t="s">
        <v>60</v>
      </c>
      <c r="E27" s="151"/>
      <c r="F27" s="160" t="s">
        <v>142</v>
      </c>
      <c r="G27" s="160" t="s">
        <v>45</v>
      </c>
      <c r="H27" s="160" t="s">
        <v>143</v>
      </c>
      <c r="I27" s="161">
        <v>440171</v>
      </c>
      <c r="J27" s="161">
        <v>2</v>
      </c>
      <c r="K27" s="151" t="s">
        <v>103</v>
      </c>
      <c r="L27" s="151"/>
      <c r="M27" s="151"/>
      <c r="N27" s="151"/>
    </row>
    <row r="28" spans="1:14" ht="18" customHeight="1">
      <c r="A28" s="159" t="s">
        <v>99</v>
      </c>
      <c r="B28" s="98" t="s">
        <v>113</v>
      </c>
      <c r="C28" s="98">
        <v>22007</v>
      </c>
      <c r="D28" s="98" t="s">
        <v>60</v>
      </c>
      <c r="E28" s="151"/>
      <c r="F28" s="160" t="s">
        <v>144</v>
      </c>
      <c r="G28" s="160" t="s">
        <v>45</v>
      </c>
      <c r="H28" s="160" t="s">
        <v>145</v>
      </c>
      <c r="I28" s="161">
        <v>20267</v>
      </c>
      <c r="J28" s="161">
        <v>2</v>
      </c>
      <c r="K28" s="151" t="s">
        <v>103</v>
      </c>
      <c r="L28" s="151"/>
      <c r="M28" s="151"/>
      <c r="N28" s="151"/>
    </row>
    <row r="29" spans="1:14" ht="18" customHeight="1">
      <c r="A29" s="159" t="s">
        <v>99</v>
      </c>
      <c r="B29" s="98" t="s">
        <v>106</v>
      </c>
      <c r="C29" s="98">
        <v>22003</v>
      </c>
      <c r="D29" s="98" t="s">
        <v>60</v>
      </c>
      <c r="E29" s="151"/>
      <c r="F29" s="160" t="s">
        <v>146</v>
      </c>
      <c r="G29" s="160" t="s">
        <v>45</v>
      </c>
      <c r="H29" s="160" t="s">
        <v>124</v>
      </c>
      <c r="I29" s="161">
        <v>22309</v>
      </c>
      <c r="J29" s="161">
        <v>3</v>
      </c>
      <c r="K29" s="151" t="s">
        <v>128</v>
      </c>
      <c r="L29" s="151"/>
      <c r="M29" s="151"/>
      <c r="N29" s="151"/>
    </row>
    <row r="30" spans="1:14" ht="18" customHeight="1">
      <c r="A30" s="159" t="s">
        <v>99</v>
      </c>
      <c r="B30" s="98" t="s">
        <v>119</v>
      </c>
      <c r="C30" s="98">
        <v>22011</v>
      </c>
      <c r="D30" s="98" t="s">
        <v>60</v>
      </c>
      <c r="E30" s="151"/>
      <c r="F30" s="160" t="s">
        <v>147</v>
      </c>
      <c r="G30" s="160" t="s">
        <v>45</v>
      </c>
      <c r="H30" s="160" t="s">
        <v>148</v>
      </c>
      <c r="I30" s="161">
        <v>33387</v>
      </c>
      <c r="J30" s="161">
        <v>2</v>
      </c>
      <c r="K30" s="151" t="s">
        <v>103</v>
      </c>
      <c r="L30" s="151"/>
      <c r="M30" s="151"/>
      <c r="N30" s="151"/>
    </row>
    <row r="31" spans="1:14" ht="18" customHeight="1">
      <c r="A31" s="159" t="s">
        <v>99</v>
      </c>
      <c r="B31" s="98" t="s">
        <v>127</v>
      </c>
      <c r="C31" s="98">
        <v>22019</v>
      </c>
      <c r="D31" s="98" t="s">
        <v>60</v>
      </c>
      <c r="E31" s="151"/>
      <c r="F31" s="160" t="s">
        <v>149</v>
      </c>
      <c r="G31" s="160" t="s">
        <v>45</v>
      </c>
      <c r="H31" s="160" t="s">
        <v>150</v>
      </c>
      <c r="I31" s="161">
        <v>31594</v>
      </c>
      <c r="J31" s="161">
        <v>6</v>
      </c>
      <c r="K31" s="151" t="s">
        <v>107</v>
      </c>
      <c r="L31" s="151"/>
      <c r="M31" s="151"/>
      <c r="N31" s="151"/>
    </row>
    <row r="32" spans="1:14" ht="18" customHeight="1">
      <c r="A32" s="159" t="s">
        <v>99</v>
      </c>
      <c r="B32" s="98" t="s">
        <v>131</v>
      </c>
      <c r="C32" s="98">
        <v>22023</v>
      </c>
      <c r="D32" s="98" t="s">
        <v>60</v>
      </c>
      <c r="E32" s="151"/>
      <c r="F32" s="160" t="s">
        <v>151</v>
      </c>
      <c r="G32" s="160" t="s">
        <v>45</v>
      </c>
      <c r="H32" s="160" t="s">
        <v>152</v>
      </c>
      <c r="I32" s="161">
        <v>96318</v>
      </c>
      <c r="J32" s="161">
        <v>3</v>
      </c>
      <c r="K32" s="151" t="s">
        <v>128</v>
      </c>
      <c r="L32" s="151"/>
      <c r="M32" s="151"/>
      <c r="N32" s="151"/>
    </row>
    <row r="33" spans="1:14" ht="18" customHeight="1">
      <c r="A33" s="159" t="s">
        <v>99</v>
      </c>
      <c r="B33" s="98" t="s">
        <v>143</v>
      </c>
      <c r="C33" s="98">
        <v>22033</v>
      </c>
      <c r="D33" s="98" t="s">
        <v>60</v>
      </c>
      <c r="E33" s="151"/>
      <c r="F33" s="160" t="s">
        <v>153</v>
      </c>
      <c r="G33" s="160" t="s">
        <v>45</v>
      </c>
      <c r="H33" s="160" t="s">
        <v>154</v>
      </c>
      <c r="I33" s="161">
        <v>14890</v>
      </c>
      <c r="J33" s="161">
        <v>6</v>
      </c>
      <c r="K33" s="151" t="s">
        <v>107</v>
      </c>
      <c r="L33" s="151"/>
      <c r="M33" s="151"/>
      <c r="N33" s="151"/>
    </row>
    <row r="34" spans="1:14" ht="18" customHeight="1">
      <c r="A34" s="159" t="s">
        <v>99</v>
      </c>
      <c r="B34" s="98" t="s">
        <v>145</v>
      </c>
      <c r="C34" s="98">
        <v>22037</v>
      </c>
      <c r="D34" s="98" t="s">
        <v>60</v>
      </c>
      <c r="E34" s="151"/>
      <c r="F34" s="160" t="s">
        <v>155</v>
      </c>
      <c r="G34" s="160" t="s">
        <v>45</v>
      </c>
      <c r="H34" s="160" t="s">
        <v>156</v>
      </c>
      <c r="I34" s="161">
        <v>39566</v>
      </c>
      <c r="J34" s="161">
        <v>6</v>
      </c>
      <c r="K34" s="151" t="s">
        <v>107</v>
      </c>
      <c r="L34" s="151"/>
      <c r="M34" s="151"/>
      <c r="N34" s="151"/>
    </row>
    <row r="35" spans="1:14" ht="18" customHeight="1">
      <c r="A35" s="159" t="s">
        <v>99</v>
      </c>
      <c r="B35" s="98" t="s">
        <v>148</v>
      </c>
      <c r="C35" s="98">
        <v>22047</v>
      </c>
      <c r="D35" s="98" t="s">
        <v>60</v>
      </c>
      <c r="E35" s="151"/>
      <c r="F35" s="160" t="s">
        <v>157</v>
      </c>
      <c r="G35" s="160" t="s">
        <v>45</v>
      </c>
      <c r="H35" s="160" t="s">
        <v>158</v>
      </c>
      <c r="I35" s="161">
        <v>23042</v>
      </c>
      <c r="J35" s="161">
        <v>1</v>
      </c>
      <c r="K35" s="151" t="s">
        <v>159</v>
      </c>
      <c r="L35" s="151"/>
      <c r="M35" s="151"/>
      <c r="N35" s="151"/>
    </row>
    <row r="36" spans="1:14" ht="18" customHeight="1">
      <c r="A36" s="159" t="s">
        <v>99</v>
      </c>
      <c r="B36" s="98" t="s">
        <v>150</v>
      </c>
      <c r="C36" s="98">
        <v>22053</v>
      </c>
      <c r="D36" s="98" t="s">
        <v>60</v>
      </c>
      <c r="E36" s="151"/>
      <c r="F36" s="160" t="s">
        <v>160</v>
      </c>
      <c r="G36" s="160" t="s">
        <v>45</v>
      </c>
      <c r="H36" s="160" t="s">
        <v>161</v>
      </c>
      <c r="I36" s="161">
        <v>22802</v>
      </c>
      <c r="J36" s="161">
        <v>2</v>
      </c>
      <c r="K36" s="151" t="s">
        <v>103</v>
      </c>
      <c r="L36" s="151"/>
      <c r="M36" s="151"/>
      <c r="N36" s="151"/>
    </row>
    <row r="37" spans="1:14" ht="18" customHeight="1">
      <c r="A37" s="159" t="s">
        <v>99</v>
      </c>
      <c r="B37" s="98" t="s">
        <v>152</v>
      </c>
      <c r="C37" s="98">
        <v>22057</v>
      </c>
      <c r="D37" s="98" t="s">
        <v>60</v>
      </c>
      <c r="E37" s="151"/>
      <c r="F37" s="160" t="s">
        <v>162</v>
      </c>
      <c r="G37" s="160" t="s">
        <v>45</v>
      </c>
      <c r="H37" s="160" t="s">
        <v>122</v>
      </c>
      <c r="I37" s="161">
        <v>131613</v>
      </c>
      <c r="J37" s="161">
        <v>3</v>
      </c>
      <c r="K37" s="151" t="s">
        <v>128</v>
      </c>
      <c r="L37" s="151"/>
      <c r="M37" s="151"/>
      <c r="N37" s="151"/>
    </row>
    <row r="38" spans="1:14" ht="18" customHeight="1">
      <c r="A38" s="159" t="s">
        <v>99</v>
      </c>
      <c r="B38" s="98" t="s">
        <v>156</v>
      </c>
      <c r="C38" s="98">
        <v>22069</v>
      </c>
      <c r="D38" s="98" t="s">
        <v>60</v>
      </c>
      <c r="E38" s="151"/>
      <c r="F38" s="160" t="s">
        <v>163</v>
      </c>
      <c r="G38" s="160" t="s">
        <v>45</v>
      </c>
      <c r="H38" s="160" t="s">
        <v>117</v>
      </c>
      <c r="I38" s="161">
        <v>9091</v>
      </c>
      <c r="J38" s="161">
        <v>8</v>
      </c>
      <c r="K38" s="151" t="s">
        <v>164</v>
      </c>
      <c r="L38" s="151"/>
      <c r="M38" s="151"/>
      <c r="N38" s="151"/>
    </row>
    <row r="39" spans="1:14" ht="18" customHeight="1">
      <c r="A39" s="159" t="s">
        <v>99</v>
      </c>
      <c r="B39" s="98" t="s">
        <v>158</v>
      </c>
      <c r="C39" s="98">
        <v>22075</v>
      </c>
      <c r="D39" s="98" t="s">
        <v>60</v>
      </c>
      <c r="E39" s="151"/>
      <c r="F39" s="160" t="s">
        <v>165</v>
      </c>
      <c r="G39" s="160" t="s">
        <v>45</v>
      </c>
      <c r="H39" s="160" t="s">
        <v>166</v>
      </c>
      <c r="I39" s="161">
        <v>24233</v>
      </c>
      <c r="J39" s="161">
        <v>6</v>
      </c>
      <c r="K39" s="151" t="s">
        <v>107</v>
      </c>
      <c r="L39" s="151"/>
      <c r="M39" s="151"/>
      <c r="N39" s="151"/>
    </row>
    <row r="40" spans="1:14" ht="18" customHeight="1">
      <c r="A40" s="159" t="s">
        <v>99</v>
      </c>
      <c r="B40" s="98" t="s">
        <v>161</v>
      </c>
      <c r="C40" s="98">
        <v>22077</v>
      </c>
      <c r="D40" s="98" t="s">
        <v>60</v>
      </c>
      <c r="E40" s="151"/>
      <c r="F40" s="160" t="s">
        <v>167</v>
      </c>
      <c r="G40" s="160" t="s">
        <v>45</v>
      </c>
      <c r="H40" s="160" t="s">
        <v>168</v>
      </c>
      <c r="I40" s="161">
        <v>35897</v>
      </c>
      <c r="J40" s="161">
        <v>1</v>
      </c>
      <c r="K40" s="151" t="s">
        <v>159</v>
      </c>
      <c r="L40" s="151"/>
      <c r="M40" s="151"/>
      <c r="N40" s="151"/>
    </row>
    <row r="41" spans="1:14" ht="18" customHeight="1">
      <c r="A41" s="159" t="s">
        <v>99</v>
      </c>
      <c r="B41" s="98" t="s">
        <v>166</v>
      </c>
      <c r="C41" s="98">
        <v>22085</v>
      </c>
      <c r="D41" s="98" t="s">
        <v>60</v>
      </c>
      <c r="E41" s="151"/>
      <c r="F41" s="160" t="s">
        <v>169</v>
      </c>
      <c r="G41" s="160" t="s">
        <v>45</v>
      </c>
      <c r="H41" s="160" t="s">
        <v>170</v>
      </c>
      <c r="I41" s="161">
        <v>52780</v>
      </c>
      <c r="J41" s="161">
        <v>1</v>
      </c>
      <c r="K41" s="151" t="s">
        <v>159</v>
      </c>
      <c r="L41" s="151"/>
      <c r="M41" s="151"/>
      <c r="N41" s="151"/>
    </row>
    <row r="42" spans="1:14" ht="18" customHeight="1">
      <c r="A42" s="159" t="s">
        <v>99</v>
      </c>
      <c r="B42" s="98" t="s">
        <v>168</v>
      </c>
      <c r="C42" s="98">
        <v>22087</v>
      </c>
      <c r="D42" s="98" t="s">
        <v>60</v>
      </c>
      <c r="E42" s="151"/>
      <c r="F42" s="160" t="s">
        <v>171</v>
      </c>
      <c r="G42" s="160" t="s">
        <v>45</v>
      </c>
      <c r="H42" s="160" t="s">
        <v>172</v>
      </c>
      <c r="I42" s="161">
        <v>22102</v>
      </c>
      <c r="J42" s="161">
        <v>1</v>
      </c>
      <c r="K42" s="151" t="s">
        <v>159</v>
      </c>
      <c r="L42" s="151"/>
      <c r="M42" s="151"/>
      <c r="N42" s="151"/>
    </row>
    <row r="43" spans="1:14" ht="18" customHeight="1">
      <c r="A43" s="159" t="s">
        <v>99</v>
      </c>
      <c r="B43" s="98" t="s">
        <v>170</v>
      </c>
      <c r="C43" s="98">
        <v>22089</v>
      </c>
      <c r="D43" s="98" t="s">
        <v>60</v>
      </c>
      <c r="E43" s="151"/>
      <c r="F43" s="160" t="s">
        <v>173</v>
      </c>
      <c r="G43" s="160" t="s">
        <v>45</v>
      </c>
      <c r="H43" s="160" t="s">
        <v>174</v>
      </c>
      <c r="I43" s="161">
        <v>45924</v>
      </c>
      <c r="J43" s="161">
        <v>1</v>
      </c>
      <c r="K43" s="151" t="s">
        <v>159</v>
      </c>
      <c r="L43" s="151"/>
      <c r="M43" s="151"/>
      <c r="N43" s="151"/>
    </row>
    <row r="44" spans="1:14" ht="18" customHeight="1">
      <c r="A44" s="159" t="s">
        <v>99</v>
      </c>
      <c r="B44" s="98" t="s">
        <v>172</v>
      </c>
      <c r="C44" s="98">
        <v>22093</v>
      </c>
      <c r="D44" s="98" t="s">
        <v>60</v>
      </c>
      <c r="E44" s="151"/>
      <c r="F44" s="160" t="s">
        <v>175</v>
      </c>
      <c r="G44" s="160" t="s">
        <v>45</v>
      </c>
      <c r="H44" s="160" t="s">
        <v>176</v>
      </c>
      <c r="I44" s="161">
        <v>111860</v>
      </c>
      <c r="J44" s="161">
        <v>3</v>
      </c>
      <c r="K44" s="151" t="s">
        <v>128</v>
      </c>
      <c r="L44" s="151"/>
      <c r="M44" s="151"/>
      <c r="N44" s="151"/>
    </row>
    <row r="45" spans="1:14" ht="18" customHeight="1">
      <c r="A45" s="159" t="s">
        <v>99</v>
      </c>
      <c r="B45" s="98" t="s">
        <v>174</v>
      </c>
      <c r="C45" s="98">
        <v>22095</v>
      </c>
      <c r="D45" s="98" t="s">
        <v>60</v>
      </c>
      <c r="E45" s="151"/>
      <c r="F45" s="160" t="s">
        <v>177</v>
      </c>
      <c r="G45" s="160" t="s">
        <v>45</v>
      </c>
      <c r="H45" s="160" t="s">
        <v>137</v>
      </c>
      <c r="I45" s="161">
        <v>52334</v>
      </c>
      <c r="J45" s="161">
        <v>5</v>
      </c>
      <c r="K45" s="151" t="s">
        <v>178</v>
      </c>
      <c r="L45" s="151"/>
      <c r="M45" s="151"/>
      <c r="N45" s="151"/>
    </row>
    <row r="46" spans="1:14" ht="18" customHeight="1">
      <c r="A46" s="159" t="s">
        <v>99</v>
      </c>
      <c r="B46" s="98" t="s">
        <v>176</v>
      </c>
      <c r="C46" s="98">
        <v>22109</v>
      </c>
      <c r="D46" s="98" t="s">
        <v>60</v>
      </c>
      <c r="E46" s="151"/>
      <c r="F46" s="160" t="s">
        <v>179</v>
      </c>
      <c r="G46" s="160" t="s">
        <v>45</v>
      </c>
      <c r="H46" s="160" t="s">
        <v>108</v>
      </c>
      <c r="I46" s="161">
        <v>41207</v>
      </c>
      <c r="J46" s="161">
        <v>2</v>
      </c>
      <c r="K46" s="151" t="s">
        <v>103</v>
      </c>
      <c r="L46" s="151"/>
      <c r="M46" s="151"/>
      <c r="N46" s="151"/>
    </row>
    <row r="47" spans="1:14" ht="18" customHeight="1">
      <c r="A47" s="159" t="s">
        <v>99</v>
      </c>
      <c r="B47" s="98" t="s">
        <v>180</v>
      </c>
      <c r="C47" s="98">
        <v>22121</v>
      </c>
      <c r="D47" s="98" t="s">
        <v>60</v>
      </c>
      <c r="E47" s="151"/>
      <c r="F47" s="160" t="s">
        <v>181</v>
      </c>
      <c r="G47" s="160" t="s">
        <v>45</v>
      </c>
      <c r="H47" s="160" t="s">
        <v>180</v>
      </c>
      <c r="I47" s="161">
        <v>23788</v>
      </c>
      <c r="J47" s="161">
        <v>2</v>
      </c>
      <c r="K47" s="151" t="s">
        <v>103</v>
      </c>
      <c r="L47" s="151"/>
      <c r="M47" s="151"/>
      <c r="N47" s="151"/>
    </row>
    <row r="48" spans="1:14" ht="18" customHeight="1">
      <c r="A48" s="159" t="s">
        <v>99</v>
      </c>
      <c r="B48" s="98" t="s">
        <v>182</v>
      </c>
      <c r="C48" s="98">
        <v>22125</v>
      </c>
      <c r="D48" s="98" t="s">
        <v>60</v>
      </c>
      <c r="E48" s="151"/>
      <c r="F48" s="160" t="s">
        <v>183</v>
      </c>
      <c r="G48" s="160" t="s">
        <v>45</v>
      </c>
      <c r="H48" s="160" t="s">
        <v>182</v>
      </c>
      <c r="I48" s="161">
        <v>15625</v>
      </c>
      <c r="J48" s="161">
        <v>2</v>
      </c>
      <c r="K48" s="151" t="s">
        <v>103</v>
      </c>
      <c r="L48" s="151"/>
      <c r="M48" s="151"/>
      <c r="N48" s="151"/>
    </row>
    <row r="49" spans="1:14" ht="18" customHeight="1">
      <c r="A49" s="159" t="s">
        <v>184</v>
      </c>
      <c r="B49" s="98" t="s">
        <v>185</v>
      </c>
      <c r="C49" s="98">
        <v>28049</v>
      </c>
      <c r="D49" s="98" t="s">
        <v>69</v>
      </c>
      <c r="E49" s="151"/>
      <c r="F49" s="160" t="s">
        <v>186</v>
      </c>
      <c r="G49" s="160" t="s">
        <v>45</v>
      </c>
      <c r="H49" s="160" t="s">
        <v>140</v>
      </c>
      <c r="I49" s="161">
        <v>15313</v>
      </c>
      <c r="J49" s="161">
        <v>6</v>
      </c>
      <c r="K49" s="151" t="s">
        <v>107</v>
      </c>
      <c r="L49" s="151"/>
      <c r="M49" s="151"/>
      <c r="N49" s="151"/>
    </row>
    <row r="50" spans="1:14" ht="18" customHeight="1">
      <c r="A50" s="159" t="s">
        <v>184</v>
      </c>
      <c r="B50" s="98" t="s">
        <v>187</v>
      </c>
      <c r="C50" s="98">
        <v>28121</v>
      </c>
      <c r="D50" s="98" t="s">
        <v>69</v>
      </c>
      <c r="E50" s="151"/>
      <c r="F50" s="162" t="s">
        <v>95</v>
      </c>
      <c r="G50" s="162" t="s">
        <v>35</v>
      </c>
      <c r="H50" s="162" t="s">
        <v>96</v>
      </c>
      <c r="I50" s="163" t="s">
        <v>97</v>
      </c>
      <c r="J50" s="163" t="s">
        <v>98</v>
      </c>
      <c r="K50" s="100" t="s">
        <v>44</v>
      </c>
      <c r="L50" s="100"/>
      <c r="M50" s="100"/>
      <c r="N50" s="151"/>
    </row>
    <row r="51" spans="1:14" ht="18" customHeight="1">
      <c r="A51" s="159" t="s">
        <v>184</v>
      </c>
      <c r="B51" s="98" t="s">
        <v>188</v>
      </c>
      <c r="C51" s="98">
        <v>28089</v>
      </c>
      <c r="D51" s="98" t="s">
        <v>69</v>
      </c>
      <c r="E51" s="151"/>
      <c r="F51" s="160" t="s">
        <v>189</v>
      </c>
      <c r="G51" s="160" t="s">
        <v>68</v>
      </c>
      <c r="H51" s="160" t="s">
        <v>190</v>
      </c>
      <c r="I51" s="161">
        <v>32297</v>
      </c>
      <c r="J51" s="161">
        <v>5</v>
      </c>
      <c r="K51" s="151" t="s">
        <v>178</v>
      </c>
      <c r="L51" s="151"/>
      <c r="M51" s="151"/>
      <c r="N51" s="151"/>
    </row>
    <row r="52" spans="1:14" ht="18" customHeight="1">
      <c r="A52" s="159" t="s">
        <v>184</v>
      </c>
      <c r="B52" s="98" t="s">
        <v>191</v>
      </c>
      <c r="C52" s="98">
        <v>28149</v>
      </c>
      <c r="D52" s="98" t="s">
        <v>69</v>
      </c>
      <c r="E52" s="151"/>
      <c r="F52" s="160" t="s">
        <v>192</v>
      </c>
      <c r="G52" s="160" t="s">
        <v>68</v>
      </c>
      <c r="H52" s="160" t="s">
        <v>193</v>
      </c>
      <c r="I52" s="161">
        <v>37057</v>
      </c>
      <c r="J52" s="161">
        <v>7</v>
      </c>
      <c r="K52" s="151" t="s">
        <v>139</v>
      </c>
      <c r="L52" s="151"/>
      <c r="M52" s="151"/>
      <c r="N52" s="151"/>
    </row>
    <row r="53" spans="1:14" ht="18" customHeight="1">
      <c r="A53" s="159" t="s">
        <v>184</v>
      </c>
      <c r="B53" s="98" t="s">
        <v>194</v>
      </c>
      <c r="C53" s="98">
        <v>28029</v>
      </c>
      <c r="D53" s="98" t="s">
        <v>69</v>
      </c>
      <c r="E53" s="151"/>
      <c r="F53" s="160" t="s">
        <v>195</v>
      </c>
      <c r="G53" s="160" t="s">
        <v>68</v>
      </c>
      <c r="H53" s="160" t="s">
        <v>196</v>
      </c>
      <c r="I53" s="161">
        <v>13131</v>
      </c>
      <c r="J53" s="161">
        <v>8</v>
      </c>
      <c r="K53" s="151" t="s">
        <v>164</v>
      </c>
      <c r="L53" s="151"/>
      <c r="M53" s="151"/>
      <c r="N53" s="151"/>
    </row>
    <row r="54" spans="1:14" ht="18" customHeight="1">
      <c r="A54" s="159" t="s">
        <v>184</v>
      </c>
      <c r="B54" s="98" t="s">
        <v>197</v>
      </c>
      <c r="C54" s="98">
        <v>28127</v>
      </c>
      <c r="D54" s="98" t="s">
        <v>69</v>
      </c>
      <c r="E54" s="151"/>
      <c r="F54" s="160" t="s">
        <v>198</v>
      </c>
      <c r="G54" s="160" t="s">
        <v>68</v>
      </c>
      <c r="H54" s="160" t="s">
        <v>199</v>
      </c>
      <c r="I54" s="161">
        <v>19564</v>
      </c>
      <c r="J54" s="161">
        <v>6</v>
      </c>
      <c r="K54" s="151" t="s">
        <v>107</v>
      </c>
      <c r="L54" s="151"/>
      <c r="M54" s="151"/>
      <c r="N54" s="151"/>
    </row>
    <row r="55" spans="1:14" ht="18" customHeight="1">
      <c r="A55" s="159" t="s">
        <v>184</v>
      </c>
      <c r="B55" s="98" t="s">
        <v>200</v>
      </c>
      <c r="C55" s="98">
        <v>28047</v>
      </c>
      <c r="D55" s="98" t="s">
        <v>81</v>
      </c>
      <c r="E55" s="151"/>
      <c r="F55" s="160" t="s">
        <v>201</v>
      </c>
      <c r="G55" s="160" t="s">
        <v>68</v>
      </c>
      <c r="H55" s="160" t="s">
        <v>202</v>
      </c>
      <c r="I55" s="161">
        <v>8729</v>
      </c>
      <c r="J55" s="161">
        <v>1</v>
      </c>
      <c r="K55" s="151" t="s">
        <v>159</v>
      </c>
      <c r="L55" s="151"/>
      <c r="M55" s="151"/>
      <c r="N55" s="151"/>
    </row>
    <row r="56" spans="1:14" ht="18" customHeight="1">
      <c r="A56" s="159" t="s">
        <v>184</v>
      </c>
      <c r="B56" s="98" t="s">
        <v>203</v>
      </c>
      <c r="C56" s="98">
        <v>28045</v>
      </c>
      <c r="D56" s="98" t="s">
        <v>81</v>
      </c>
      <c r="E56" s="151"/>
      <c r="F56" s="160" t="s">
        <v>204</v>
      </c>
      <c r="G56" s="160" t="s">
        <v>68</v>
      </c>
      <c r="H56" s="160" t="s">
        <v>205</v>
      </c>
      <c r="I56" s="161">
        <v>34145</v>
      </c>
      <c r="J56" s="161">
        <v>7</v>
      </c>
      <c r="K56" s="151" t="s">
        <v>139</v>
      </c>
      <c r="L56" s="151"/>
      <c r="M56" s="151"/>
      <c r="N56" s="151"/>
    </row>
    <row r="57" spans="1:14" ht="18" customHeight="1">
      <c r="A57" s="159" t="s">
        <v>184</v>
      </c>
      <c r="B57" s="98" t="s">
        <v>206</v>
      </c>
      <c r="C57" s="98">
        <v>28059</v>
      </c>
      <c r="D57" s="98" t="s">
        <v>81</v>
      </c>
      <c r="E57" s="151"/>
      <c r="F57" s="160" t="s">
        <v>207</v>
      </c>
      <c r="G57" s="160" t="s">
        <v>68</v>
      </c>
      <c r="H57" s="160" t="s">
        <v>208</v>
      </c>
      <c r="I57" s="161">
        <v>14962</v>
      </c>
      <c r="J57" s="161">
        <v>9</v>
      </c>
      <c r="K57" s="151" t="s">
        <v>134</v>
      </c>
      <c r="L57" s="151"/>
      <c r="M57" s="151"/>
      <c r="N57" s="151"/>
    </row>
    <row r="58" spans="1:14" ht="18" customHeight="1">
      <c r="A58" s="159" t="s">
        <v>184</v>
      </c>
      <c r="B58" s="98" t="s">
        <v>209</v>
      </c>
      <c r="C58" s="98">
        <v>28039</v>
      </c>
      <c r="D58" s="98" t="s">
        <v>81</v>
      </c>
      <c r="E58" s="151"/>
      <c r="F58" s="160" t="s">
        <v>210</v>
      </c>
      <c r="G58" s="160" t="s">
        <v>68</v>
      </c>
      <c r="H58" s="160" t="s">
        <v>211</v>
      </c>
      <c r="I58" s="161">
        <v>10597</v>
      </c>
      <c r="J58" s="161">
        <v>9</v>
      </c>
      <c r="K58" s="151" t="s">
        <v>134</v>
      </c>
      <c r="L58" s="151"/>
      <c r="M58" s="151"/>
      <c r="N58" s="151"/>
    </row>
    <row r="59" spans="1:14" ht="18" customHeight="1">
      <c r="A59" s="159" t="s">
        <v>184</v>
      </c>
      <c r="B59" s="98" t="s">
        <v>212</v>
      </c>
      <c r="C59" s="98">
        <v>28131</v>
      </c>
      <c r="D59" s="98" t="s">
        <v>81</v>
      </c>
      <c r="E59" s="151"/>
      <c r="F59" s="160" t="s">
        <v>213</v>
      </c>
      <c r="G59" s="160" t="s">
        <v>68</v>
      </c>
      <c r="H59" s="160" t="s">
        <v>214</v>
      </c>
      <c r="I59" s="161">
        <v>17392</v>
      </c>
      <c r="J59" s="161">
        <v>7</v>
      </c>
      <c r="K59" s="151" t="s">
        <v>139</v>
      </c>
      <c r="L59" s="151"/>
      <c r="M59" s="151"/>
      <c r="N59" s="151"/>
    </row>
    <row r="60" spans="1:14" ht="18" customHeight="1">
      <c r="A60" s="159" t="s">
        <v>184</v>
      </c>
      <c r="B60" s="98" t="s">
        <v>215</v>
      </c>
      <c r="C60" s="98">
        <v>28109</v>
      </c>
      <c r="D60" s="98" t="s">
        <v>81</v>
      </c>
      <c r="E60" s="151"/>
      <c r="F60" s="160" t="s">
        <v>216</v>
      </c>
      <c r="G60" s="160" t="s">
        <v>68</v>
      </c>
      <c r="H60" s="160" t="s">
        <v>217</v>
      </c>
      <c r="I60" s="161">
        <v>8547</v>
      </c>
      <c r="J60" s="161">
        <v>9</v>
      </c>
      <c r="K60" s="151" t="s">
        <v>134</v>
      </c>
      <c r="L60" s="151"/>
      <c r="M60" s="151"/>
      <c r="N60" s="151"/>
    </row>
    <row r="61" spans="1:14" ht="18" customHeight="1">
      <c r="A61" s="159" t="s">
        <v>184</v>
      </c>
      <c r="B61" s="98" t="s">
        <v>190</v>
      </c>
      <c r="C61" s="98">
        <v>28001</v>
      </c>
      <c r="D61" s="98" t="s">
        <v>75</v>
      </c>
      <c r="E61" s="151"/>
      <c r="F61" s="160" t="s">
        <v>218</v>
      </c>
      <c r="G61" s="160" t="s">
        <v>68</v>
      </c>
      <c r="H61" s="160" t="s">
        <v>219</v>
      </c>
      <c r="I61" s="161">
        <v>9604</v>
      </c>
      <c r="J61" s="161">
        <v>8</v>
      </c>
      <c r="K61" s="151" t="s">
        <v>164</v>
      </c>
      <c r="L61" s="151"/>
      <c r="M61" s="151"/>
      <c r="N61" s="151"/>
    </row>
    <row r="62" spans="1:14" ht="18" customHeight="1">
      <c r="A62" s="159" t="s">
        <v>184</v>
      </c>
      <c r="B62" s="98" t="s">
        <v>193</v>
      </c>
      <c r="C62" s="98">
        <v>28003</v>
      </c>
      <c r="D62" s="98" t="s">
        <v>75</v>
      </c>
      <c r="E62" s="151"/>
      <c r="F62" s="160" t="s">
        <v>220</v>
      </c>
      <c r="G62" s="160" t="s">
        <v>68</v>
      </c>
      <c r="H62" s="160" t="s">
        <v>221</v>
      </c>
      <c r="I62" s="161">
        <v>16732</v>
      </c>
      <c r="J62" s="161">
        <v>9</v>
      </c>
      <c r="K62" s="151" t="s">
        <v>134</v>
      </c>
      <c r="L62" s="151"/>
      <c r="M62" s="151"/>
      <c r="N62" s="151"/>
    </row>
    <row r="63" spans="1:14" ht="18" customHeight="1">
      <c r="A63" s="159" t="s">
        <v>184</v>
      </c>
      <c r="B63" s="98" t="s">
        <v>196</v>
      </c>
      <c r="C63" s="98">
        <v>28005</v>
      </c>
      <c r="D63" s="98" t="s">
        <v>75</v>
      </c>
      <c r="E63" s="151"/>
      <c r="F63" s="160" t="s">
        <v>222</v>
      </c>
      <c r="G63" s="160" t="s">
        <v>68</v>
      </c>
      <c r="H63" s="160" t="s">
        <v>223</v>
      </c>
      <c r="I63" s="161">
        <v>20634</v>
      </c>
      <c r="J63" s="161">
        <v>7</v>
      </c>
      <c r="K63" s="151" t="s">
        <v>139</v>
      </c>
      <c r="L63" s="151"/>
      <c r="M63" s="151"/>
      <c r="N63" s="151"/>
    </row>
    <row r="64" spans="1:14" ht="18" customHeight="1">
      <c r="A64" s="159" t="s">
        <v>184</v>
      </c>
      <c r="B64" s="98" t="s">
        <v>199</v>
      </c>
      <c r="C64" s="98">
        <v>28007</v>
      </c>
      <c r="D64" s="98" t="s">
        <v>75</v>
      </c>
      <c r="E64" s="151"/>
      <c r="F64" s="160" t="s">
        <v>224</v>
      </c>
      <c r="G64" s="160" t="s">
        <v>68</v>
      </c>
      <c r="H64" s="160" t="s">
        <v>225</v>
      </c>
      <c r="I64" s="161">
        <v>26151</v>
      </c>
      <c r="J64" s="161">
        <v>7</v>
      </c>
      <c r="K64" s="151" t="s">
        <v>139</v>
      </c>
      <c r="L64" s="151"/>
      <c r="M64" s="151"/>
      <c r="N64" s="151"/>
    </row>
    <row r="65" spans="1:14" ht="18" customHeight="1">
      <c r="A65" s="159" t="s">
        <v>184</v>
      </c>
      <c r="B65" s="98" t="s">
        <v>202</v>
      </c>
      <c r="C65" s="98">
        <v>28009</v>
      </c>
      <c r="D65" s="98" t="s">
        <v>75</v>
      </c>
      <c r="E65" s="151"/>
      <c r="F65" s="160" t="s">
        <v>226</v>
      </c>
      <c r="G65" s="160" t="s">
        <v>68</v>
      </c>
      <c r="H65" s="160" t="s">
        <v>194</v>
      </c>
      <c r="I65" s="161">
        <v>29449</v>
      </c>
      <c r="J65" s="161">
        <v>2</v>
      </c>
      <c r="K65" s="151" t="s">
        <v>103</v>
      </c>
      <c r="L65" s="151"/>
      <c r="M65" s="151"/>
      <c r="N65" s="151"/>
    </row>
    <row r="66" spans="1:14" ht="18" customHeight="1">
      <c r="A66" s="159" t="s">
        <v>184</v>
      </c>
      <c r="B66" s="98" t="s">
        <v>205</v>
      </c>
      <c r="C66" s="98">
        <v>28011</v>
      </c>
      <c r="D66" s="98" t="s">
        <v>75</v>
      </c>
      <c r="E66" s="151"/>
      <c r="F66" s="160" t="s">
        <v>227</v>
      </c>
      <c r="G66" s="160" t="s">
        <v>68</v>
      </c>
      <c r="H66" s="160" t="s">
        <v>228</v>
      </c>
      <c r="I66" s="161">
        <v>161252</v>
      </c>
      <c r="J66" s="161">
        <v>1</v>
      </c>
      <c r="K66" s="151" t="s">
        <v>159</v>
      </c>
      <c r="L66" s="151"/>
      <c r="M66" s="151"/>
      <c r="N66" s="151"/>
    </row>
    <row r="67" spans="1:14" ht="18" customHeight="1">
      <c r="A67" s="159" t="s">
        <v>184</v>
      </c>
      <c r="B67" s="98" t="s">
        <v>208</v>
      </c>
      <c r="C67" s="98">
        <v>28013</v>
      </c>
      <c r="D67" s="98" t="s">
        <v>75</v>
      </c>
      <c r="E67" s="151"/>
      <c r="F67" s="160" t="s">
        <v>229</v>
      </c>
      <c r="G67" s="160" t="s">
        <v>68</v>
      </c>
      <c r="H67" s="160" t="s">
        <v>230</v>
      </c>
      <c r="I67" s="161">
        <v>74934</v>
      </c>
      <c r="J67" s="161">
        <v>3</v>
      </c>
      <c r="K67" s="151" t="s">
        <v>128</v>
      </c>
      <c r="L67" s="151"/>
      <c r="M67" s="151"/>
      <c r="N67" s="151"/>
    </row>
    <row r="68" spans="1:14" ht="18" customHeight="1">
      <c r="A68" s="159" t="s">
        <v>184</v>
      </c>
      <c r="B68" s="98" t="s">
        <v>211</v>
      </c>
      <c r="C68" s="98">
        <v>28015</v>
      </c>
      <c r="D68" s="98" t="s">
        <v>75</v>
      </c>
      <c r="E68" s="151"/>
      <c r="F68" s="160" t="s">
        <v>231</v>
      </c>
      <c r="G68" s="160" t="s">
        <v>68</v>
      </c>
      <c r="H68" s="160" t="s">
        <v>232</v>
      </c>
      <c r="I68" s="161">
        <v>8118</v>
      </c>
      <c r="J68" s="161">
        <v>9</v>
      </c>
      <c r="K68" s="151" t="s">
        <v>134</v>
      </c>
      <c r="L68" s="151"/>
      <c r="M68" s="151"/>
      <c r="N68" s="151"/>
    </row>
    <row r="69" spans="1:14" ht="18" customHeight="1">
      <c r="A69" s="159" t="s">
        <v>184</v>
      </c>
      <c r="B69" s="98" t="s">
        <v>214</v>
      </c>
      <c r="C69" s="98">
        <v>28017</v>
      </c>
      <c r="D69" s="98" t="s">
        <v>75</v>
      </c>
      <c r="E69" s="151"/>
      <c r="F69" s="160" t="s">
        <v>233</v>
      </c>
      <c r="G69" s="160" t="s">
        <v>68</v>
      </c>
      <c r="H69" s="160" t="s">
        <v>209</v>
      </c>
      <c r="I69" s="161">
        <v>22578</v>
      </c>
      <c r="J69" s="161">
        <v>6</v>
      </c>
      <c r="K69" s="151" t="s">
        <v>107</v>
      </c>
      <c r="L69" s="151"/>
      <c r="M69" s="151"/>
      <c r="N69" s="151"/>
    </row>
    <row r="70" spans="1:14" ht="18" customHeight="1">
      <c r="A70" s="159" t="s">
        <v>184</v>
      </c>
      <c r="B70" s="98" t="s">
        <v>217</v>
      </c>
      <c r="C70" s="98">
        <v>28019</v>
      </c>
      <c r="D70" s="98" t="s">
        <v>75</v>
      </c>
      <c r="E70" s="151"/>
      <c r="F70" s="160" t="s">
        <v>234</v>
      </c>
      <c r="G70" s="160" t="s">
        <v>68</v>
      </c>
      <c r="H70" s="160" t="s">
        <v>235</v>
      </c>
      <c r="I70" s="161">
        <v>14400</v>
      </c>
      <c r="J70" s="161">
        <v>8</v>
      </c>
      <c r="K70" s="151" t="s">
        <v>164</v>
      </c>
      <c r="L70" s="151"/>
      <c r="M70" s="151"/>
      <c r="N70" s="151"/>
    </row>
    <row r="71" spans="1:14" ht="18" customHeight="1">
      <c r="A71" s="159" t="s">
        <v>184</v>
      </c>
      <c r="B71" s="98" t="s">
        <v>219</v>
      </c>
      <c r="C71" s="98">
        <v>28021</v>
      </c>
      <c r="D71" s="98" t="s">
        <v>75</v>
      </c>
      <c r="E71" s="151"/>
      <c r="F71" s="160" t="s">
        <v>236</v>
      </c>
      <c r="G71" s="160" t="s">
        <v>68</v>
      </c>
      <c r="H71" s="160" t="s">
        <v>237</v>
      </c>
      <c r="I71" s="161">
        <v>21906</v>
      </c>
      <c r="J71" s="161">
        <v>7</v>
      </c>
      <c r="K71" s="151" t="s">
        <v>139</v>
      </c>
      <c r="L71" s="151"/>
      <c r="M71" s="151"/>
      <c r="N71" s="151"/>
    </row>
    <row r="72" spans="1:14" ht="18" customHeight="1">
      <c r="A72" s="159" t="s">
        <v>184</v>
      </c>
      <c r="B72" s="98" t="s">
        <v>221</v>
      </c>
      <c r="C72" s="98">
        <v>28023</v>
      </c>
      <c r="D72" s="98" t="s">
        <v>75</v>
      </c>
      <c r="E72" s="151"/>
      <c r="F72" s="160" t="s">
        <v>238</v>
      </c>
      <c r="G72" s="160" t="s">
        <v>68</v>
      </c>
      <c r="H72" s="160" t="s">
        <v>203</v>
      </c>
      <c r="I72" s="161">
        <v>43929</v>
      </c>
      <c r="J72" s="161">
        <v>2</v>
      </c>
      <c r="K72" s="151" t="s">
        <v>103</v>
      </c>
      <c r="L72" s="151"/>
      <c r="M72" s="151"/>
      <c r="N72" s="151"/>
    </row>
    <row r="73" spans="1:14" ht="18" customHeight="1">
      <c r="A73" s="159" t="s">
        <v>184</v>
      </c>
      <c r="B73" s="98" t="s">
        <v>223</v>
      </c>
      <c r="C73" s="98">
        <v>28025</v>
      </c>
      <c r="D73" s="98" t="s">
        <v>75</v>
      </c>
      <c r="E73" s="151"/>
      <c r="F73" s="160" t="s">
        <v>239</v>
      </c>
      <c r="G73" s="160" t="s">
        <v>68</v>
      </c>
      <c r="H73" s="160" t="s">
        <v>200</v>
      </c>
      <c r="I73" s="161">
        <v>187105</v>
      </c>
      <c r="J73" s="161">
        <v>2</v>
      </c>
      <c r="K73" s="151" t="s">
        <v>103</v>
      </c>
      <c r="L73" s="151"/>
      <c r="M73" s="151"/>
      <c r="N73" s="151"/>
    </row>
    <row r="74" spans="1:14" ht="18" customHeight="1">
      <c r="A74" s="159" t="s">
        <v>184</v>
      </c>
      <c r="B74" s="98" t="s">
        <v>225</v>
      </c>
      <c r="C74" s="98">
        <v>28027</v>
      </c>
      <c r="D74" s="98" t="s">
        <v>75</v>
      </c>
      <c r="E74" s="151"/>
      <c r="F74" s="160" t="s">
        <v>240</v>
      </c>
      <c r="G74" s="160" t="s">
        <v>68</v>
      </c>
      <c r="H74" s="160" t="s">
        <v>185</v>
      </c>
      <c r="I74" s="161">
        <v>245285</v>
      </c>
      <c r="J74" s="161">
        <v>2</v>
      </c>
      <c r="K74" s="151" t="s">
        <v>103</v>
      </c>
      <c r="L74" s="151"/>
      <c r="M74" s="151"/>
      <c r="N74" s="151"/>
    </row>
    <row r="75" spans="1:14" ht="18" customHeight="1">
      <c r="A75" s="159" t="s">
        <v>184</v>
      </c>
      <c r="B75" s="98" t="s">
        <v>241</v>
      </c>
      <c r="C75" s="98">
        <v>28031</v>
      </c>
      <c r="D75" s="98" t="s">
        <v>75</v>
      </c>
      <c r="E75" s="151"/>
      <c r="F75" s="160" t="s">
        <v>242</v>
      </c>
      <c r="G75" s="160" t="s">
        <v>68</v>
      </c>
      <c r="H75" s="160" t="s">
        <v>243</v>
      </c>
      <c r="I75" s="161">
        <v>19198</v>
      </c>
      <c r="J75" s="161">
        <v>6</v>
      </c>
      <c r="K75" s="151" t="s">
        <v>107</v>
      </c>
      <c r="L75" s="151"/>
      <c r="M75" s="151"/>
      <c r="N75" s="151"/>
    </row>
    <row r="76" spans="1:14" ht="18" customHeight="1">
      <c r="A76" s="159" t="s">
        <v>184</v>
      </c>
      <c r="B76" s="98" t="s">
        <v>228</v>
      </c>
      <c r="C76" s="98">
        <v>28033</v>
      </c>
      <c r="D76" s="98" t="s">
        <v>75</v>
      </c>
      <c r="E76" s="151"/>
      <c r="F76" s="160" t="s">
        <v>244</v>
      </c>
      <c r="G76" s="160" t="s">
        <v>68</v>
      </c>
      <c r="H76" s="160" t="s">
        <v>245</v>
      </c>
      <c r="I76" s="161">
        <v>9375</v>
      </c>
      <c r="J76" s="161">
        <v>6</v>
      </c>
      <c r="K76" s="151" t="s">
        <v>107</v>
      </c>
      <c r="L76" s="151"/>
      <c r="M76" s="151"/>
      <c r="N76" s="151"/>
    </row>
    <row r="77" spans="1:14" ht="18" customHeight="1">
      <c r="A77" s="159" t="s">
        <v>184</v>
      </c>
      <c r="B77" s="98" t="s">
        <v>230</v>
      </c>
      <c r="C77" s="98">
        <v>28035</v>
      </c>
      <c r="D77" s="98" t="s">
        <v>75</v>
      </c>
      <c r="E77" s="151"/>
      <c r="F77" s="160" t="s">
        <v>246</v>
      </c>
      <c r="G77" s="160" t="s">
        <v>68</v>
      </c>
      <c r="H77" s="160" t="s">
        <v>247</v>
      </c>
      <c r="I77" s="161">
        <v>1406</v>
      </c>
      <c r="J77" s="161">
        <v>8</v>
      </c>
      <c r="K77" s="151" t="s">
        <v>164</v>
      </c>
      <c r="L77" s="151"/>
      <c r="M77" s="151"/>
      <c r="N77" s="151"/>
    </row>
    <row r="78" spans="1:14" ht="18" customHeight="1">
      <c r="A78" s="159" t="s">
        <v>184</v>
      </c>
      <c r="B78" s="98" t="s">
        <v>232</v>
      </c>
      <c r="C78" s="98">
        <v>28037</v>
      </c>
      <c r="D78" s="98" t="s">
        <v>75</v>
      </c>
      <c r="E78" s="151"/>
      <c r="F78" s="160" t="s">
        <v>248</v>
      </c>
      <c r="G78" s="160" t="s">
        <v>68</v>
      </c>
      <c r="H78" s="160" t="s">
        <v>249</v>
      </c>
      <c r="I78" s="161">
        <v>23401</v>
      </c>
      <c r="J78" s="161">
        <v>7</v>
      </c>
      <c r="K78" s="151" t="s">
        <v>139</v>
      </c>
      <c r="L78" s="151"/>
      <c r="M78" s="151"/>
      <c r="N78" s="151"/>
    </row>
    <row r="79" spans="1:14" ht="18" customHeight="1">
      <c r="A79" s="159" t="s">
        <v>184</v>
      </c>
      <c r="B79" s="98" t="s">
        <v>235</v>
      </c>
      <c r="C79" s="98">
        <v>28041</v>
      </c>
      <c r="D79" s="98" t="s">
        <v>75</v>
      </c>
      <c r="E79" s="151"/>
      <c r="F79" s="160" t="s">
        <v>250</v>
      </c>
      <c r="G79" s="160" t="s">
        <v>68</v>
      </c>
      <c r="H79" s="160" t="s">
        <v>206</v>
      </c>
      <c r="I79" s="161">
        <v>139668</v>
      </c>
      <c r="J79" s="161">
        <v>2</v>
      </c>
      <c r="K79" s="151" t="s">
        <v>103</v>
      </c>
      <c r="L79" s="151"/>
      <c r="M79" s="151"/>
      <c r="N79" s="151"/>
    </row>
    <row r="80" spans="1:14" ht="18" customHeight="1">
      <c r="A80" s="159" t="s">
        <v>184</v>
      </c>
      <c r="B80" s="98" t="s">
        <v>237</v>
      </c>
      <c r="C80" s="98">
        <v>28043</v>
      </c>
      <c r="D80" s="98" t="s">
        <v>75</v>
      </c>
      <c r="E80" s="151"/>
      <c r="F80" s="160" t="s">
        <v>251</v>
      </c>
      <c r="G80" s="160" t="s">
        <v>68</v>
      </c>
      <c r="H80" s="160" t="s">
        <v>252</v>
      </c>
      <c r="I80" s="161">
        <v>17062</v>
      </c>
      <c r="J80" s="161">
        <v>9</v>
      </c>
      <c r="K80" s="151" t="s">
        <v>134</v>
      </c>
      <c r="L80" s="151"/>
      <c r="M80" s="151"/>
      <c r="N80" s="151"/>
    </row>
    <row r="81" spans="1:14" ht="18" customHeight="1">
      <c r="A81" s="159" t="s">
        <v>184</v>
      </c>
      <c r="B81" s="98" t="s">
        <v>243</v>
      </c>
      <c r="C81" s="98">
        <v>28051</v>
      </c>
      <c r="D81" s="98" t="s">
        <v>75</v>
      </c>
      <c r="E81" s="151"/>
      <c r="F81" s="160" t="s">
        <v>253</v>
      </c>
      <c r="G81" s="160" t="s">
        <v>68</v>
      </c>
      <c r="H81" s="160" t="s">
        <v>254</v>
      </c>
      <c r="I81" s="161">
        <v>7726</v>
      </c>
      <c r="J81" s="161">
        <v>8</v>
      </c>
      <c r="K81" s="151" t="s">
        <v>164</v>
      </c>
      <c r="L81" s="151"/>
      <c r="M81" s="151"/>
      <c r="N81" s="151"/>
    </row>
    <row r="82" spans="1:14" ht="18" customHeight="1">
      <c r="A82" s="159" t="s">
        <v>184</v>
      </c>
      <c r="B82" s="98" t="s">
        <v>245</v>
      </c>
      <c r="C82" s="98">
        <v>28053</v>
      </c>
      <c r="D82" s="98" t="s">
        <v>75</v>
      </c>
      <c r="E82" s="151"/>
      <c r="F82" s="160" t="s">
        <v>255</v>
      </c>
      <c r="G82" s="160" t="s">
        <v>68</v>
      </c>
      <c r="H82" s="160" t="s">
        <v>256</v>
      </c>
      <c r="I82" s="161">
        <v>12487</v>
      </c>
      <c r="J82" s="161">
        <v>8</v>
      </c>
      <c r="K82" s="151" t="s">
        <v>164</v>
      </c>
      <c r="L82" s="151"/>
      <c r="M82" s="151"/>
      <c r="N82" s="151"/>
    </row>
    <row r="83" spans="1:14" ht="18" customHeight="1">
      <c r="A83" s="159" t="s">
        <v>184</v>
      </c>
      <c r="B83" s="98" t="s">
        <v>247</v>
      </c>
      <c r="C83" s="98">
        <v>28055</v>
      </c>
      <c r="D83" s="98" t="s">
        <v>75</v>
      </c>
      <c r="E83" s="151"/>
      <c r="F83" s="160" t="s">
        <v>257</v>
      </c>
      <c r="G83" s="160" t="s">
        <v>68</v>
      </c>
      <c r="H83" s="160" t="s">
        <v>258</v>
      </c>
      <c r="I83" s="161">
        <v>67761</v>
      </c>
      <c r="J83" s="161">
        <v>4</v>
      </c>
      <c r="K83" s="151" t="s">
        <v>259</v>
      </c>
      <c r="L83" s="151"/>
      <c r="M83" s="151"/>
      <c r="N83" s="151"/>
    </row>
    <row r="84" spans="1:14" ht="18" customHeight="1">
      <c r="A84" s="159" t="s">
        <v>184</v>
      </c>
      <c r="B84" s="98" t="s">
        <v>249</v>
      </c>
      <c r="C84" s="98">
        <v>28057</v>
      </c>
      <c r="D84" s="98" t="s">
        <v>75</v>
      </c>
      <c r="E84" s="151"/>
      <c r="F84" s="160" t="s">
        <v>260</v>
      </c>
      <c r="G84" s="160" t="s">
        <v>68</v>
      </c>
      <c r="H84" s="160" t="s">
        <v>261</v>
      </c>
      <c r="I84" s="161">
        <v>10456</v>
      </c>
      <c r="J84" s="161">
        <v>9</v>
      </c>
      <c r="K84" s="151" t="s">
        <v>134</v>
      </c>
      <c r="L84" s="151"/>
      <c r="M84" s="151"/>
      <c r="N84" s="151"/>
    </row>
    <row r="85" spans="1:14" ht="18" customHeight="1">
      <c r="A85" s="159" t="s">
        <v>184</v>
      </c>
      <c r="B85" s="98" t="s">
        <v>252</v>
      </c>
      <c r="C85" s="98">
        <v>28061</v>
      </c>
      <c r="D85" s="98" t="s">
        <v>75</v>
      </c>
      <c r="E85" s="151"/>
      <c r="F85" s="160" t="s">
        <v>262</v>
      </c>
      <c r="G85" s="160" t="s">
        <v>68</v>
      </c>
      <c r="H85" s="160" t="s">
        <v>263</v>
      </c>
      <c r="I85" s="161">
        <v>47351</v>
      </c>
      <c r="J85" s="161">
        <v>4</v>
      </c>
      <c r="K85" s="151" t="s">
        <v>259</v>
      </c>
      <c r="L85" s="151"/>
      <c r="M85" s="151"/>
      <c r="N85" s="151"/>
    </row>
    <row r="86" spans="1:14" ht="18" customHeight="1">
      <c r="A86" s="159" t="s">
        <v>184</v>
      </c>
      <c r="B86" s="98" t="s">
        <v>254</v>
      </c>
      <c r="C86" s="98">
        <v>28063</v>
      </c>
      <c r="D86" s="98" t="s">
        <v>75</v>
      </c>
      <c r="E86" s="151"/>
      <c r="F86" s="160" t="s">
        <v>264</v>
      </c>
      <c r="G86" s="160" t="s">
        <v>68</v>
      </c>
      <c r="H86" s="160" t="s">
        <v>265</v>
      </c>
      <c r="I86" s="161">
        <v>80261</v>
      </c>
      <c r="J86" s="161">
        <v>5</v>
      </c>
      <c r="K86" s="151" t="s">
        <v>178</v>
      </c>
      <c r="L86" s="151"/>
      <c r="M86" s="151"/>
      <c r="N86" s="151"/>
    </row>
    <row r="87" spans="1:14" ht="18" customHeight="1">
      <c r="A87" s="159" t="s">
        <v>184</v>
      </c>
      <c r="B87" s="98" t="s">
        <v>256</v>
      </c>
      <c r="C87" s="98">
        <v>28065</v>
      </c>
      <c r="D87" s="98" t="s">
        <v>75</v>
      </c>
      <c r="E87" s="151"/>
      <c r="F87" s="160" t="s">
        <v>266</v>
      </c>
      <c r="G87" s="160" t="s">
        <v>68</v>
      </c>
      <c r="H87" s="160" t="s">
        <v>267</v>
      </c>
      <c r="I87" s="161">
        <v>12929</v>
      </c>
      <c r="J87" s="161">
        <v>8</v>
      </c>
      <c r="K87" s="151" t="s">
        <v>164</v>
      </c>
      <c r="L87" s="151"/>
      <c r="M87" s="151"/>
      <c r="N87" s="151"/>
    </row>
    <row r="88" spans="1:14" ht="18" customHeight="1">
      <c r="A88" s="159" t="s">
        <v>184</v>
      </c>
      <c r="B88" s="98" t="s">
        <v>258</v>
      </c>
      <c r="C88" s="98">
        <v>28067</v>
      </c>
      <c r="D88" s="98" t="s">
        <v>75</v>
      </c>
      <c r="E88" s="151"/>
      <c r="F88" s="160" t="s">
        <v>268</v>
      </c>
      <c r="G88" s="160" t="s">
        <v>68</v>
      </c>
      <c r="H88" s="160" t="s">
        <v>269</v>
      </c>
      <c r="I88" s="161">
        <v>23805</v>
      </c>
      <c r="J88" s="161">
        <v>6</v>
      </c>
      <c r="K88" s="151" t="s">
        <v>107</v>
      </c>
      <c r="L88" s="151"/>
      <c r="M88" s="151"/>
      <c r="N88" s="151"/>
    </row>
    <row r="89" spans="1:14" ht="18" customHeight="1">
      <c r="A89" s="159" t="s">
        <v>184</v>
      </c>
      <c r="B89" s="98" t="s">
        <v>261</v>
      </c>
      <c r="C89" s="98">
        <v>28069</v>
      </c>
      <c r="D89" s="98" t="s">
        <v>75</v>
      </c>
      <c r="E89" s="151"/>
      <c r="F89" s="160" t="s">
        <v>270</v>
      </c>
      <c r="G89" s="160" t="s">
        <v>68</v>
      </c>
      <c r="H89" s="160" t="s">
        <v>271</v>
      </c>
      <c r="I89" s="161">
        <v>82910</v>
      </c>
      <c r="J89" s="161">
        <v>5</v>
      </c>
      <c r="K89" s="151" t="s">
        <v>178</v>
      </c>
      <c r="L89" s="151"/>
      <c r="M89" s="151"/>
      <c r="N89" s="151"/>
    </row>
    <row r="90" spans="1:14" ht="18" customHeight="1">
      <c r="A90" s="159" t="s">
        <v>184</v>
      </c>
      <c r="B90" s="98" t="s">
        <v>263</v>
      </c>
      <c r="C90" s="98">
        <v>28071</v>
      </c>
      <c r="D90" s="98" t="s">
        <v>75</v>
      </c>
      <c r="E90" s="151"/>
      <c r="F90" s="160" t="s">
        <v>272</v>
      </c>
      <c r="G90" s="160" t="s">
        <v>68</v>
      </c>
      <c r="H90" s="160" t="s">
        <v>273</v>
      </c>
      <c r="I90" s="161">
        <v>32317</v>
      </c>
      <c r="J90" s="161">
        <v>5</v>
      </c>
      <c r="K90" s="151" t="s">
        <v>178</v>
      </c>
      <c r="L90" s="151"/>
      <c r="M90" s="151"/>
      <c r="N90" s="151"/>
    </row>
    <row r="91" spans="1:14" ht="18" customHeight="1">
      <c r="A91" s="159" t="s">
        <v>184</v>
      </c>
      <c r="B91" s="98" t="s">
        <v>265</v>
      </c>
      <c r="C91" s="98">
        <v>28073</v>
      </c>
      <c r="D91" s="98" t="s">
        <v>75</v>
      </c>
      <c r="E91" s="151"/>
      <c r="F91" s="160" t="s">
        <v>274</v>
      </c>
      <c r="G91" s="160" t="s">
        <v>68</v>
      </c>
      <c r="H91" s="160" t="s">
        <v>275</v>
      </c>
      <c r="I91" s="161">
        <v>34869</v>
      </c>
      <c r="J91" s="161">
        <v>6</v>
      </c>
      <c r="K91" s="151" t="s">
        <v>107</v>
      </c>
      <c r="L91" s="151"/>
      <c r="M91" s="151"/>
      <c r="N91" s="151"/>
    </row>
    <row r="92" spans="1:14" ht="18" customHeight="1">
      <c r="A92" s="159" t="s">
        <v>184</v>
      </c>
      <c r="B92" s="98" t="s">
        <v>267</v>
      </c>
      <c r="C92" s="98">
        <v>28075</v>
      </c>
      <c r="D92" s="98" t="s">
        <v>75</v>
      </c>
      <c r="E92" s="151"/>
      <c r="F92" s="160" t="s">
        <v>276</v>
      </c>
      <c r="G92" s="160" t="s">
        <v>68</v>
      </c>
      <c r="H92" s="160" t="s">
        <v>277</v>
      </c>
      <c r="I92" s="161">
        <v>59779</v>
      </c>
      <c r="J92" s="161">
        <v>5</v>
      </c>
      <c r="K92" s="151" t="s">
        <v>178</v>
      </c>
      <c r="L92" s="151"/>
      <c r="M92" s="151"/>
      <c r="N92" s="151"/>
    </row>
    <row r="93" spans="1:14" ht="18" customHeight="1">
      <c r="A93" s="159" t="s">
        <v>184</v>
      </c>
      <c r="B93" s="98" t="s">
        <v>269</v>
      </c>
      <c r="C93" s="98">
        <v>28077</v>
      </c>
      <c r="D93" s="98" t="s">
        <v>75</v>
      </c>
      <c r="E93" s="151"/>
      <c r="F93" s="160" t="s">
        <v>278</v>
      </c>
      <c r="G93" s="160" t="s">
        <v>68</v>
      </c>
      <c r="H93" s="160" t="s">
        <v>188</v>
      </c>
      <c r="I93" s="161">
        <v>95203</v>
      </c>
      <c r="J93" s="161">
        <v>2</v>
      </c>
      <c r="K93" s="151" t="s">
        <v>103</v>
      </c>
      <c r="L93" s="151"/>
      <c r="M93" s="151"/>
      <c r="N93" s="151"/>
    </row>
    <row r="94" spans="1:14" ht="18" customHeight="1">
      <c r="A94" s="159" t="s">
        <v>184</v>
      </c>
      <c r="B94" s="98" t="s">
        <v>271</v>
      </c>
      <c r="C94" s="98">
        <v>28079</v>
      </c>
      <c r="D94" s="98" t="s">
        <v>75</v>
      </c>
      <c r="E94" s="151"/>
      <c r="F94" s="160" t="s">
        <v>279</v>
      </c>
      <c r="G94" s="160" t="s">
        <v>68</v>
      </c>
      <c r="H94" s="160" t="s">
        <v>280</v>
      </c>
      <c r="I94" s="161">
        <v>27088</v>
      </c>
      <c r="J94" s="161">
        <v>6</v>
      </c>
      <c r="K94" s="151" t="s">
        <v>107</v>
      </c>
      <c r="L94" s="151"/>
      <c r="M94" s="151"/>
      <c r="N94" s="151"/>
    </row>
    <row r="95" spans="1:14" ht="18" customHeight="1">
      <c r="A95" s="159" t="s">
        <v>184</v>
      </c>
      <c r="B95" s="98" t="s">
        <v>273</v>
      </c>
      <c r="C95" s="98">
        <v>28081</v>
      </c>
      <c r="D95" s="98" t="s">
        <v>75</v>
      </c>
      <c r="E95" s="151"/>
      <c r="F95" s="160" t="s">
        <v>281</v>
      </c>
      <c r="G95" s="160" t="s">
        <v>68</v>
      </c>
      <c r="H95" s="160" t="s">
        <v>282</v>
      </c>
      <c r="I95" s="161">
        <v>37144</v>
      </c>
      <c r="J95" s="161">
        <v>1</v>
      </c>
      <c r="K95" s="151" t="s">
        <v>159</v>
      </c>
      <c r="L95" s="151"/>
      <c r="M95" s="151"/>
      <c r="N95" s="151"/>
    </row>
    <row r="96" spans="1:14" ht="18" customHeight="1">
      <c r="A96" s="159" t="s">
        <v>184</v>
      </c>
      <c r="B96" s="98" t="s">
        <v>275</v>
      </c>
      <c r="C96" s="98">
        <v>28083</v>
      </c>
      <c r="D96" s="98" t="s">
        <v>75</v>
      </c>
      <c r="E96" s="151"/>
      <c r="F96" s="160" t="s">
        <v>283</v>
      </c>
      <c r="G96" s="160" t="s">
        <v>68</v>
      </c>
      <c r="H96" s="160" t="s">
        <v>284</v>
      </c>
      <c r="I96" s="161">
        <v>36989</v>
      </c>
      <c r="J96" s="161">
        <v>7</v>
      </c>
      <c r="K96" s="151" t="s">
        <v>139</v>
      </c>
      <c r="L96" s="151"/>
      <c r="M96" s="151"/>
      <c r="N96" s="151"/>
    </row>
    <row r="97" spans="1:14" ht="18" customHeight="1">
      <c r="A97" s="159" t="s">
        <v>184</v>
      </c>
      <c r="B97" s="98" t="s">
        <v>277</v>
      </c>
      <c r="C97" s="98">
        <v>28085</v>
      </c>
      <c r="D97" s="98" t="s">
        <v>75</v>
      </c>
      <c r="E97" s="151"/>
      <c r="F97" s="160" t="s">
        <v>285</v>
      </c>
      <c r="G97" s="160" t="s">
        <v>68</v>
      </c>
      <c r="H97" s="160" t="s">
        <v>286</v>
      </c>
      <c r="I97" s="161">
        <v>10925</v>
      </c>
      <c r="J97" s="161">
        <v>7</v>
      </c>
      <c r="K97" s="151" t="s">
        <v>139</v>
      </c>
      <c r="L97" s="151"/>
      <c r="M97" s="151"/>
      <c r="N97" s="151"/>
    </row>
    <row r="98" spans="1:14" ht="18" customHeight="1">
      <c r="A98" s="159" t="s">
        <v>184</v>
      </c>
      <c r="B98" s="98" t="s">
        <v>280</v>
      </c>
      <c r="C98" s="98">
        <v>28091</v>
      </c>
      <c r="D98" s="98" t="s">
        <v>75</v>
      </c>
      <c r="E98" s="151"/>
      <c r="F98" s="160" t="s">
        <v>287</v>
      </c>
      <c r="G98" s="160" t="s">
        <v>68</v>
      </c>
      <c r="H98" s="160" t="s">
        <v>288</v>
      </c>
      <c r="I98" s="161">
        <v>29676</v>
      </c>
      <c r="J98" s="161">
        <v>7</v>
      </c>
      <c r="K98" s="151" t="s">
        <v>139</v>
      </c>
      <c r="L98" s="151"/>
      <c r="M98" s="151"/>
      <c r="N98" s="151"/>
    </row>
    <row r="99" spans="1:14" ht="18" customHeight="1">
      <c r="A99" s="159" t="s">
        <v>184</v>
      </c>
      <c r="B99" s="98" t="s">
        <v>282</v>
      </c>
      <c r="C99" s="98">
        <v>28093</v>
      </c>
      <c r="D99" s="98" t="s">
        <v>75</v>
      </c>
      <c r="E99" s="151"/>
      <c r="F99" s="160" t="s">
        <v>289</v>
      </c>
      <c r="G99" s="160" t="s">
        <v>68</v>
      </c>
      <c r="H99" s="160" t="s">
        <v>290</v>
      </c>
      <c r="I99" s="161">
        <v>21720</v>
      </c>
      <c r="J99" s="161">
        <v>7</v>
      </c>
      <c r="K99" s="151" t="s">
        <v>139</v>
      </c>
      <c r="L99" s="151"/>
      <c r="M99" s="151"/>
      <c r="N99" s="151"/>
    </row>
    <row r="100" spans="1:14" ht="18" customHeight="1">
      <c r="A100" s="159" t="s">
        <v>184</v>
      </c>
      <c r="B100" s="98" t="s">
        <v>284</v>
      </c>
      <c r="C100" s="98">
        <v>28095</v>
      </c>
      <c r="D100" s="98" t="s">
        <v>75</v>
      </c>
      <c r="E100" s="151"/>
      <c r="F100" s="160" t="s">
        <v>291</v>
      </c>
      <c r="G100" s="160" t="s">
        <v>68</v>
      </c>
      <c r="H100" s="160" t="s">
        <v>292</v>
      </c>
      <c r="I100" s="161">
        <v>11545</v>
      </c>
      <c r="J100" s="161">
        <v>7</v>
      </c>
      <c r="K100" s="151" t="s">
        <v>139</v>
      </c>
      <c r="L100" s="151"/>
      <c r="M100" s="151"/>
      <c r="N100" s="151"/>
    </row>
    <row r="101" spans="1:14" ht="18" customHeight="1">
      <c r="A101" s="159" t="s">
        <v>184</v>
      </c>
      <c r="B101" s="98" t="s">
        <v>286</v>
      </c>
      <c r="C101" s="98">
        <v>28097</v>
      </c>
      <c r="D101" s="98" t="s">
        <v>75</v>
      </c>
      <c r="E101" s="151"/>
      <c r="F101" s="160" t="s">
        <v>293</v>
      </c>
      <c r="G101" s="160" t="s">
        <v>68</v>
      </c>
      <c r="H101" s="160" t="s">
        <v>294</v>
      </c>
      <c r="I101" s="161">
        <v>47671</v>
      </c>
      <c r="J101" s="161">
        <v>5</v>
      </c>
      <c r="K101" s="151" t="s">
        <v>178</v>
      </c>
      <c r="L101" s="151"/>
      <c r="M101" s="151"/>
      <c r="N101" s="151"/>
    </row>
    <row r="102" spans="1:14" ht="18" customHeight="1">
      <c r="A102" s="159" t="s">
        <v>184</v>
      </c>
      <c r="B102" s="98" t="s">
        <v>288</v>
      </c>
      <c r="C102" s="98">
        <v>28099</v>
      </c>
      <c r="D102" s="98" t="s">
        <v>75</v>
      </c>
      <c r="E102" s="151"/>
      <c r="F102" s="160" t="s">
        <v>295</v>
      </c>
      <c r="G102" s="160" t="s">
        <v>68</v>
      </c>
      <c r="H102" s="160" t="s">
        <v>296</v>
      </c>
      <c r="I102" s="161">
        <v>34707</v>
      </c>
      <c r="J102" s="161">
        <v>6</v>
      </c>
      <c r="K102" s="151" t="s">
        <v>107</v>
      </c>
      <c r="L102" s="151"/>
      <c r="M102" s="151"/>
      <c r="N102" s="151"/>
    </row>
    <row r="103" spans="1:14" ht="18" customHeight="1">
      <c r="A103" s="159" t="s">
        <v>184</v>
      </c>
      <c r="B103" s="98" t="s">
        <v>290</v>
      </c>
      <c r="C103" s="98">
        <v>28101</v>
      </c>
      <c r="D103" s="98" t="s">
        <v>75</v>
      </c>
      <c r="E103" s="151"/>
      <c r="F103" s="160" t="s">
        <v>297</v>
      </c>
      <c r="G103" s="160" t="s">
        <v>68</v>
      </c>
      <c r="H103" s="160" t="s">
        <v>215</v>
      </c>
      <c r="I103" s="161">
        <v>55834</v>
      </c>
      <c r="J103" s="161">
        <v>6</v>
      </c>
      <c r="K103" s="151" t="s">
        <v>107</v>
      </c>
      <c r="L103" s="151"/>
      <c r="M103" s="151"/>
      <c r="N103" s="151"/>
    </row>
    <row r="104" spans="1:14" ht="18" customHeight="1">
      <c r="A104" s="159" t="s">
        <v>184</v>
      </c>
      <c r="B104" s="98" t="s">
        <v>292</v>
      </c>
      <c r="C104" s="98">
        <v>28103</v>
      </c>
      <c r="D104" s="98" t="s">
        <v>75</v>
      </c>
      <c r="E104" s="151"/>
      <c r="F104" s="160" t="s">
        <v>298</v>
      </c>
      <c r="G104" s="160" t="s">
        <v>68</v>
      </c>
      <c r="H104" s="160" t="s">
        <v>299</v>
      </c>
      <c r="I104" s="161">
        <v>12250</v>
      </c>
      <c r="J104" s="161">
        <v>3</v>
      </c>
      <c r="K104" s="151" t="s">
        <v>128</v>
      </c>
      <c r="L104" s="151"/>
      <c r="M104" s="151"/>
      <c r="N104" s="151"/>
    </row>
    <row r="105" spans="1:14" ht="18" customHeight="1">
      <c r="A105" s="159" t="s">
        <v>184</v>
      </c>
      <c r="B105" s="98" t="s">
        <v>294</v>
      </c>
      <c r="C105" s="98">
        <v>28105</v>
      </c>
      <c r="D105" s="98" t="s">
        <v>75</v>
      </c>
      <c r="E105" s="151"/>
      <c r="F105" s="160" t="s">
        <v>300</v>
      </c>
      <c r="G105" s="160" t="s">
        <v>68</v>
      </c>
      <c r="H105" s="160" t="s">
        <v>301</v>
      </c>
      <c r="I105" s="161">
        <v>40404</v>
      </c>
      <c r="J105" s="161">
        <v>6</v>
      </c>
      <c r="K105" s="151" t="s">
        <v>107</v>
      </c>
      <c r="L105" s="151"/>
      <c r="M105" s="151"/>
      <c r="N105" s="151"/>
    </row>
    <row r="106" spans="1:14" ht="18" customHeight="1">
      <c r="A106" s="159" t="s">
        <v>184</v>
      </c>
      <c r="B106" s="98" t="s">
        <v>296</v>
      </c>
      <c r="C106" s="98">
        <v>28107</v>
      </c>
      <c r="D106" s="98" t="s">
        <v>75</v>
      </c>
      <c r="E106" s="151"/>
      <c r="F106" s="160" t="s">
        <v>302</v>
      </c>
      <c r="G106" s="160" t="s">
        <v>68</v>
      </c>
      <c r="H106" s="160" t="s">
        <v>303</v>
      </c>
      <c r="I106" s="161">
        <v>29957</v>
      </c>
      <c r="J106" s="161">
        <v>7</v>
      </c>
      <c r="K106" s="151" t="s">
        <v>139</v>
      </c>
      <c r="L106" s="151"/>
      <c r="M106" s="151"/>
      <c r="N106" s="151"/>
    </row>
    <row r="107" spans="1:14" ht="18" customHeight="1">
      <c r="A107" s="159" t="s">
        <v>184</v>
      </c>
      <c r="B107" s="98" t="s">
        <v>299</v>
      </c>
      <c r="C107" s="98">
        <v>28111</v>
      </c>
      <c r="D107" s="98" t="s">
        <v>75</v>
      </c>
      <c r="E107" s="151"/>
      <c r="F107" s="160" t="s">
        <v>304</v>
      </c>
      <c r="G107" s="160" t="s">
        <v>68</v>
      </c>
      <c r="H107" s="160" t="s">
        <v>305</v>
      </c>
      <c r="I107" s="161">
        <v>25276</v>
      </c>
      <c r="J107" s="161">
        <v>7</v>
      </c>
      <c r="K107" s="151" t="s">
        <v>139</v>
      </c>
      <c r="L107" s="151"/>
      <c r="M107" s="151"/>
      <c r="N107" s="151"/>
    </row>
    <row r="108" spans="1:14" ht="18" customHeight="1">
      <c r="A108" s="159" t="s">
        <v>184</v>
      </c>
      <c r="B108" s="98" t="s">
        <v>301</v>
      </c>
      <c r="C108" s="98">
        <v>28113</v>
      </c>
      <c r="D108" s="98" t="s">
        <v>75</v>
      </c>
      <c r="E108" s="151"/>
      <c r="F108" s="160" t="s">
        <v>306</v>
      </c>
      <c r="G108" s="160" t="s">
        <v>68</v>
      </c>
      <c r="H108" s="160" t="s">
        <v>307</v>
      </c>
      <c r="I108" s="161">
        <v>8223</v>
      </c>
      <c r="J108" s="161">
        <v>6</v>
      </c>
      <c r="K108" s="151" t="s">
        <v>107</v>
      </c>
      <c r="L108" s="151"/>
      <c r="M108" s="151"/>
      <c r="N108" s="151"/>
    </row>
    <row r="109" spans="1:14" ht="18" customHeight="1">
      <c r="A109" s="159" t="s">
        <v>184</v>
      </c>
      <c r="B109" s="98" t="s">
        <v>303</v>
      </c>
      <c r="C109" s="98">
        <v>28115</v>
      </c>
      <c r="D109" s="98" t="s">
        <v>75</v>
      </c>
      <c r="E109" s="151"/>
      <c r="F109" s="160" t="s">
        <v>308</v>
      </c>
      <c r="G109" s="160" t="s">
        <v>68</v>
      </c>
      <c r="H109" s="160" t="s">
        <v>187</v>
      </c>
      <c r="I109" s="161">
        <v>141617</v>
      </c>
      <c r="J109" s="161">
        <v>2</v>
      </c>
      <c r="K109" s="151" t="s">
        <v>103</v>
      </c>
      <c r="L109" s="151"/>
      <c r="M109" s="151"/>
      <c r="N109" s="151"/>
    </row>
    <row r="110" spans="1:14" ht="18" customHeight="1">
      <c r="A110" s="159" t="s">
        <v>184</v>
      </c>
      <c r="B110" s="98" t="s">
        <v>305</v>
      </c>
      <c r="C110" s="98">
        <v>28117</v>
      </c>
      <c r="D110" s="98" t="s">
        <v>75</v>
      </c>
      <c r="E110" s="151"/>
      <c r="F110" s="160" t="s">
        <v>309</v>
      </c>
      <c r="G110" s="160" t="s">
        <v>68</v>
      </c>
      <c r="H110" s="160" t="s">
        <v>310</v>
      </c>
      <c r="I110" s="161">
        <v>28264</v>
      </c>
      <c r="J110" s="161">
        <v>6</v>
      </c>
      <c r="K110" s="151" t="s">
        <v>107</v>
      </c>
      <c r="L110" s="151"/>
      <c r="M110" s="151"/>
      <c r="N110" s="151"/>
    </row>
    <row r="111" spans="1:14" ht="18" customHeight="1">
      <c r="A111" s="159" t="s">
        <v>184</v>
      </c>
      <c r="B111" s="98" t="s">
        <v>307</v>
      </c>
      <c r="C111" s="98">
        <v>28119</v>
      </c>
      <c r="D111" s="98" t="s">
        <v>75</v>
      </c>
      <c r="E111" s="151"/>
      <c r="F111" s="160" t="s">
        <v>311</v>
      </c>
      <c r="G111" s="160" t="s">
        <v>68</v>
      </c>
      <c r="H111" s="160" t="s">
        <v>312</v>
      </c>
      <c r="I111" s="161">
        <v>4916</v>
      </c>
      <c r="J111" s="161">
        <v>8</v>
      </c>
      <c r="K111" s="151" t="s">
        <v>164</v>
      </c>
      <c r="L111" s="151"/>
      <c r="M111" s="151"/>
      <c r="N111" s="151"/>
    </row>
    <row r="112" spans="1:14" ht="18" customHeight="1">
      <c r="A112" s="159" t="s">
        <v>184</v>
      </c>
      <c r="B112" s="98" t="s">
        <v>310</v>
      </c>
      <c r="C112" s="98">
        <v>28123</v>
      </c>
      <c r="D112" s="98" t="s">
        <v>75</v>
      </c>
      <c r="E112" s="151"/>
      <c r="F112" s="160" t="s">
        <v>313</v>
      </c>
      <c r="G112" s="160" t="s">
        <v>68</v>
      </c>
      <c r="H112" s="160" t="s">
        <v>197</v>
      </c>
      <c r="I112" s="161">
        <v>27503</v>
      </c>
      <c r="J112" s="161">
        <v>2</v>
      </c>
      <c r="K112" s="151" t="s">
        <v>103</v>
      </c>
      <c r="L112" s="151"/>
      <c r="M112" s="151"/>
      <c r="N112" s="151"/>
    </row>
    <row r="113" spans="1:14" ht="18" customHeight="1">
      <c r="A113" s="159" t="s">
        <v>184</v>
      </c>
      <c r="B113" s="98" t="s">
        <v>312</v>
      </c>
      <c r="C113" s="98">
        <v>28125</v>
      </c>
      <c r="D113" s="98" t="s">
        <v>75</v>
      </c>
      <c r="E113" s="151"/>
      <c r="F113" s="160" t="s">
        <v>314</v>
      </c>
      <c r="G113" s="160" t="s">
        <v>68</v>
      </c>
      <c r="H113" s="160" t="s">
        <v>315</v>
      </c>
      <c r="I113" s="161">
        <v>16491</v>
      </c>
      <c r="J113" s="161">
        <v>8</v>
      </c>
      <c r="K113" s="151" t="s">
        <v>164</v>
      </c>
      <c r="L113" s="151"/>
      <c r="M113" s="151"/>
      <c r="N113" s="151"/>
    </row>
    <row r="114" spans="1:14" ht="18" customHeight="1">
      <c r="A114" s="159" t="s">
        <v>184</v>
      </c>
      <c r="B114" s="98" t="s">
        <v>315</v>
      </c>
      <c r="C114" s="98">
        <v>28129</v>
      </c>
      <c r="D114" s="98" t="s">
        <v>75</v>
      </c>
      <c r="E114" s="151"/>
      <c r="F114" s="160" t="s">
        <v>316</v>
      </c>
      <c r="G114" s="160" t="s">
        <v>68</v>
      </c>
      <c r="H114" s="160" t="s">
        <v>212</v>
      </c>
      <c r="I114" s="161">
        <v>17786</v>
      </c>
      <c r="J114" s="161">
        <v>6</v>
      </c>
      <c r="K114" s="151" t="s">
        <v>107</v>
      </c>
      <c r="L114" s="151"/>
      <c r="M114" s="151"/>
      <c r="N114" s="151"/>
    </row>
    <row r="115" spans="1:14" ht="18" customHeight="1">
      <c r="A115" s="159" t="s">
        <v>184</v>
      </c>
      <c r="B115" s="98" t="s">
        <v>317</v>
      </c>
      <c r="C115" s="98">
        <v>28133</v>
      </c>
      <c r="D115" s="98" t="s">
        <v>75</v>
      </c>
      <c r="E115" s="151"/>
      <c r="F115" s="160" t="s">
        <v>318</v>
      </c>
      <c r="G115" s="160" t="s">
        <v>68</v>
      </c>
      <c r="H115" s="160" t="s">
        <v>317</v>
      </c>
      <c r="I115" s="161">
        <v>29450</v>
      </c>
      <c r="J115" s="161">
        <v>7</v>
      </c>
      <c r="K115" s="151" t="s">
        <v>139</v>
      </c>
      <c r="L115" s="151"/>
      <c r="M115" s="151"/>
      <c r="N115" s="151"/>
    </row>
    <row r="116" spans="1:14" ht="18" customHeight="1">
      <c r="A116" s="159" t="s">
        <v>184</v>
      </c>
      <c r="B116" s="98" t="s">
        <v>319</v>
      </c>
      <c r="C116" s="98">
        <v>28135</v>
      </c>
      <c r="D116" s="98" t="s">
        <v>75</v>
      </c>
      <c r="E116" s="151"/>
      <c r="F116" s="160" t="s">
        <v>320</v>
      </c>
      <c r="G116" s="160" t="s">
        <v>68</v>
      </c>
      <c r="H116" s="160" t="s">
        <v>319</v>
      </c>
      <c r="I116" s="161">
        <v>15378</v>
      </c>
      <c r="J116" s="161">
        <v>7</v>
      </c>
      <c r="K116" s="151" t="s">
        <v>139</v>
      </c>
      <c r="L116" s="151"/>
      <c r="M116" s="151"/>
      <c r="N116" s="151"/>
    </row>
    <row r="117" spans="1:14" ht="18" customHeight="1">
      <c r="A117" s="159" t="s">
        <v>184</v>
      </c>
      <c r="B117" s="98" t="s">
        <v>321</v>
      </c>
      <c r="C117" s="98">
        <v>28137</v>
      </c>
      <c r="D117" s="98" t="s">
        <v>75</v>
      </c>
      <c r="E117" s="151"/>
      <c r="F117" s="160" t="s">
        <v>322</v>
      </c>
      <c r="G117" s="160" t="s">
        <v>68</v>
      </c>
      <c r="H117" s="160" t="s">
        <v>321</v>
      </c>
      <c r="I117" s="161">
        <v>28886</v>
      </c>
      <c r="J117" s="161">
        <v>1</v>
      </c>
      <c r="K117" s="151" t="s">
        <v>159</v>
      </c>
      <c r="L117" s="151"/>
      <c r="M117" s="151"/>
      <c r="N117" s="151"/>
    </row>
    <row r="118" spans="1:14" ht="18" customHeight="1">
      <c r="A118" s="159" t="s">
        <v>184</v>
      </c>
      <c r="B118" s="98" t="s">
        <v>323</v>
      </c>
      <c r="C118" s="98">
        <v>28139</v>
      </c>
      <c r="D118" s="98" t="s">
        <v>75</v>
      </c>
      <c r="E118" s="151"/>
      <c r="F118" s="160" t="s">
        <v>324</v>
      </c>
      <c r="G118" s="160" t="s">
        <v>68</v>
      </c>
      <c r="H118" s="160" t="s">
        <v>323</v>
      </c>
      <c r="I118" s="161">
        <v>22232</v>
      </c>
      <c r="J118" s="161">
        <v>6</v>
      </c>
      <c r="K118" s="151" t="s">
        <v>107</v>
      </c>
      <c r="L118" s="151"/>
      <c r="M118" s="151"/>
      <c r="N118" s="151"/>
    </row>
    <row r="119" spans="1:14" ht="18" customHeight="1">
      <c r="A119" s="159" t="s">
        <v>184</v>
      </c>
      <c r="B119" s="98" t="s">
        <v>325</v>
      </c>
      <c r="C119" s="98">
        <v>28141</v>
      </c>
      <c r="D119" s="98" t="s">
        <v>75</v>
      </c>
      <c r="E119" s="151"/>
      <c r="F119" s="160" t="s">
        <v>326</v>
      </c>
      <c r="G119" s="160" t="s">
        <v>68</v>
      </c>
      <c r="H119" s="160" t="s">
        <v>325</v>
      </c>
      <c r="I119" s="161">
        <v>19593</v>
      </c>
      <c r="J119" s="161">
        <v>8</v>
      </c>
      <c r="K119" s="151" t="s">
        <v>164</v>
      </c>
      <c r="L119" s="151"/>
      <c r="M119" s="151"/>
      <c r="N119" s="151"/>
    </row>
    <row r="120" spans="1:14" ht="18" customHeight="1">
      <c r="A120" s="159" t="s">
        <v>184</v>
      </c>
      <c r="B120" s="98" t="s">
        <v>327</v>
      </c>
      <c r="C120" s="98">
        <v>28143</v>
      </c>
      <c r="D120" s="98" t="s">
        <v>75</v>
      </c>
      <c r="E120" s="151"/>
      <c r="F120" s="160" t="s">
        <v>328</v>
      </c>
      <c r="G120" s="160" t="s">
        <v>68</v>
      </c>
      <c r="H120" s="160" t="s">
        <v>327</v>
      </c>
      <c r="I120" s="161">
        <v>10778</v>
      </c>
      <c r="J120" s="161">
        <v>1</v>
      </c>
      <c r="K120" s="151" t="s">
        <v>159</v>
      </c>
      <c r="L120" s="151"/>
      <c r="M120" s="151"/>
      <c r="N120" s="151"/>
    </row>
    <row r="121" spans="1:14" ht="18" customHeight="1">
      <c r="A121" s="159" t="s">
        <v>184</v>
      </c>
      <c r="B121" s="98" t="s">
        <v>329</v>
      </c>
      <c r="C121" s="98">
        <v>28145</v>
      </c>
      <c r="D121" s="98" t="s">
        <v>75</v>
      </c>
      <c r="E121" s="151"/>
      <c r="F121" s="160" t="s">
        <v>330</v>
      </c>
      <c r="G121" s="160" t="s">
        <v>68</v>
      </c>
      <c r="H121" s="160" t="s">
        <v>329</v>
      </c>
      <c r="I121" s="161">
        <v>27134</v>
      </c>
      <c r="J121" s="161">
        <v>6</v>
      </c>
      <c r="K121" s="151" t="s">
        <v>107</v>
      </c>
      <c r="L121" s="151"/>
      <c r="M121" s="151"/>
      <c r="N121" s="151"/>
    </row>
    <row r="122" spans="1:14" ht="18" customHeight="1">
      <c r="A122" s="159" t="s">
        <v>184</v>
      </c>
      <c r="B122" s="98" t="s">
        <v>331</v>
      </c>
      <c r="C122" s="98">
        <v>28147</v>
      </c>
      <c r="D122" s="98" t="s">
        <v>75</v>
      </c>
      <c r="E122" s="151"/>
      <c r="F122" s="160" t="s">
        <v>332</v>
      </c>
      <c r="G122" s="160" t="s">
        <v>68</v>
      </c>
      <c r="H122" s="160" t="s">
        <v>331</v>
      </c>
      <c r="I122" s="161">
        <v>15443</v>
      </c>
      <c r="J122" s="161">
        <v>9</v>
      </c>
      <c r="K122" s="151" t="s">
        <v>134</v>
      </c>
      <c r="L122" s="151"/>
      <c r="M122" s="151"/>
      <c r="N122" s="151"/>
    </row>
    <row r="123" spans="1:14" ht="18" customHeight="1">
      <c r="A123" s="159" t="s">
        <v>184</v>
      </c>
      <c r="B123" s="98" t="s">
        <v>333</v>
      </c>
      <c r="C123" s="98">
        <v>28151</v>
      </c>
      <c r="D123" s="98" t="s">
        <v>75</v>
      </c>
      <c r="E123" s="151"/>
      <c r="F123" s="160" t="s">
        <v>334</v>
      </c>
      <c r="G123" s="160" t="s">
        <v>68</v>
      </c>
      <c r="H123" s="160" t="s">
        <v>191</v>
      </c>
      <c r="I123" s="161">
        <v>48773</v>
      </c>
      <c r="J123" s="161">
        <v>4</v>
      </c>
      <c r="K123" s="151" t="s">
        <v>259</v>
      </c>
      <c r="L123" s="151"/>
      <c r="M123" s="151"/>
      <c r="N123" s="151"/>
    </row>
    <row r="124" spans="1:14" ht="18" customHeight="1">
      <c r="A124" s="159" t="s">
        <v>184</v>
      </c>
      <c r="B124" s="98" t="s">
        <v>335</v>
      </c>
      <c r="C124" s="98">
        <v>28153</v>
      </c>
      <c r="D124" s="98" t="s">
        <v>75</v>
      </c>
      <c r="E124" s="151"/>
      <c r="F124" s="160" t="s">
        <v>336</v>
      </c>
      <c r="G124" s="160" t="s">
        <v>68</v>
      </c>
      <c r="H124" s="160" t="s">
        <v>333</v>
      </c>
      <c r="I124" s="161">
        <v>51137</v>
      </c>
      <c r="J124" s="161">
        <v>5</v>
      </c>
      <c r="K124" s="151" t="s">
        <v>178</v>
      </c>
      <c r="L124" s="151"/>
      <c r="M124" s="151"/>
      <c r="N124" s="151"/>
    </row>
    <row r="125" spans="1:14" ht="18" customHeight="1">
      <c r="A125" s="159" t="s">
        <v>184</v>
      </c>
      <c r="B125" s="98" t="s">
        <v>337</v>
      </c>
      <c r="C125" s="98">
        <v>28155</v>
      </c>
      <c r="D125" s="98" t="s">
        <v>75</v>
      </c>
      <c r="E125" s="151"/>
      <c r="F125" s="160" t="s">
        <v>338</v>
      </c>
      <c r="G125" s="160" t="s">
        <v>68</v>
      </c>
      <c r="H125" s="160" t="s">
        <v>335</v>
      </c>
      <c r="I125" s="161">
        <v>20747</v>
      </c>
      <c r="J125" s="161">
        <v>7</v>
      </c>
      <c r="K125" s="151" t="s">
        <v>139</v>
      </c>
      <c r="L125" s="151"/>
      <c r="M125" s="151"/>
      <c r="N125" s="151"/>
    </row>
    <row r="126" spans="1:14" ht="18" customHeight="1">
      <c r="A126" s="159" t="s">
        <v>184</v>
      </c>
      <c r="B126" s="98" t="s">
        <v>339</v>
      </c>
      <c r="C126" s="98">
        <v>28157</v>
      </c>
      <c r="D126" s="98" t="s">
        <v>75</v>
      </c>
      <c r="E126" s="151"/>
      <c r="F126" s="160" t="s">
        <v>340</v>
      </c>
      <c r="G126" s="160" t="s">
        <v>68</v>
      </c>
      <c r="H126" s="160" t="s">
        <v>337</v>
      </c>
      <c r="I126" s="161">
        <v>10253</v>
      </c>
      <c r="J126" s="161">
        <v>9</v>
      </c>
      <c r="K126" s="151" t="s">
        <v>134</v>
      </c>
      <c r="L126" s="151"/>
      <c r="M126" s="151"/>
      <c r="N126" s="151"/>
    </row>
    <row r="127" spans="1:14" ht="18" customHeight="1">
      <c r="A127" s="159" t="s">
        <v>184</v>
      </c>
      <c r="B127" s="98" t="s">
        <v>341</v>
      </c>
      <c r="C127" s="98">
        <v>28159</v>
      </c>
      <c r="D127" s="98" t="s">
        <v>75</v>
      </c>
      <c r="E127" s="151"/>
      <c r="F127" s="160" t="s">
        <v>342</v>
      </c>
      <c r="G127" s="160" t="s">
        <v>68</v>
      </c>
      <c r="H127" s="160" t="s">
        <v>339</v>
      </c>
      <c r="I127" s="161">
        <v>9878</v>
      </c>
      <c r="J127" s="161">
        <v>8</v>
      </c>
      <c r="K127" s="151" t="s">
        <v>164</v>
      </c>
      <c r="L127" s="151"/>
      <c r="M127" s="151"/>
      <c r="N127" s="151"/>
    </row>
    <row r="128" spans="1:14" ht="18" customHeight="1">
      <c r="A128" s="159" t="s">
        <v>184</v>
      </c>
      <c r="B128" s="98" t="s">
        <v>343</v>
      </c>
      <c r="C128" s="98">
        <v>28161</v>
      </c>
      <c r="D128" s="98" t="s">
        <v>75</v>
      </c>
      <c r="E128" s="151"/>
      <c r="F128" s="160" t="s">
        <v>344</v>
      </c>
      <c r="G128" s="160" t="s">
        <v>68</v>
      </c>
      <c r="H128" s="160" t="s">
        <v>341</v>
      </c>
      <c r="I128" s="161">
        <v>19198</v>
      </c>
      <c r="J128" s="161">
        <v>7</v>
      </c>
      <c r="K128" s="151" t="s">
        <v>139</v>
      </c>
      <c r="L128" s="151"/>
      <c r="M128" s="151"/>
      <c r="N128" s="151"/>
    </row>
    <row r="129" spans="1:14" ht="18" customHeight="1">
      <c r="A129" s="159" t="s">
        <v>184</v>
      </c>
      <c r="B129" s="98" t="s">
        <v>345</v>
      </c>
      <c r="C129" s="98">
        <v>28163</v>
      </c>
      <c r="D129" s="98" t="s">
        <v>75</v>
      </c>
      <c r="E129" s="151"/>
      <c r="F129" s="160" t="s">
        <v>346</v>
      </c>
      <c r="G129" s="160" t="s">
        <v>68</v>
      </c>
      <c r="H129" s="160" t="s">
        <v>343</v>
      </c>
      <c r="I129" s="161">
        <v>12678</v>
      </c>
      <c r="J129" s="161">
        <v>7</v>
      </c>
      <c r="K129" s="151" t="s">
        <v>139</v>
      </c>
      <c r="L129" s="151"/>
      <c r="M129" s="151"/>
      <c r="N129" s="151"/>
    </row>
    <row r="130" spans="1:14" ht="18" customHeight="1">
      <c r="A130" s="151"/>
      <c r="B130" s="151"/>
      <c r="C130" s="151"/>
      <c r="D130" s="151"/>
      <c r="E130" s="151"/>
      <c r="F130" s="160" t="s">
        <v>347</v>
      </c>
      <c r="G130" s="160" t="s">
        <v>68</v>
      </c>
      <c r="H130" s="160" t="s">
        <v>345</v>
      </c>
      <c r="I130" s="161">
        <v>28065</v>
      </c>
      <c r="J130" s="161">
        <v>2</v>
      </c>
      <c r="K130" s="151" t="s">
        <v>103</v>
      </c>
      <c r="L130" s="151"/>
      <c r="M130" s="151"/>
      <c r="N130" s="1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249977111117893"/>
  </sheetPr>
  <dimension ref="A1:CM1377"/>
  <sheetViews>
    <sheetView showGridLines="0" workbookViewId="0"/>
  </sheetViews>
  <sheetFormatPr defaultColWidth="9.125" defaultRowHeight="15"/>
  <cols>
    <col min="1" max="16384" width="9.125" style="18"/>
  </cols>
  <sheetData>
    <row r="1" spans="1:91" s="19" customFormat="1" ht="30.75" customHeight="1">
      <c r="I1" s="44" t="s">
        <v>4347</v>
      </c>
    </row>
    <row r="2" spans="1:91" ht="17.100000000000001" customHeight="1">
      <c r="A2" s="120" t="s">
        <v>349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17"/>
      <c r="CM2" s="17"/>
    </row>
    <row r="3" spans="1:91" ht="17.100000000000001" customHeight="1">
      <c r="A3" s="120" t="s">
        <v>350</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17"/>
      <c r="CM3" s="17"/>
    </row>
    <row r="4" spans="1:91" ht="17.100000000000001" customHeight="1">
      <c r="A4" s="120" t="s">
        <v>351</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17"/>
      <c r="CM4" s="17"/>
    </row>
    <row r="5" spans="1:91" ht="17.100000000000001" customHeight="1">
      <c r="A5" s="120"/>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17"/>
      <c r="CM5" s="17"/>
    </row>
    <row r="6" spans="1:91" ht="17.100000000000001" customHeight="1">
      <c r="A6" s="120" t="s">
        <v>352</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17"/>
      <c r="CM6" s="17"/>
    </row>
    <row r="7" spans="1:91" ht="17.100000000000001" customHeight="1">
      <c r="A7" s="120"/>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17"/>
      <c r="CM7" s="17"/>
    </row>
    <row r="8" spans="1:91" ht="17.100000000000001" customHeight="1">
      <c r="A8" s="120" t="s">
        <v>353</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17"/>
      <c r="CM8" s="17"/>
    </row>
    <row r="9" spans="1:91" ht="17.100000000000001" customHeight="1">
      <c r="A9" s="120" t="s">
        <v>354</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17"/>
      <c r="CM9" s="17"/>
    </row>
    <row r="10" spans="1:91" ht="17.100000000000001" customHeight="1">
      <c r="A10" s="120" t="s">
        <v>355</v>
      </c>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17"/>
      <c r="CM10" s="17"/>
    </row>
    <row r="11" spans="1:91" ht="17.100000000000001" customHeight="1">
      <c r="A11" s="120"/>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17"/>
      <c r="CM11" s="17"/>
    </row>
    <row r="12" spans="1:91" ht="17.100000000000001" customHeight="1">
      <c r="A12" s="120" t="s">
        <v>356</v>
      </c>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17"/>
      <c r="CM12" s="17"/>
    </row>
    <row r="13" spans="1:91" ht="17.100000000000001" customHeight="1">
      <c r="A13" s="120" t="s">
        <v>357</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17"/>
      <c r="CM13" s="17"/>
    </row>
    <row r="14" spans="1:91" ht="17.100000000000001" customHeight="1">
      <c r="A14" s="120" t="s">
        <v>358</v>
      </c>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17"/>
      <c r="CM14" s="17"/>
    </row>
    <row r="15" spans="1:91" ht="17.100000000000001" customHeight="1">
      <c r="A15" s="120"/>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17"/>
      <c r="CM15" s="17"/>
    </row>
    <row r="16" spans="1:91" ht="17.100000000000001" customHeight="1">
      <c r="A16" s="120" t="s">
        <v>359</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17"/>
      <c r="CM16" s="17"/>
    </row>
    <row r="17" spans="1:91" ht="17.100000000000001" customHeight="1">
      <c r="A17" s="120" t="s">
        <v>360</v>
      </c>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17"/>
      <c r="CM17" s="17"/>
    </row>
    <row r="18" spans="1:91" ht="17.100000000000001" customHeight="1">
      <c r="A18" s="120" t="s">
        <v>361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17"/>
      <c r="CM18" s="17"/>
    </row>
    <row r="19" spans="1:91" ht="17.100000000000001" customHeight="1">
      <c r="A19" s="120" t="s">
        <v>362</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17"/>
      <c r="CM19" s="17"/>
    </row>
    <row r="20" spans="1:91" ht="17.100000000000001" customHeight="1">
      <c r="A20" s="12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17"/>
      <c r="CM20" s="17"/>
    </row>
    <row r="21" spans="1:91" ht="17.100000000000001" customHeight="1">
      <c r="A21" s="120" t="s">
        <v>363</v>
      </c>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17"/>
      <c r="CM21" s="17"/>
    </row>
    <row r="22" spans="1:91" ht="17.100000000000001" customHeight="1">
      <c r="A22" s="120" t="s">
        <v>364</v>
      </c>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17"/>
      <c r="CM22" s="17"/>
    </row>
    <row r="23" spans="1:91" ht="17.100000000000001" customHeight="1">
      <c r="A23" s="120" t="s">
        <v>365</v>
      </c>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17"/>
      <c r="CM23" s="17"/>
    </row>
    <row r="24" spans="1:91" ht="17.100000000000001" customHeight="1">
      <c r="A24" s="120"/>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17"/>
      <c r="CM24" s="17"/>
    </row>
    <row r="25" spans="1:91" ht="17.100000000000001" customHeight="1">
      <c r="A25" s="120" t="s">
        <v>366</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17"/>
      <c r="CM25" s="17"/>
    </row>
    <row r="26" spans="1:91" ht="17.100000000000001" customHeight="1">
      <c r="A26" s="120" t="s">
        <v>367</v>
      </c>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17"/>
      <c r="CM26" s="17"/>
    </row>
    <row r="27" spans="1:91" ht="17.100000000000001" customHeight="1">
      <c r="A27" s="120" t="s">
        <v>368</v>
      </c>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17"/>
      <c r="CM27" s="17"/>
    </row>
    <row r="28" spans="1:91" ht="17.100000000000001" customHeight="1">
      <c r="A28" s="120"/>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17"/>
      <c r="CM28" s="17"/>
    </row>
    <row r="29" spans="1:91" ht="17.100000000000001" customHeight="1">
      <c r="A29" s="120" t="s">
        <v>369</v>
      </c>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17"/>
      <c r="CM29" s="17"/>
    </row>
    <row r="30" spans="1:91" ht="17.100000000000001" customHeight="1">
      <c r="A30" s="120" t="s">
        <v>370</v>
      </c>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17"/>
      <c r="CM30" s="17"/>
    </row>
    <row r="31" spans="1:91" ht="17.100000000000001" customHeight="1">
      <c r="A31" s="120" t="s">
        <v>371</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17"/>
      <c r="CM31" s="17"/>
    </row>
    <row r="32" spans="1:91" ht="17.100000000000001" customHeight="1">
      <c r="A32" s="120"/>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17"/>
      <c r="CM32" s="17"/>
    </row>
    <row r="33" spans="1:91" ht="17.100000000000001" customHeight="1">
      <c r="A33" s="120" t="s">
        <v>372</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17"/>
      <c r="CM33" s="17"/>
    </row>
    <row r="34" spans="1:91" ht="17.100000000000001" customHeight="1">
      <c r="A34" s="120" t="s">
        <v>373</v>
      </c>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17"/>
      <c r="CM34" s="17"/>
    </row>
    <row r="35" spans="1:91" ht="17.100000000000001" customHeight="1">
      <c r="A35" s="120" t="s">
        <v>374</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17"/>
      <c r="CM35" s="17"/>
    </row>
    <row r="36" spans="1:91" ht="17.100000000000001" customHeight="1">
      <c r="A36" s="120"/>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17"/>
      <c r="CM36" s="17"/>
    </row>
    <row r="37" spans="1:91" ht="17.100000000000001" customHeight="1">
      <c r="A37" s="120" t="s">
        <v>375</v>
      </c>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17"/>
      <c r="CM37" s="17"/>
    </row>
    <row r="38" spans="1:91" ht="17.100000000000001" customHeight="1">
      <c r="A38" s="120" t="s">
        <v>376</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17"/>
      <c r="CM38" s="17"/>
    </row>
    <row r="39" spans="1:91" ht="17.100000000000001" customHeight="1">
      <c r="A39" s="120"/>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17"/>
      <c r="CM39" s="17"/>
    </row>
    <row r="40" spans="1:91" ht="17.100000000000001" customHeight="1">
      <c r="A40" s="120"/>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17"/>
      <c r="CM40" s="17"/>
    </row>
    <row r="41" spans="1:91" ht="17.100000000000001" customHeight="1">
      <c r="A41" s="121" t="s">
        <v>348</v>
      </c>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17"/>
      <c r="CM41" s="17"/>
    </row>
    <row r="42" spans="1:91" ht="17.100000000000001" customHeight="1">
      <c r="A42" s="120" t="s">
        <v>350</v>
      </c>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17"/>
      <c r="CM42" s="17"/>
    </row>
    <row r="43" spans="1:91" ht="17.100000000000001" customHeight="1">
      <c r="A43" s="120" t="s">
        <v>377</v>
      </c>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17"/>
      <c r="CM43" s="17"/>
    </row>
    <row r="44" spans="1:91" ht="17.100000000000001" customHeight="1">
      <c r="A44" s="120"/>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17"/>
      <c r="CM44" s="17"/>
    </row>
    <row r="45" spans="1:91" ht="17.100000000000001" customHeight="1">
      <c r="A45" s="120" t="s">
        <v>378</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17"/>
      <c r="CM45" s="17"/>
    </row>
    <row r="46" spans="1:91" ht="17.100000000000001" customHeight="1">
      <c r="A46" s="120"/>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17"/>
      <c r="CM46" s="17"/>
    </row>
    <row r="47" spans="1:91" ht="17.100000000000001" customHeight="1">
      <c r="A47" s="120" t="s">
        <v>379</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17"/>
      <c r="CM47" s="17"/>
    </row>
    <row r="48" spans="1:91" ht="17.100000000000001" customHeight="1">
      <c r="A48" s="120" t="s">
        <v>380</v>
      </c>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17"/>
      <c r="CM48" s="17"/>
    </row>
    <row r="49" spans="1:91" ht="17.100000000000001" customHeight="1">
      <c r="A49" s="120" t="s">
        <v>381</v>
      </c>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17"/>
      <c r="CM49" s="17"/>
    </row>
    <row r="50" spans="1:91" ht="17.100000000000001" customHeight="1">
      <c r="A50" s="120"/>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17"/>
      <c r="CM50" s="17"/>
    </row>
    <row r="51" spans="1:91" ht="17.100000000000001" customHeight="1">
      <c r="A51" s="120" t="s">
        <v>382</v>
      </c>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17"/>
      <c r="CM51" s="17"/>
    </row>
    <row r="52" spans="1:91" ht="17.100000000000001" customHeight="1">
      <c r="A52" s="120" t="s">
        <v>383</v>
      </c>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17"/>
      <c r="CM52" s="17"/>
    </row>
    <row r="53" spans="1:91" ht="17.100000000000001" customHeight="1">
      <c r="A53" s="120" t="s">
        <v>384</v>
      </c>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17"/>
      <c r="CM53" s="17"/>
    </row>
    <row r="54" spans="1:91" ht="17.100000000000001" customHeight="1">
      <c r="A54" s="120" t="s">
        <v>385</v>
      </c>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17"/>
      <c r="CM54" s="17"/>
    </row>
    <row r="55" spans="1:91" ht="17.100000000000001" customHeight="1">
      <c r="A55" s="120"/>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17"/>
      <c r="CM55" s="17"/>
    </row>
    <row r="56" spans="1:91" ht="17.100000000000001" customHeight="1">
      <c r="A56" s="120" t="s">
        <v>386</v>
      </c>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17"/>
      <c r="CM56" s="17"/>
    </row>
    <row r="57" spans="1:91" ht="17.100000000000001" customHeight="1">
      <c r="A57" s="120" t="s">
        <v>387</v>
      </c>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17"/>
      <c r="CM57" s="17"/>
    </row>
    <row r="58" spans="1:91" ht="17.100000000000001" customHeight="1">
      <c r="A58" s="120" t="s">
        <v>388</v>
      </c>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17"/>
      <c r="CM58" s="17"/>
    </row>
    <row r="59" spans="1:91" ht="17.100000000000001" customHeight="1">
      <c r="A59" s="120" t="s">
        <v>389</v>
      </c>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17"/>
      <c r="CM59" s="17"/>
    </row>
    <row r="60" spans="1:91" ht="17.100000000000001" customHeight="1">
      <c r="A60" s="120" t="s">
        <v>390</v>
      </c>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17"/>
      <c r="CM60" s="17"/>
    </row>
    <row r="61" spans="1:91" ht="17.100000000000001" customHeight="1">
      <c r="A61" s="120"/>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17"/>
      <c r="CM61" s="17"/>
    </row>
    <row r="62" spans="1:91" ht="17.100000000000001" customHeight="1">
      <c r="A62" s="120" t="s">
        <v>391</v>
      </c>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17"/>
      <c r="CM62" s="17"/>
    </row>
    <row r="63" spans="1:91" ht="17.100000000000001" customHeight="1">
      <c r="A63" s="120" t="s">
        <v>392</v>
      </c>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17"/>
      <c r="CM63" s="17"/>
    </row>
    <row r="64" spans="1:91" ht="17.100000000000001" customHeight="1">
      <c r="A64" s="120" t="s">
        <v>393</v>
      </c>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17"/>
      <c r="CM64" s="17"/>
    </row>
    <row r="65" spans="1:91" ht="17.100000000000001" customHeight="1">
      <c r="A65" s="120" t="s">
        <v>394</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17"/>
      <c r="CM65" s="17"/>
    </row>
    <row r="66" spans="1:91" ht="17.100000000000001" customHeight="1">
      <c r="A66" s="120" t="s">
        <v>395</v>
      </c>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17"/>
      <c r="CM66" s="17"/>
    </row>
    <row r="67" spans="1:91" ht="17.100000000000001" customHeight="1">
      <c r="A67" s="120" t="s">
        <v>396</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17"/>
      <c r="CM67" s="17"/>
    </row>
    <row r="68" spans="1:91" ht="17.100000000000001" customHeight="1">
      <c r="A68" s="120" t="s">
        <v>397</v>
      </c>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17"/>
      <c r="CM68" s="17"/>
    </row>
    <row r="69" spans="1:91" ht="17.100000000000001" customHeight="1">
      <c r="A69" s="120" t="s">
        <v>398</v>
      </c>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17"/>
      <c r="CM69" s="17"/>
    </row>
    <row r="70" spans="1:91" ht="17.100000000000001" customHeight="1">
      <c r="A70" s="120" t="s">
        <v>399</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17"/>
      <c r="CM70" s="17"/>
    </row>
    <row r="71" spans="1:91" ht="17.100000000000001" customHeight="1">
      <c r="A71" s="120" t="s">
        <v>400</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17"/>
      <c r="CM71" s="17"/>
    </row>
    <row r="72" spans="1:91" ht="17.100000000000001" customHeight="1">
      <c r="A72" s="120" t="s">
        <v>401</v>
      </c>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17"/>
      <c r="CM72" s="17"/>
    </row>
    <row r="73" spans="1:91" ht="17.100000000000001" customHeight="1">
      <c r="A73" s="120" t="s">
        <v>402</v>
      </c>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17"/>
      <c r="CM73" s="17"/>
    </row>
    <row r="74" spans="1:91" ht="17.100000000000001" customHeight="1">
      <c r="A74" s="120" t="s">
        <v>403</v>
      </c>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17"/>
      <c r="CM74" s="17"/>
    </row>
    <row r="75" spans="1:91" ht="17.100000000000001" customHeight="1">
      <c r="A75" s="120" t="s">
        <v>404</v>
      </c>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17"/>
      <c r="CM75" s="17"/>
    </row>
    <row r="76" spans="1:91" ht="17.100000000000001" customHeight="1">
      <c r="A76" s="120" t="s">
        <v>405</v>
      </c>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17"/>
      <c r="CM76" s="17"/>
    </row>
    <row r="77" spans="1:91" ht="17.100000000000001" customHeight="1">
      <c r="A77" s="120" t="s">
        <v>406</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17"/>
      <c r="CM77" s="17"/>
    </row>
    <row r="78" spans="1:91" ht="17.100000000000001" customHeight="1">
      <c r="A78" s="120" t="s">
        <v>407</v>
      </c>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17"/>
      <c r="CM78" s="17"/>
    </row>
    <row r="79" spans="1:91" ht="17.100000000000001" customHeight="1">
      <c r="A79" s="120" t="s">
        <v>408</v>
      </c>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17"/>
      <c r="CM79" s="17"/>
    </row>
    <row r="80" spans="1:91" ht="17.100000000000001" customHeight="1">
      <c r="A80" s="120" t="s">
        <v>409</v>
      </c>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17"/>
      <c r="CM80" s="17"/>
    </row>
    <row r="81" spans="1:91" ht="17.100000000000001" customHeight="1">
      <c r="A81" s="120"/>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17"/>
      <c r="CM81" s="17"/>
    </row>
    <row r="82" spans="1:91" ht="17.100000000000001" customHeight="1">
      <c r="A82" s="120" t="s">
        <v>410</v>
      </c>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17"/>
      <c r="CM82" s="17"/>
    </row>
    <row r="83" spans="1:91" ht="17.100000000000001" customHeight="1">
      <c r="A83" s="120"/>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17"/>
      <c r="CM83" s="17"/>
    </row>
    <row r="84" spans="1:91" ht="17.100000000000001" customHeight="1">
      <c r="A84" s="120" t="s">
        <v>411</v>
      </c>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17"/>
      <c r="CM84" s="17"/>
    </row>
    <row r="85" spans="1:91" ht="17.100000000000001" customHeight="1">
      <c r="A85" s="120" t="s">
        <v>412</v>
      </c>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17"/>
      <c r="CM85" s="17"/>
    </row>
    <row r="86" spans="1:91" ht="17.100000000000001" customHeight="1">
      <c r="A86" s="120"/>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17"/>
      <c r="CM86" s="17"/>
    </row>
    <row r="87" spans="1:91" ht="17.100000000000001" customHeight="1">
      <c r="A87" s="120" t="s">
        <v>413</v>
      </c>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17"/>
      <c r="CM87" s="17"/>
    </row>
    <row r="88" spans="1:91" ht="17.100000000000001" customHeight="1">
      <c r="A88" s="120" t="s">
        <v>414</v>
      </c>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17"/>
      <c r="CM88" s="17"/>
    </row>
    <row r="89" spans="1:91" ht="17.100000000000001" customHeight="1">
      <c r="A89" s="120"/>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17"/>
      <c r="CM89" s="17"/>
    </row>
    <row r="90" spans="1:91" ht="17.100000000000001" customHeight="1">
      <c r="A90" s="120" t="s">
        <v>415</v>
      </c>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17"/>
      <c r="CM90" s="17"/>
    </row>
    <row r="91" spans="1:91" ht="17.100000000000001" customHeight="1">
      <c r="A91" s="120" t="s">
        <v>416</v>
      </c>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17"/>
      <c r="CM91" s="17"/>
    </row>
    <row r="92" spans="1:91" ht="17.100000000000001" customHeight="1">
      <c r="A92" s="120"/>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17"/>
      <c r="CM92" s="17"/>
    </row>
    <row r="93" spans="1:91" ht="17.100000000000001" customHeight="1">
      <c r="A93" s="120" t="s">
        <v>417</v>
      </c>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17"/>
      <c r="CM93" s="17"/>
    </row>
    <row r="94" spans="1:91" ht="17.100000000000001" customHeight="1">
      <c r="A94" s="120" t="s">
        <v>418</v>
      </c>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17"/>
      <c r="CM94" s="17"/>
    </row>
    <row r="95" spans="1:91" ht="17.100000000000001" customHeight="1">
      <c r="A95" s="120"/>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17"/>
      <c r="CM95" s="17"/>
    </row>
    <row r="96" spans="1:91" ht="17.100000000000001" customHeight="1">
      <c r="A96" s="120" t="s">
        <v>419</v>
      </c>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17"/>
      <c r="CM96" s="17"/>
    </row>
    <row r="97" spans="1:91" ht="17.100000000000001" customHeight="1">
      <c r="A97" s="120" t="s">
        <v>420</v>
      </c>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17"/>
      <c r="CM97" s="17"/>
    </row>
    <row r="98" spans="1:91" ht="17.100000000000001" customHeight="1">
      <c r="A98" s="120" t="s">
        <v>421</v>
      </c>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17"/>
      <c r="CM98" s="17"/>
    </row>
    <row r="99" spans="1:91" ht="17.100000000000001" customHeight="1">
      <c r="A99" s="120" t="s">
        <v>422</v>
      </c>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17"/>
      <c r="CM99" s="17"/>
    </row>
    <row r="100" spans="1:91" ht="17.100000000000001" customHeight="1">
      <c r="A100" s="120" t="s">
        <v>423</v>
      </c>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17"/>
      <c r="CM100" s="17"/>
    </row>
    <row r="101" spans="1:91" ht="17.100000000000001" customHeight="1">
      <c r="A101" s="120" t="s">
        <v>424</v>
      </c>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17"/>
      <c r="CM101" s="17"/>
    </row>
    <row r="102" spans="1:91" ht="17.100000000000001" customHeight="1">
      <c r="A102" s="120" t="s">
        <v>425</v>
      </c>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17"/>
      <c r="CM102" s="17"/>
    </row>
    <row r="103" spans="1:91" ht="17.100000000000001" customHeight="1">
      <c r="A103" s="120" t="s">
        <v>426</v>
      </c>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17"/>
      <c r="CM103" s="17"/>
    </row>
    <row r="104" spans="1:91" ht="17.100000000000001" customHeight="1">
      <c r="A104" s="120" t="s">
        <v>427</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17"/>
      <c r="CM104" s="17"/>
    </row>
    <row r="105" spans="1:91" ht="17.100000000000001" customHeight="1">
      <c r="A105" s="120" t="s">
        <v>428</v>
      </c>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17"/>
      <c r="CM105" s="17"/>
    </row>
    <row r="106" spans="1:91" ht="17.100000000000001" customHeight="1">
      <c r="A106" s="120" t="s">
        <v>429</v>
      </c>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17"/>
      <c r="CM106" s="17"/>
    </row>
    <row r="107" spans="1:91" ht="17.100000000000001" customHeight="1">
      <c r="A107" s="120" t="s">
        <v>430</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17"/>
      <c r="CM107" s="17"/>
    </row>
    <row r="108" spans="1:91" ht="17.100000000000001" customHeight="1">
      <c r="A108" s="120" t="s">
        <v>431</v>
      </c>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17"/>
      <c r="CM108" s="17"/>
    </row>
    <row r="109" spans="1:91" ht="17.100000000000001" customHeight="1">
      <c r="A109" s="120"/>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17"/>
      <c r="CM109" s="17"/>
    </row>
    <row r="110" spans="1:91" ht="17.100000000000001" customHeight="1">
      <c r="A110" s="120" t="s">
        <v>432</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17"/>
      <c r="CM110" s="17"/>
    </row>
    <row r="111" spans="1:91" ht="17.100000000000001" customHeight="1">
      <c r="A111" s="120" t="s">
        <v>433</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17"/>
      <c r="CM111" s="17"/>
    </row>
    <row r="112" spans="1:91" ht="17.100000000000001" customHeight="1">
      <c r="A112" s="120" t="s">
        <v>434</v>
      </c>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17"/>
      <c r="CM112" s="17"/>
    </row>
    <row r="113" spans="1:91" ht="17.100000000000001" customHeight="1">
      <c r="A113" s="120" t="s">
        <v>435</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17"/>
      <c r="CM113" s="17"/>
    </row>
    <row r="114" spans="1:91" ht="17.100000000000001" customHeight="1">
      <c r="A114" s="120" t="s">
        <v>436</v>
      </c>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17"/>
      <c r="CM114" s="17"/>
    </row>
    <row r="115" spans="1:91" ht="17.100000000000001" customHeight="1">
      <c r="A115" s="120" t="s">
        <v>437</v>
      </c>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17"/>
      <c r="CM115" s="17"/>
    </row>
    <row r="116" spans="1:91" ht="17.100000000000001" customHeight="1">
      <c r="A116" s="120" t="s">
        <v>438</v>
      </c>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17"/>
      <c r="CM116" s="17"/>
    </row>
    <row r="117" spans="1:91" ht="17.100000000000001" customHeight="1">
      <c r="A117" s="120" t="s">
        <v>439</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17"/>
      <c r="CM117" s="17"/>
    </row>
    <row r="118" spans="1:91" ht="17.100000000000001" customHeight="1">
      <c r="A118" s="120" t="s">
        <v>440</v>
      </c>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17"/>
      <c r="CM118" s="17"/>
    </row>
    <row r="119" spans="1:91" ht="17.100000000000001" customHeight="1">
      <c r="A119" s="120" t="s">
        <v>441</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17"/>
      <c r="CM119" s="17"/>
    </row>
    <row r="120" spans="1:91" ht="17.100000000000001" customHeight="1">
      <c r="A120" s="120" t="s">
        <v>442</v>
      </c>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17"/>
      <c r="CM120" s="17"/>
    </row>
    <row r="121" spans="1:91" ht="17.100000000000001" customHeight="1">
      <c r="A121" s="120" t="s">
        <v>443</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17"/>
      <c r="CM121" s="17"/>
    </row>
    <row r="122" spans="1:91" ht="17.100000000000001" customHeight="1">
      <c r="A122" s="120"/>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17"/>
      <c r="CM122" s="17"/>
    </row>
    <row r="123" spans="1:91" ht="17.100000000000001" customHeight="1">
      <c r="A123" s="120" t="s">
        <v>444</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17"/>
      <c r="CM123" s="17"/>
    </row>
    <row r="124" spans="1:91" ht="17.100000000000001" customHeight="1">
      <c r="A124" s="120" t="s">
        <v>445</v>
      </c>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17"/>
      <c r="CM124" s="17"/>
    </row>
    <row r="125" spans="1:91" ht="17.100000000000001" customHeight="1">
      <c r="A125" s="120" t="s">
        <v>446</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17"/>
      <c r="CM125" s="17"/>
    </row>
    <row r="126" spans="1:91" ht="17.100000000000001" customHeight="1">
      <c r="A126" s="120"/>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17"/>
      <c r="CM126" s="17"/>
    </row>
    <row r="127" spans="1:91" ht="17.100000000000001" customHeight="1">
      <c r="A127" s="120" t="s">
        <v>447</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17"/>
      <c r="CM127" s="17"/>
    </row>
    <row r="128" spans="1:91" ht="17.100000000000001" customHeight="1">
      <c r="A128" s="120" t="s">
        <v>448</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17"/>
      <c r="CM128" s="17"/>
    </row>
    <row r="129" spans="1:91" ht="17.100000000000001" customHeight="1">
      <c r="A129" s="120" t="s">
        <v>433</v>
      </c>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17"/>
      <c r="CM129" s="17"/>
    </row>
    <row r="130" spans="1:91" ht="17.100000000000001" customHeight="1">
      <c r="A130" s="120" t="s">
        <v>434</v>
      </c>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17"/>
      <c r="CM130" s="17"/>
    </row>
    <row r="131" spans="1:91" ht="17.100000000000001" customHeight="1">
      <c r="A131" s="120" t="s">
        <v>449</v>
      </c>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17"/>
      <c r="CM131" s="17"/>
    </row>
    <row r="132" spans="1:91" ht="17.100000000000001" customHeight="1">
      <c r="A132" s="120" t="s">
        <v>450</v>
      </c>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17"/>
      <c r="CM132" s="17"/>
    </row>
    <row r="133" spans="1:91" ht="17.100000000000001" customHeight="1">
      <c r="A133" s="120" t="s">
        <v>439</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17"/>
      <c r="CM133" s="17"/>
    </row>
    <row r="134" spans="1:91" ht="17.100000000000001" customHeight="1">
      <c r="A134" s="120" t="s">
        <v>451</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17"/>
      <c r="CM134" s="17"/>
    </row>
    <row r="135" spans="1:91" ht="17.100000000000001" customHeight="1">
      <c r="A135" s="120" t="s">
        <v>443</v>
      </c>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17"/>
      <c r="CM135" s="17"/>
    </row>
    <row r="136" spans="1:91" ht="17.100000000000001" customHeight="1">
      <c r="A136" s="120"/>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17"/>
      <c r="CM136" s="17"/>
    </row>
    <row r="137" spans="1:91" ht="17.100000000000001" customHeight="1">
      <c r="A137" s="120" t="s">
        <v>452</v>
      </c>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17"/>
      <c r="CM137" s="17"/>
    </row>
    <row r="138" spans="1:91" ht="17.100000000000001" customHeight="1">
      <c r="A138" s="120" t="s">
        <v>453</v>
      </c>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17"/>
      <c r="CM138" s="17"/>
    </row>
    <row r="139" spans="1:91" ht="17.100000000000001" customHeight="1">
      <c r="A139" s="120" t="s">
        <v>454</v>
      </c>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17"/>
      <c r="CM139" s="17"/>
    </row>
    <row r="140" spans="1:91" ht="17.100000000000001" customHeight="1">
      <c r="A140" s="121" t="s">
        <v>348</v>
      </c>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17"/>
      <c r="CM140" s="17"/>
    </row>
    <row r="141" spans="1:91" ht="17.100000000000001" customHeight="1">
      <c r="A141" s="120"/>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17"/>
      <c r="CM141" s="17"/>
    </row>
    <row r="142" spans="1:91" ht="17.100000000000001" customHeight="1">
      <c r="A142" s="120" t="s">
        <v>455</v>
      </c>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17"/>
      <c r="CM142" s="17"/>
    </row>
    <row r="143" spans="1:91" ht="17.100000000000001" customHeight="1">
      <c r="A143" s="120" t="s">
        <v>456</v>
      </c>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17"/>
      <c r="CM143" s="17"/>
    </row>
    <row r="144" spans="1:91" ht="17.100000000000001" customHeight="1">
      <c r="A144" s="120" t="s">
        <v>457</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17"/>
      <c r="CM144" s="17"/>
    </row>
    <row r="145" spans="1:91" ht="17.100000000000001" customHeight="1">
      <c r="A145" s="120" t="s">
        <v>458</v>
      </c>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17"/>
      <c r="CM145" s="17"/>
    </row>
    <row r="146" spans="1:91" ht="17.100000000000001" customHeight="1">
      <c r="A146" s="120" t="s">
        <v>459</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17"/>
      <c r="CM146" s="17"/>
    </row>
    <row r="147" spans="1:91" ht="17.100000000000001" customHeight="1">
      <c r="A147" s="120"/>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17"/>
      <c r="CM147" s="17"/>
    </row>
    <row r="148" spans="1:91" ht="17.100000000000001" customHeight="1">
      <c r="A148" s="120" t="s">
        <v>460</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17"/>
      <c r="CM148" s="17"/>
    </row>
    <row r="149" spans="1:91" ht="17.100000000000001" customHeight="1">
      <c r="A149" s="120" t="s">
        <v>461</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17"/>
      <c r="CM149" s="17"/>
    </row>
    <row r="150" spans="1:91" ht="17.100000000000001" customHeight="1">
      <c r="A150" s="120" t="s">
        <v>462</v>
      </c>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17"/>
      <c r="CM150" s="17"/>
    </row>
    <row r="151" spans="1:91" ht="17.100000000000001" customHeight="1">
      <c r="A151" s="120" t="s">
        <v>463</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17"/>
      <c r="CM151" s="17"/>
    </row>
    <row r="152" spans="1:91" ht="17.100000000000001" customHeight="1">
      <c r="A152" s="120" t="s">
        <v>464</v>
      </c>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17"/>
      <c r="CM152" s="17"/>
    </row>
    <row r="153" spans="1:9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17"/>
      <c r="CM153" s="17"/>
    </row>
    <row r="154" spans="1:9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17"/>
      <c r="CM154" s="17"/>
    </row>
    <row r="155" spans="1:9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17"/>
      <c r="CM155" s="17"/>
    </row>
    <row r="156" spans="1:9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17"/>
      <c r="CM156" s="17"/>
    </row>
    <row r="157" spans="1:9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17"/>
      <c r="CM157" s="17"/>
    </row>
    <row r="158" spans="1:9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17"/>
      <c r="CM158" s="17"/>
    </row>
    <row r="159" spans="1:9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17"/>
      <c r="CM159" s="17"/>
    </row>
    <row r="160" spans="1:9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17"/>
      <c r="CM160" s="17"/>
    </row>
    <row r="161" spans="1:9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17"/>
      <c r="CM161" s="17"/>
    </row>
    <row r="162" spans="1:9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17"/>
      <c r="CM162" s="17"/>
    </row>
    <row r="163" spans="1:9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17"/>
      <c r="CM163" s="17"/>
    </row>
    <row r="164" spans="1:9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17"/>
      <c r="CM164" s="17"/>
    </row>
    <row r="165" spans="1:9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17"/>
      <c r="CM165" s="17"/>
    </row>
    <row r="166" spans="1:9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17"/>
      <c r="CM166" s="17"/>
    </row>
    <row r="167" spans="1:9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17"/>
      <c r="CM167" s="17"/>
    </row>
    <row r="168" spans="1:9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17"/>
      <c r="CM168" s="17"/>
    </row>
    <row r="169" spans="1:9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17"/>
      <c r="CM169" s="17"/>
    </row>
    <row r="170" spans="1:9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17"/>
      <c r="CM170" s="17"/>
    </row>
    <row r="171" spans="1:9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17"/>
      <c r="CM171" s="17"/>
    </row>
    <row r="172" spans="1:9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17"/>
      <c r="CM172" s="17"/>
    </row>
    <row r="173" spans="1:9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17"/>
      <c r="CM173" s="17"/>
    </row>
    <row r="174" spans="1:9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17"/>
      <c r="CM174" s="17"/>
    </row>
    <row r="175" spans="1:9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17"/>
      <c r="CM175" s="17"/>
    </row>
    <row r="176" spans="1:9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17"/>
      <c r="CM176" s="17"/>
    </row>
    <row r="177" spans="1:9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17"/>
      <c r="CM177" s="17"/>
    </row>
    <row r="178" spans="1:9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17"/>
      <c r="CM178" s="17"/>
    </row>
    <row r="179" spans="1:9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17"/>
      <c r="CM179" s="17"/>
    </row>
    <row r="180" spans="1:9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17"/>
      <c r="CM180" s="17"/>
    </row>
    <row r="181" spans="1:9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17"/>
      <c r="CM181" s="17"/>
    </row>
    <row r="182" spans="1:9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17"/>
      <c r="CM182" s="17"/>
    </row>
    <row r="183" spans="1:9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17"/>
      <c r="CM183" s="17"/>
    </row>
    <row r="184" spans="1:9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17"/>
      <c r="CM184" s="17"/>
    </row>
    <row r="185" spans="1:9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17"/>
      <c r="CM185" s="17"/>
    </row>
    <row r="186" spans="1:9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17"/>
      <c r="CM186" s="17"/>
    </row>
    <row r="187" spans="1:9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17"/>
      <c r="CM187" s="17"/>
    </row>
    <row r="188" spans="1:9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17"/>
      <c r="CM188" s="17"/>
    </row>
    <row r="189" spans="1:9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17"/>
      <c r="CM189" s="17"/>
    </row>
    <row r="190" spans="1:9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17"/>
      <c r="CM190" s="17"/>
    </row>
    <row r="191" spans="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17"/>
      <c r="CM191" s="17"/>
    </row>
    <row r="192" spans="1:9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17"/>
      <c r="CM192" s="17"/>
    </row>
    <row r="193" spans="1:9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17"/>
      <c r="CM193" s="17"/>
    </row>
    <row r="194" spans="1:9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17"/>
      <c r="CM194" s="17"/>
    </row>
    <row r="195" spans="1:9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17"/>
      <c r="CM195" s="17"/>
    </row>
    <row r="196" spans="1:9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17"/>
      <c r="CM196" s="17"/>
    </row>
    <row r="197" spans="1:9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17"/>
      <c r="CM197" s="17"/>
    </row>
    <row r="198" spans="1:9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17"/>
      <c r="CM198" s="17"/>
    </row>
    <row r="199" spans="1:9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17"/>
      <c r="CM199" s="17"/>
    </row>
    <row r="200" spans="1:9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17"/>
      <c r="CM200" s="17"/>
    </row>
    <row r="201" spans="1:9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17"/>
      <c r="CM201" s="17"/>
    </row>
    <row r="202" spans="1:9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17"/>
      <c r="CM202" s="17"/>
    </row>
    <row r="203" spans="1:9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17"/>
      <c r="CM203" s="17"/>
    </row>
    <row r="204" spans="1:9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17"/>
      <c r="CM204" s="17"/>
    </row>
    <row r="205" spans="1:9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17"/>
      <c r="CM205" s="17"/>
    </row>
    <row r="206" spans="1:9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17"/>
      <c r="CM206" s="17"/>
    </row>
    <row r="207" spans="1:9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17"/>
      <c r="CM207" s="17"/>
    </row>
    <row r="208" spans="1:9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17"/>
      <c r="CM208" s="17"/>
    </row>
    <row r="209" spans="1:9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17"/>
      <c r="CM209" s="17"/>
    </row>
    <row r="210" spans="1:9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17"/>
      <c r="CM210" s="17"/>
    </row>
    <row r="211" spans="1:9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17"/>
      <c r="CM211" s="17"/>
    </row>
    <row r="212" spans="1:9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17"/>
      <c r="CM212" s="17"/>
    </row>
    <row r="213" spans="1:9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17"/>
      <c r="CM213" s="17"/>
    </row>
    <row r="214" spans="1:9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17"/>
      <c r="CM214" s="17"/>
    </row>
    <row r="215" spans="1:9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17"/>
      <c r="CM215" s="17"/>
    </row>
    <row r="216" spans="1:9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17"/>
      <c r="CM216" s="17"/>
    </row>
    <row r="217" spans="1:9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17"/>
      <c r="CM217" s="17"/>
    </row>
    <row r="218" spans="1:9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17"/>
      <c r="CM218" s="17"/>
    </row>
    <row r="219" spans="1:9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17"/>
      <c r="CM219" s="17"/>
    </row>
    <row r="220" spans="1:9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17"/>
      <c r="CM220" s="17"/>
    </row>
    <row r="221" spans="1:9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17"/>
      <c r="CM221" s="17"/>
    </row>
    <row r="222" spans="1:9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17"/>
      <c r="CM222" s="17"/>
    </row>
    <row r="223" spans="1:9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17"/>
      <c r="CM223" s="17"/>
    </row>
    <row r="224" spans="1:9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17"/>
      <c r="CM224" s="17"/>
    </row>
    <row r="225" spans="1:9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17"/>
      <c r="CM225" s="17"/>
    </row>
    <row r="226" spans="1:9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17"/>
      <c r="CM226" s="17"/>
    </row>
    <row r="227" spans="1:9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17"/>
      <c r="CM227" s="17"/>
    </row>
    <row r="228" spans="1:9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17"/>
      <c r="CM228" s="17"/>
    </row>
    <row r="229" spans="1:9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17"/>
      <c r="CM229" s="17"/>
    </row>
    <row r="230" spans="1:9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17"/>
      <c r="CM230" s="17"/>
    </row>
    <row r="231" spans="1:9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17"/>
      <c r="CM231" s="17"/>
    </row>
    <row r="232" spans="1:9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17"/>
      <c r="CM232" s="17"/>
    </row>
    <row r="233" spans="1:9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17"/>
      <c r="CM233" s="17"/>
    </row>
    <row r="234" spans="1:9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17"/>
      <c r="CM234" s="17"/>
    </row>
    <row r="235" spans="1:9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17"/>
      <c r="CM235" s="17"/>
    </row>
    <row r="236" spans="1:9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17"/>
      <c r="CM236" s="17"/>
    </row>
    <row r="237" spans="1:9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17"/>
      <c r="CM237" s="17"/>
    </row>
    <row r="238" spans="1:9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17"/>
      <c r="CM238" s="17"/>
    </row>
    <row r="239" spans="1:9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17"/>
      <c r="CM239" s="17"/>
    </row>
    <row r="240" spans="1:9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17"/>
      <c r="CM240" s="17"/>
    </row>
    <row r="241" spans="1:9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17"/>
      <c r="CM241" s="17"/>
    </row>
    <row r="242" spans="1:9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17"/>
      <c r="CM242" s="17"/>
    </row>
    <row r="243" spans="1:9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17"/>
      <c r="CM243" s="17"/>
    </row>
    <row r="244" spans="1:9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17"/>
      <c r="CM244" s="17"/>
    </row>
    <row r="245" spans="1:9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17"/>
      <c r="CM245" s="17"/>
    </row>
    <row r="246" spans="1:9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17"/>
      <c r="CM246" s="17"/>
    </row>
    <row r="247" spans="1:9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17"/>
      <c r="CM247" s="17"/>
    </row>
    <row r="248" spans="1:9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17"/>
      <c r="CM248" s="17"/>
    </row>
    <row r="249" spans="1:9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17"/>
      <c r="CM249" s="17"/>
    </row>
    <row r="250" spans="1:9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17"/>
      <c r="CM250" s="17"/>
    </row>
    <row r="251" spans="1:9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17"/>
      <c r="CM251" s="17"/>
    </row>
    <row r="252" spans="1:9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17"/>
      <c r="CM252" s="17"/>
    </row>
    <row r="253" spans="1:9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17"/>
      <c r="CM253" s="17"/>
    </row>
    <row r="254" spans="1:9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17"/>
      <c r="CM254" s="17"/>
    </row>
    <row r="255" spans="1:9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17"/>
      <c r="CM255" s="17"/>
    </row>
    <row r="256" spans="1:9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17"/>
      <c r="CM256" s="17"/>
    </row>
    <row r="257" spans="1:9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17"/>
      <c r="CM257" s="17"/>
    </row>
    <row r="258" spans="1:9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17"/>
      <c r="CM258" s="17"/>
    </row>
    <row r="259" spans="1:9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17"/>
      <c r="CM259" s="17"/>
    </row>
    <row r="260" spans="1:9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17"/>
      <c r="CM260" s="17"/>
    </row>
    <row r="261" spans="1:9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17"/>
      <c r="CM261" s="17"/>
    </row>
    <row r="262" spans="1:9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17"/>
      <c r="CM262" s="17"/>
    </row>
    <row r="263" spans="1:9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17"/>
      <c r="CM263" s="17"/>
    </row>
    <row r="264" spans="1:9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17"/>
      <c r="CM264" s="17"/>
    </row>
    <row r="265" spans="1:9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17"/>
      <c r="CM265" s="17"/>
    </row>
    <row r="266" spans="1:9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17"/>
      <c r="CM266" s="17"/>
    </row>
    <row r="267" spans="1:9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17"/>
      <c r="CM267" s="17"/>
    </row>
    <row r="268" spans="1:9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17"/>
      <c r="CM268" s="17"/>
    </row>
    <row r="269" spans="1:9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17"/>
      <c r="CM269" s="17"/>
    </row>
    <row r="270" spans="1:9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17"/>
      <c r="CM270" s="17"/>
    </row>
    <row r="271" spans="1:9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17"/>
      <c r="CM271" s="17"/>
    </row>
    <row r="272" spans="1:9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17"/>
      <c r="CM272" s="17"/>
    </row>
    <row r="273" spans="1:9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17"/>
      <c r="CM273" s="17"/>
    </row>
    <row r="274" spans="1:9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17"/>
      <c r="CM274" s="17"/>
    </row>
    <row r="275" spans="1:9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17"/>
      <c r="CM275" s="17"/>
    </row>
    <row r="276" spans="1:9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17"/>
      <c r="CM276" s="17"/>
    </row>
    <row r="277" spans="1:9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17"/>
      <c r="CM277" s="17"/>
    </row>
    <row r="278" spans="1:9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17"/>
      <c r="CM278" s="17"/>
    </row>
    <row r="279" spans="1:9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17"/>
      <c r="CM279" s="17"/>
    </row>
    <row r="280" spans="1:9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17"/>
      <c r="CM280" s="17"/>
    </row>
    <row r="281" spans="1:9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17"/>
      <c r="CM281" s="17"/>
    </row>
    <row r="282" spans="1:9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17"/>
      <c r="CM282" s="17"/>
    </row>
    <row r="283" spans="1:9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17"/>
      <c r="CM283" s="17"/>
    </row>
    <row r="284" spans="1:9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17"/>
      <c r="CM284" s="17"/>
    </row>
    <row r="285" spans="1:9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17"/>
      <c r="CM285" s="17"/>
    </row>
    <row r="286" spans="1:9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17"/>
      <c r="CM286" s="17"/>
    </row>
    <row r="287" spans="1:9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17"/>
      <c r="CM287" s="17"/>
    </row>
    <row r="288" spans="1:9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17"/>
      <c r="CM288" s="17"/>
    </row>
    <row r="289" spans="1:9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17"/>
      <c r="CM289" s="17"/>
    </row>
    <row r="290" spans="1:9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17"/>
      <c r="CM290" s="17"/>
    </row>
    <row r="291" spans="1: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17"/>
      <c r="CM291" s="17"/>
    </row>
    <row r="292" spans="1:9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17"/>
      <c r="CM292" s="17"/>
    </row>
    <row r="293" spans="1:9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17"/>
      <c r="CM293" s="17"/>
    </row>
    <row r="294" spans="1:9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17"/>
      <c r="CM294" s="17"/>
    </row>
    <row r="295" spans="1:9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17"/>
      <c r="CM295" s="17"/>
    </row>
    <row r="296" spans="1:9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17"/>
      <c r="CM296" s="17"/>
    </row>
    <row r="297" spans="1:9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17"/>
      <c r="CM297" s="17"/>
    </row>
    <row r="298" spans="1:9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17"/>
      <c r="CM298" s="17"/>
    </row>
    <row r="299" spans="1:9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17"/>
      <c r="CM299" s="17"/>
    </row>
    <row r="300" spans="1:9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17"/>
      <c r="CM300" s="17"/>
    </row>
    <row r="301" spans="1:9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17"/>
      <c r="CM301" s="17"/>
    </row>
    <row r="302" spans="1:9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17"/>
      <c r="CM302" s="17"/>
    </row>
    <row r="303" spans="1:9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17"/>
      <c r="CM303" s="17"/>
    </row>
    <row r="304" spans="1:9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17"/>
      <c r="CM304" s="17"/>
    </row>
    <row r="305" spans="1:9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17"/>
      <c r="CM305" s="17"/>
    </row>
    <row r="306" spans="1:9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17"/>
      <c r="CM306" s="17"/>
    </row>
    <row r="307" spans="1:9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17"/>
      <c r="CM307" s="17"/>
    </row>
    <row r="308" spans="1:9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17"/>
      <c r="CM308" s="17"/>
    </row>
    <row r="309" spans="1:9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17"/>
      <c r="CM309" s="17"/>
    </row>
    <row r="310" spans="1:9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17"/>
      <c r="CM310" s="17"/>
    </row>
    <row r="311" spans="1:9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17"/>
      <c r="CM311" s="17"/>
    </row>
    <row r="312" spans="1:9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17"/>
      <c r="CM312" s="17"/>
    </row>
    <row r="313" spans="1:9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17"/>
      <c r="CM313" s="17"/>
    </row>
    <row r="314" spans="1:9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17"/>
      <c r="CM314" s="17"/>
    </row>
    <row r="315" spans="1:9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17"/>
      <c r="CM315" s="17"/>
    </row>
    <row r="316" spans="1:9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17"/>
      <c r="CM316" s="17"/>
    </row>
    <row r="317" spans="1:9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17"/>
      <c r="CM317" s="17"/>
    </row>
    <row r="318" spans="1:9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17"/>
      <c r="CM318" s="17"/>
    </row>
    <row r="319" spans="1:9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17"/>
      <c r="CM319" s="17"/>
    </row>
    <row r="320" spans="1:9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17"/>
      <c r="CM320" s="17"/>
    </row>
    <row r="321" spans="1:9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17"/>
      <c r="CM321" s="17"/>
    </row>
    <row r="322" spans="1:9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17"/>
      <c r="CM322" s="17"/>
    </row>
    <row r="323" spans="1:9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17"/>
      <c r="CM323" s="17"/>
    </row>
    <row r="324" spans="1:9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17"/>
      <c r="CM324" s="17"/>
    </row>
    <row r="325" spans="1:9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17"/>
      <c r="CM325" s="17"/>
    </row>
    <row r="326" spans="1:9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17"/>
      <c r="CM326" s="17"/>
    </row>
    <row r="327" spans="1:9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17"/>
      <c r="CM327" s="17"/>
    </row>
    <row r="328" spans="1:9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17"/>
      <c r="CM328" s="17"/>
    </row>
    <row r="329" spans="1:9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17"/>
      <c r="CM329" s="17"/>
    </row>
    <row r="330" spans="1:9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17"/>
      <c r="CM330" s="17"/>
    </row>
    <row r="331" spans="1:9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17"/>
      <c r="CM331" s="17"/>
    </row>
    <row r="332" spans="1:9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17"/>
      <c r="CM332" s="17"/>
    </row>
    <row r="333" spans="1:9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17"/>
      <c r="CM333" s="17"/>
    </row>
    <row r="334" spans="1:9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17"/>
      <c r="CM334" s="17"/>
    </row>
    <row r="335" spans="1:9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17"/>
      <c r="CM335" s="17"/>
    </row>
    <row r="336" spans="1:9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17"/>
      <c r="CM336" s="17"/>
    </row>
    <row r="337" spans="1:9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17"/>
      <c r="CM337" s="17"/>
    </row>
    <row r="338" spans="1:9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17"/>
      <c r="CM338" s="17"/>
    </row>
    <row r="339" spans="1:9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17"/>
      <c r="CM339" s="17"/>
    </row>
    <row r="340" spans="1:9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17"/>
      <c r="CM340" s="17"/>
    </row>
    <row r="341" spans="1:9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17"/>
      <c r="CM341" s="17"/>
    </row>
    <row r="342" spans="1:9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17"/>
      <c r="CM342" s="17"/>
    </row>
    <row r="343" spans="1:9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17"/>
      <c r="CM343" s="17"/>
    </row>
    <row r="344" spans="1:9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17"/>
      <c r="CM344" s="17"/>
    </row>
    <row r="345" spans="1:9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17"/>
      <c r="CM345" s="17"/>
    </row>
    <row r="346" spans="1:9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17"/>
      <c r="CM346" s="17"/>
    </row>
    <row r="347" spans="1:9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17"/>
      <c r="CM347" s="17"/>
    </row>
    <row r="348" spans="1:9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row>
    <row r="349" spans="1:9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row>
    <row r="350" spans="1:9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row>
    <row r="351" spans="1:9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row>
    <row r="352" spans="1:9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row>
    <row r="353" spans="1:89">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row>
    <row r="354" spans="1:89">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row>
    <row r="355" spans="1:89">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row>
    <row r="356" spans="1:89">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row>
    <row r="357" spans="1:89">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row>
    <row r="358" spans="1:89">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row>
    <row r="359" spans="1:8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row>
    <row r="360" spans="1:89">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row>
    <row r="361" spans="1:89">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row>
    <row r="362" spans="1:89">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row>
    <row r="363" spans="1:89">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row>
    <row r="364" spans="1:89">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row>
    <row r="365" spans="1:89">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row>
    <row r="366" spans="1:89">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row>
    <row r="367" spans="1:89">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row>
    <row r="368" spans="1:89">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row>
    <row r="369" spans="1:8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row>
    <row r="370" spans="1:89">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row>
    <row r="371" spans="1:89">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row>
    <row r="372" spans="1:89">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row>
    <row r="373" spans="1:89">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row>
    <row r="374" spans="1:89">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row>
    <row r="375" spans="1:89">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row>
    <row r="376" spans="1:89">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row>
    <row r="377" spans="1:89">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row>
    <row r="378" spans="1:89">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row>
    <row r="379" spans="1:8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row>
    <row r="380" spans="1:89">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row>
    <row r="381" spans="1:89">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row>
    <row r="382" spans="1:89">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row>
    <row r="383" spans="1:89">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row>
    <row r="384" spans="1:89">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row>
    <row r="385" spans="1:89">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row>
    <row r="386" spans="1:89">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row>
    <row r="387" spans="1:89">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row>
    <row r="388" spans="1:89">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row>
    <row r="389" spans="1: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row>
    <row r="390" spans="1:89">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row>
    <row r="391" spans="1:89">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row>
    <row r="392" spans="1:89">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row>
    <row r="393" spans="1:89">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row>
    <row r="394" spans="1:89">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row>
    <row r="395" spans="1:89">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row>
    <row r="396" spans="1:89">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row>
    <row r="397" spans="1:89">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row>
    <row r="398" spans="1:89">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row>
    <row r="399" spans="1:8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row>
    <row r="400" spans="1:89">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row>
    <row r="401" spans="1:89">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row>
    <row r="402" spans="1:89">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row>
    <row r="403" spans="1:89">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row>
    <row r="404" spans="1:89">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row>
    <row r="405" spans="1:89">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row>
    <row r="406" spans="1:89">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row>
    <row r="407" spans="1:89">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row>
    <row r="408" spans="1:89">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row>
    <row r="409" spans="1:8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row>
    <row r="410" spans="1:89">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row>
    <row r="411" spans="1:89">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row>
    <row r="412" spans="1:89">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row>
    <row r="413" spans="1:89">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row>
    <row r="414" spans="1:89">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row>
    <row r="415" spans="1:89">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row>
    <row r="416" spans="1:89">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row>
    <row r="417" spans="1:89">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row>
    <row r="418" spans="1:89">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row>
    <row r="419" spans="1:8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row>
    <row r="420" spans="1:89">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row>
    <row r="421" spans="1:89">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row>
    <row r="422" spans="1:89">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row>
    <row r="423" spans="1:89">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row>
    <row r="424" spans="1:89">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row>
    <row r="425" spans="1:89">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row>
    <row r="426" spans="1:89">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row>
    <row r="427" spans="1:89">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row>
    <row r="428" spans="1:89">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row>
    <row r="429" spans="1:8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row>
    <row r="430" spans="1:89">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row>
    <row r="431" spans="1:89">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row>
    <row r="432" spans="1:89">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row>
    <row r="433" spans="1:89">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row>
    <row r="434" spans="1:89">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row>
    <row r="435" spans="1:89">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row>
    <row r="436" spans="1:89">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row>
    <row r="437" spans="1:89">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row>
    <row r="438" spans="1:89">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row>
    <row r="439" spans="1:8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row>
    <row r="440" spans="1:89">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row>
    <row r="441" spans="1:89">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row>
    <row r="442" spans="1:89">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row>
    <row r="443" spans="1:89">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row>
    <row r="444" spans="1:89">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row>
    <row r="445" spans="1:89">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row>
    <row r="446" spans="1:89">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row>
    <row r="447" spans="1:89">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row>
    <row r="448" spans="1:89">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row>
    <row r="449" spans="1:8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row>
    <row r="450" spans="1:89">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row>
    <row r="451" spans="1:89">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row>
    <row r="452" spans="1:89">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row>
    <row r="453" spans="1:89">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row>
    <row r="454" spans="1:89">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row>
    <row r="455" spans="1:89">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row>
    <row r="456" spans="1:89">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row>
    <row r="457" spans="1:89">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row>
    <row r="458" spans="1:89">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row>
    <row r="459" spans="1:8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row>
    <row r="460" spans="1:89">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row>
    <row r="461" spans="1:89">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row>
    <row r="462" spans="1:89">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row>
    <row r="463" spans="1:89">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row>
    <row r="464" spans="1:89">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row>
    <row r="465" spans="1:89">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row>
    <row r="466" spans="1:89">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row>
    <row r="467" spans="1:89">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row>
    <row r="468" spans="1:89">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row>
    <row r="469" spans="1:8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row>
    <row r="470" spans="1:89">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row>
    <row r="471" spans="1:89">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row>
    <row r="472" spans="1:89">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row>
    <row r="473" spans="1:89">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row>
    <row r="474" spans="1:89">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row>
    <row r="475" spans="1:89">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row>
    <row r="476" spans="1:89">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row>
    <row r="477" spans="1:89">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row>
    <row r="478" spans="1:89">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row>
    <row r="479" spans="1:8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row>
    <row r="480" spans="1:89">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row>
    <row r="481" spans="1:89">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row>
    <row r="482" spans="1:89">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row>
    <row r="483" spans="1:89">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row>
    <row r="484" spans="1:89">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row>
    <row r="485" spans="1:89">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row>
    <row r="486" spans="1:89">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row>
    <row r="487" spans="1:89">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row>
    <row r="488" spans="1:89">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row>
    <row r="489" spans="1: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row>
    <row r="490" spans="1:89">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row>
    <row r="491" spans="1:89">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row>
    <row r="492" spans="1:89">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row>
    <row r="493" spans="1:89">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row>
    <row r="494" spans="1:89">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row>
    <row r="495" spans="1:89">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row>
    <row r="496" spans="1:89">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row>
    <row r="497" spans="1:89">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row>
    <row r="498" spans="1:89">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row>
    <row r="499" spans="1:8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row>
    <row r="500" spans="1:89">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row>
    <row r="501" spans="1:89">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row>
    <row r="502" spans="1:89">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row>
    <row r="503" spans="1:89">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row>
    <row r="504" spans="1:89">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row>
    <row r="505" spans="1:89">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row>
    <row r="506" spans="1:89">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row>
    <row r="507" spans="1:89">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row>
    <row r="508" spans="1:89">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row>
    <row r="509" spans="1:8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row>
    <row r="510" spans="1:89">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row>
    <row r="511" spans="1:89">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row>
    <row r="512" spans="1:89">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row>
    <row r="513" spans="1:89">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row>
    <row r="514" spans="1:89">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row>
    <row r="515" spans="1:89">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row>
    <row r="516" spans="1:89">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row>
    <row r="517" spans="1:89">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row>
    <row r="518" spans="1:89">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row>
    <row r="519" spans="1:8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row>
    <row r="520" spans="1:89">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row>
    <row r="521" spans="1:89">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row>
    <row r="522" spans="1:89">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row>
    <row r="523" spans="1:89">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row>
    <row r="524" spans="1:89">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row>
    <row r="525" spans="1:89">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row>
    <row r="526" spans="1:89">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row>
    <row r="527" spans="1:89">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row>
    <row r="528" spans="1:89">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row>
    <row r="529" spans="1:8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row>
    <row r="530" spans="1:89">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row>
    <row r="531" spans="1:89">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row>
    <row r="532" spans="1:89">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row>
    <row r="533" spans="1:89">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row>
    <row r="534" spans="1:89">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row>
    <row r="535" spans="1:89">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row>
    <row r="536" spans="1:89">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row>
    <row r="537" spans="1:89">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row>
    <row r="538" spans="1:89">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row>
    <row r="539" spans="1:8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row>
    <row r="540" spans="1:89">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row>
    <row r="541" spans="1:89">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row>
    <row r="542" spans="1:89">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row>
    <row r="543" spans="1:89">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row>
    <row r="544" spans="1:89">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row>
    <row r="545" spans="1:89">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row>
    <row r="546" spans="1:89">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row>
    <row r="547" spans="1:89">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row>
    <row r="548" spans="1:89">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row>
    <row r="549" spans="1:8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row>
    <row r="550" spans="1:89">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row>
    <row r="551" spans="1:89">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row>
    <row r="552" spans="1:89">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row>
    <row r="553" spans="1:89">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row>
    <row r="554" spans="1:89">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row>
    <row r="555" spans="1:89">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row>
    <row r="556" spans="1:89">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row>
    <row r="557" spans="1:89">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row>
    <row r="558" spans="1:89">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row>
    <row r="559" spans="1:8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row>
    <row r="560" spans="1:89">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row>
    <row r="561" spans="1:89">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row>
    <row r="562" spans="1:89">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row>
    <row r="563" spans="1:89">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row>
    <row r="564" spans="1:89">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row>
    <row r="565" spans="1:89">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row>
    <row r="566" spans="1:89">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row>
    <row r="567" spans="1:89">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row>
    <row r="568" spans="1:89">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row>
    <row r="569" spans="1:8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row>
    <row r="570" spans="1:89">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row>
    <row r="571" spans="1:89">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row>
    <row r="572" spans="1:89">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row>
    <row r="573" spans="1:89">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row>
    <row r="574" spans="1:89">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row>
    <row r="575" spans="1:89">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row>
    <row r="576" spans="1:89">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row>
    <row r="577" spans="1:89">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row>
    <row r="578" spans="1:89">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row>
    <row r="579" spans="1:8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row>
    <row r="580" spans="1:89">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row>
    <row r="581" spans="1:89">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row>
    <row r="582" spans="1:89">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row>
    <row r="583" spans="1:89">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row>
    <row r="584" spans="1:89">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row>
    <row r="585" spans="1:89">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row>
    <row r="586" spans="1:89">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row>
    <row r="587" spans="1:89">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row>
    <row r="588" spans="1:89">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row>
    <row r="589" spans="1: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row>
    <row r="590" spans="1:89">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row>
    <row r="591" spans="1:89">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row>
    <row r="592" spans="1:89">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row>
    <row r="593" spans="1:89">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row>
    <row r="594" spans="1:89">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row>
    <row r="595" spans="1:89">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row>
    <row r="596" spans="1:89">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row>
    <row r="597" spans="1:89">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row>
    <row r="598" spans="1:89">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row>
    <row r="599" spans="1:8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row>
    <row r="600" spans="1:89">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row>
    <row r="601" spans="1:89">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row>
    <row r="602" spans="1:89">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row>
    <row r="603" spans="1:89">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row>
    <row r="604" spans="1:89">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row>
    <row r="605" spans="1:89">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row>
    <row r="606" spans="1:89">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row>
    <row r="607" spans="1:89">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row>
    <row r="608" spans="1:89">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row>
    <row r="609" spans="1:8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row>
    <row r="610" spans="1:89">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row>
    <row r="611" spans="1:89">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row>
    <row r="612" spans="1:89">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row>
    <row r="613" spans="1:89">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row>
    <row r="614" spans="1:89">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row>
    <row r="615" spans="1:89">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row>
    <row r="616" spans="1:89">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row>
    <row r="617" spans="1:89">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row>
    <row r="618" spans="1:89">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row>
    <row r="619" spans="1:8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row>
    <row r="620" spans="1:89">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row>
    <row r="621" spans="1:89">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row>
    <row r="622" spans="1:89">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row>
    <row r="623" spans="1:89">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row>
    <row r="624" spans="1:89">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row>
    <row r="625" spans="1:89">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row>
    <row r="626" spans="1:89">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row>
    <row r="627" spans="1:89">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row>
    <row r="628" spans="1:89">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row>
    <row r="629" spans="1:8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row>
    <row r="630" spans="1:89">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row>
    <row r="631" spans="1:89">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row>
    <row r="632" spans="1:89">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row>
    <row r="633" spans="1:89">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row>
    <row r="634" spans="1:89">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row>
    <row r="635" spans="1:89">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row>
    <row r="636" spans="1:89">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row>
    <row r="637" spans="1:89">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row>
    <row r="638" spans="1:89">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row>
    <row r="639" spans="1:8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row>
    <row r="640" spans="1:89">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row>
    <row r="641" spans="1:89">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row>
    <row r="642" spans="1:89">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row>
    <row r="643" spans="1:89">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row>
    <row r="644" spans="1:89">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row>
    <row r="645" spans="1:89">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row>
    <row r="646" spans="1:89">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row>
    <row r="647" spans="1:89">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row>
    <row r="648" spans="1:89">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row>
    <row r="649" spans="1:8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row>
    <row r="650" spans="1:89">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row>
    <row r="651" spans="1:89">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row>
    <row r="652" spans="1:89">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row>
    <row r="653" spans="1:89">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row>
    <row r="654" spans="1:89">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row>
    <row r="655" spans="1:89">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row>
    <row r="656" spans="1:89">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row>
    <row r="657" spans="1:89">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row>
    <row r="658" spans="1:89">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row>
    <row r="659" spans="1:8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row>
    <row r="660" spans="1:89">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row>
    <row r="661" spans="1:89">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row>
    <row r="662" spans="1:89">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row>
    <row r="663" spans="1:89">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row>
    <row r="664" spans="1:89">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row>
    <row r="665" spans="1:89">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row>
    <row r="666" spans="1:89">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row>
    <row r="667" spans="1:89">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row>
    <row r="668" spans="1:89">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row>
    <row r="669" spans="1:8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row>
    <row r="670" spans="1:89">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row>
    <row r="671" spans="1:89">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row>
    <row r="672" spans="1:89">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row>
    <row r="673" spans="1:89">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row>
    <row r="674" spans="1:89">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row>
    <row r="675" spans="1:89">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row>
    <row r="676" spans="1:89">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row>
    <row r="677" spans="1:89">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row>
    <row r="678" spans="1:89">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row>
    <row r="679" spans="1:8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row>
    <row r="680" spans="1:89">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row>
    <row r="681" spans="1:89">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row>
    <row r="682" spans="1:89">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row>
    <row r="683" spans="1:89">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row>
    <row r="684" spans="1:89">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row>
    <row r="685" spans="1:89">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row>
    <row r="686" spans="1:89">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row>
    <row r="687" spans="1:89">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row>
    <row r="688" spans="1:89">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row>
    <row r="689" spans="1: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row>
    <row r="690" spans="1:89">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row>
    <row r="691" spans="1:89">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row>
    <row r="692" spans="1:89">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row>
    <row r="693" spans="1:89">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row>
    <row r="694" spans="1:89">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row>
    <row r="695" spans="1:89">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row>
    <row r="696" spans="1:89">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row>
    <row r="697" spans="1:89">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row>
    <row r="698" spans="1:89">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row>
    <row r="699" spans="1:8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row>
    <row r="700" spans="1:89">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row>
    <row r="701" spans="1:89">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row>
    <row r="702" spans="1:89">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row>
    <row r="703" spans="1:89">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row>
    <row r="704" spans="1:89">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row>
    <row r="705" spans="1:89">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row>
    <row r="706" spans="1:89">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row>
    <row r="707" spans="1:89">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row>
    <row r="708" spans="1:89">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row>
    <row r="709" spans="1:8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row>
    <row r="710" spans="1:89">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row>
    <row r="711" spans="1:89">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row>
    <row r="712" spans="1:89">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row>
    <row r="713" spans="1:89">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row>
    <row r="714" spans="1:89">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row>
    <row r="715" spans="1:89">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row>
    <row r="716" spans="1:89">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row>
    <row r="717" spans="1:89">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row>
    <row r="718" spans="1:89">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row>
    <row r="719" spans="1:8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row>
    <row r="720" spans="1:89">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row>
    <row r="721" spans="1:89">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row>
    <row r="722" spans="1:89">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row>
    <row r="723" spans="1:89">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row>
    <row r="724" spans="1:89">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row>
    <row r="725" spans="1:89">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row>
    <row r="726" spans="1:89">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row>
    <row r="727" spans="1:89">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row>
    <row r="728" spans="1:89">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row>
    <row r="729" spans="1:8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row>
    <row r="730" spans="1:89">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row>
    <row r="731" spans="1:89">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row>
    <row r="732" spans="1:89">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row>
    <row r="733" spans="1:89">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row>
    <row r="734" spans="1:89">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row>
    <row r="735" spans="1:89">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row>
    <row r="736" spans="1:89">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row>
    <row r="737" spans="1:89">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row>
    <row r="738" spans="1:89">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row>
    <row r="739" spans="1:8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row>
    <row r="740" spans="1:89">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row>
    <row r="741" spans="1:89">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row>
    <row r="742" spans="1:89">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row>
    <row r="743" spans="1:89">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row>
    <row r="744" spans="1:89">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row>
    <row r="745" spans="1:89">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row>
    <row r="746" spans="1:89">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row>
    <row r="747" spans="1:89">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row>
    <row r="748" spans="1:89">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row>
    <row r="749" spans="1:8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row>
    <row r="750" spans="1:89">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row>
    <row r="751" spans="1:89">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row>
    <row r="752" spans="1:89">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row>
    <row r="753" spans="1:89">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row>
    <row r="754" spans="1:89">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row>
    <row r="755" spans="1:89">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row>
    <row r="756" spans="1:89">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row>
    <row r="757" spans="1:89">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row>
    <row r="758" spans="1:89">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row>
    <row r="759" spans="1:8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row>
    <row r="760" spans="1:89">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row>
    <row r="761" spans="1:89">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row>
    <row r="762" spans="1:89">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row>
    <row r="763" spans="1:89">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row>
    <row r="764" spans="1:89">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row>
    <row r="765" spans="1:89">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row>
    <row r="766" spans="1:89">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row>
    <row r="767" spans="1:89">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row>
    <row r="768" spans="1:89">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row>
    <row r="769" spans="1:8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row>
    <row r="770" spans="1:89">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row>
    <row r="771" spans="1:89">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row>
    <row r="772" spans="1:89">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row>
    <row r="773" spans="1:89">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row>
    <row r="774" spans="1:89">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row>
    <row r="775" spans="1:89">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row>
    <row r="776" spans="1:89">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row>
    <row r="777" spans="1:89">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row>
    <row r="778" spans="1:89">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row>
    <row r="779" spans="1:8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row>
    <row r="780" spans="1:89">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row>
    <row r="781" spans="1:89">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row>
    <row r="782" spans="1:89">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row>
    <row r="783" spans="1:89">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row>
    <row r="784" spans="1:89">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row>
    <row r="785" spans="1:89">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row>
    <row r="786" spans="1:89">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row>
    <row r="787" spans="1:89">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row>
    <row r="788" spans="1:89">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row>
    <row r="789" spans="1: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row>
    <row r="790" spans="1:89">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row>
    <row r="791" spans="1:89">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row>
    <row r="792" spans="1:89">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row>
    <row r="793" spans="1:89">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row>
    <row r="794" spans="1:89">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row>
    <row r="795" spans="1:89">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row>
    <row r="796" spans="1:89">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row>
    <row r="797" spans="1:89">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row>
    <row r="798" spans="1:89">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row>
    <row r="799" spans="1:8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row>
    <row r="800" spans="1:89">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row>
    <row r="801" spans="1:89">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row>
    <row r="802" spans="1:89">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row>
    <row r="803" spans="1:89">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row>
    <row r="804" spans="1:89">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row>
    <row r="805" spans="1:89">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row>
    <row r="806" spans="1:89">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row>
    <row r="807" spans="1:89">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row>
    <row r="808" spans="1:89">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row>
    <row r="809" spans="1:8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row>
    <row r="810" spans="1:89">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row>
    <row r="811" spans="1:89">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row>
    <row r="812" spans="1:89">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row>
    <row r="813" spans="1:89">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row>
    <row r="814" spans="1:89">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row>
    <row r="815" spans="1:89">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row>
    <row r="816" spans="1:89">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row>
    <row r="817" spans="1:89">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row>
    <row r="818" spans="1:89">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row>
    <row r="819" spans="1:8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row>
    <row r="820" spans="1:89">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row>
    <row r="821" spans="1:89">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row>
    <row r="822" spans="1:89">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row>
    <row r="823" spans="1:89">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row>
    <row r="824" spans="1:89">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row>
    <row r="825" spans="1:89">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row>
    <row r="826" spans="1:89">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row>
    <row r="827" spans="1:89">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row>
    <row r="828" spans="1:89">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row>
    <row r="829" spans="1:8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row>
    <row r="830" spans="1:89">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row>
    <row r="831" spans="1:89">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row>
    <row r="832" spans="1:89">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row>
    <row r="833" spans="1:89">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row>
    <row r="834" spans="1:89">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row>
    <row r="835" spans="1:89">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row>
    <row r="836" spans="1:89">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row>
    <row r="837" spans="1:89">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row>
    <row r="838" spans="1:89">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row>
    <row r="839" spans="1:8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row>
    <row r="840" spans="1:89">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row>
    <row r="841" spans="1:89">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row>
    <row r="842" spans="1:89">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row>
    <row r="843" spans="1:89">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row>
    <row r="844" spans="1:89">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row>
    <row r="845" spans="1:89">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row>
    <row r="846" spans="1:89">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row>
    <row r="847" spans="1:89">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row>
    <row r="848" spans="1:89">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row>
    <row r="849" spans="1:8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row>
    <row r="850" spans="1:89">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row>
    <row r="851" spans="1:89">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row>
    <row r="852" spans="1:89">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row>
    <row r="853" spans="1:89">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row>
    <row r="854" spans="1:89">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row>
    <row r="855" spans="1:89">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row>
    <row r="856" spans="1:89">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row>
    <row r="857" spans="1:89">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row>
    <row r="858" spans="1:89">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row>
    <row r="859" spans="1:8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row>
    <row r="860" spans="1:89">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row>
    <row r="861" spans="1:89">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row>
    <row r="862" spans="1:89">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row>
    <row r="863" spans="1:89">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row>
    <row r="864" spans="1:89">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row>
    <row r="865" spans="1:89">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row>
    <row r="866" spans="1:89">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row>
    <row r="867" spans="1:89">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row>
    <row r="868" spans="1:89">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row>
    <row r="869" spans="1:8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row>
    <row r="870" spans="1:89">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row>
    <row r="871" spans="1:89">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row>
    <row r="872" spans="1:89">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row>
    <row r="873" spans="1:89">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row>
    <row r="874" spans="1:89">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row>
    <row r="875" spans="1:89">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row>
    <row r="876" spans="1:89">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row>
    <row r="877" spans="1:89">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row>
    <row r="878" spans="1:89">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row>
    <row r="879" spans="1:8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row>
    <row r="880" spans="1:89">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row>
    <row r="881" spans="1:89">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row>
    <row r="882" spans="1:89">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row>
    <row r="883" spans="1:89">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row>
    <row r="884" spans="1:89">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row>
    <row r="885" spans="1:89">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row>
    <row r="886" spans="1:89">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row>
    <row r="887" spans="1:89">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row>
    <row r="888" spans="1:89">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row>
    <row r="889" spans="1: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row>
    <row r="890" spans="1:89">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row>
    <row r="891" spans="1:89">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row>
    <row r="892" spans="1:89">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row>
    <row r="893" spans="1:89">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row>
    <row r="894" spans="1:89">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row>
    <row r="895" spans="1:89">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row>
    <row r="896" spans="1:89">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row>
    <row r="897" spans="1:89">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row>
    <row r="898" spans="1:89">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row>
    <row r="899" spans="1:8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row>
    <row r="900" spans="1:89">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row>
    <row r="901" spans="1:89">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row>
    <row r="902" spans="1:89">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row>
    <row r="903" spans="1:89">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row>
    <row r="904" spans="1:89">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row>
    <row r="905" spans="1:89">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row>
    <row r="906" spans="1:89">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row>
    <row r="907" spans="1:89">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row>
    <row r="908" spans="1:89">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row>
    <row r="909" spans="1:8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row>
    <row r="910" spans="1:89">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row>
    <row r="911" spans="1:89">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row>
    <row r="912" spans="1:89">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row>
    <row r="913" spans="1:89">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row>
    <row r="914" spans="1:89">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row>
    <row r="915" spans="1:89">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row>
    <row r="916" spans="1:89">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row>
    <row r="917" spans="1:89">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row>
    <row r="918" spans="1:89">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row>
    <row r="919" spans="1:8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row>
    <row r="920" spans="1:89">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row>
    <row r="921" spans="1:89">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row>
    <row r="922" spans="1:89">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row>
    <row r="923" spans="1:89">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row>
    <row r="924" spans="1:89">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row>
    <row r="925" spans="1:89">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row>
    <row r="926" spans="1:89">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row>
    <row r="927" spans="1:89">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row>
    <row r="928" spans="1:89">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row>
    <row r="929" spans="1:8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row>
    <row r="930" spans="1:89">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row>
    <row r="931" spans="1:89">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row>
    <row r="932" spans="1:89">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row>
    <row r="933" spans="1:89">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row>
    <row r="934" spans="1:89">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row>
    <row r="935" spans="1:89">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row>
    <row r="936" spans="1:89">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row>
    <row r="937" spans="1:89">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row>
    <row r="938" spans="1:89">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row>
    <row r="939" spans="1:8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row>
    <row r="940" spans="1:89">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row>
    <row r="941" spans="1:89">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row>
    <row r="942" spans="1:89">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row>
    <row r="943" spans="1:89">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row>
    <row r="944" spans="1:89">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row>
    <row r="945" spans="1:89">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row>
    <row r="946" spans="1:89">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row>
    <row r="947" spans="1:89">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row>
    <row r="948" spans="1:89">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row>
    <row r="949" spans="1:8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row>
    <row r="950" spans="1:89">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row>
    <row r="951" spans="1:89">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row>
    <row r="952" spans="1:89">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row>
    <row r="953" spans="1:89">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row>
    <row r="954" spans="1:89">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row>
    <row r="955" spans="1:89">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row>
    <row r="956" spans="1:89">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row>
    <row r="957" spans="1:89">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row>
    <row r="958" spans="1:89">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row>
    <row r="959" spans="1:8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row>
    <row r="960" spans="1:89">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row>
    <row r="961" spans="1:89">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row>
    <row r="962" spans="1:89">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row>
    <row r="963" spans="1:89">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row>
    <row r="964" spans="1:89">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row>
    <row r="965" spans="1:89">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row>
    <row r="966" spans="1:89">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row>
    <row r="967" spans="1:89">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row>
    <row r="968" spans="1:89">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row>
    <row r="969" spans="1:8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row>
    <row r="970" spans="1:89">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row>
    <row r="971" spans="1:89">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row>
    <row r="972" spans="1:89">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row>
    <row r="973" spans="1:89">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row>
    <row r="974" spans="1:89">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row>
    <row r="975" spans="1:89">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row>
    <row r="976" spans="1:89">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row>
    <row r="977" spans="1:89">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row>
    <row r="978" spans="1:89">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row>
    <row r="979" spans="1:8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row>
    <row r="980" spans="1:89">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row>
    <row r="981" spans="1:89">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row>
    <row r="982" spans="1:89">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row>
    <row r="983" spans="1:89">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row>
    <row r="984" spans="1:89">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row>
    <row r="985" spans="1:89">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c r="AZ985" s="23"/>
      <c r="BA985" s="23"/>
      <c r="BB985" s="23"/>
      <c r="BC985" s="23"/>
      <c r="BD985" s="23"/>
      <c r="BE985" s="23"/>
      <c r="BF985" s="23"/>
      <c r="BG985" s="23"/>
      <c r="BH985" s="23"/>
      <c r="BI985" s="23"/>
      <c r="BJ985" s="23"/>
      <c r="BK985" s="23"/>
      <c r="BL985" s="23"/>
      <c r="BM985" s="23"/>
      <c r="BN985" s="23"/>
      <c r="BO985" s="23"/>
      <c r="BP985" s="23"/>
      <c r="BQ985" s="23"/>
      <c r="BR985" s="23"/>
      <c r="BS985" s="23"/>
      <c r="BT985" s="23"/>
      <c r="BU985" s="23"/>
      <c r="BV985" s="23"/>
      <c r="BW985" s="23"/>
      <c r="BX985" s="23"/>
      <c r="BY985" s="23"/>
      <c r="BZ985" s="23"/>
      <c r="CA985" s="23"/>
      <c r="CB985" s="23"/>
      <c r="CC985" s="23"/>
      <c r="CD985" s="23"/>
      <c r="CE985" s="23"/>
      <c r="CF985" s="23"/>
      <c r="CG985" s="23"/>
      <c r="CH985" s="23"/>
      <c r="CI985" s="23"/>
      <c r="CJ985" s="23"/>
      <c r="CK985" s="23"/>
    </row>
    <row r="986" spans="1:89">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c r="AZ986" s="23"/>
      <c r="BA986" s="23"/>
      <c r="BB986" s="23"/>
      <c r="BC986" s="23"/>
      <c r="BD986" s="23"/>
      <c r="BE986" s="23"/>
      <c r="BF986" s="23"/>
      <c r="BG986" s="23"/>
      <c r="BH986" s="23"/>
      <c r="BI986" s="23"/>
      <c r="BJ986" s="23"/>
      <c r="BK986" s="23"/>
      <c r="BL986" s="23"/>
      <c r="BM986" s="23"/>
      <c r="BN986" s="23"/>
      <c r="BO986" s="23"/>
      <c r="BP986" s="23"/>
      <c r="BQ986" s="23"/>
      <c r="BR986" s="23"/>
      <c r="BS986" s="23"/>
      <c r="BT986" s="23"/>
      <c r="BU986" s="23"/>
      <c r="BV986" s="23"/>
      <c r="BW986" s="23"/>
      <c r="BX986" s="23"/>
      <c r="BY986" s="23"/>
      <c r="BZ986" s="23"/>
      <c r="CA986" s="23"/>
      <c r="CB986" s="23"/>
      <c r="CC986" s="23"/>
      <c r="CD986" s="23"/>
      <c r="CE986" s="23"/>
      <c r="CF986" s="23"/>
      <c r="CG986" s="23"/>
      <c r="CH986" s="23"/>
      <c r="CI986" s="23"/>
      <c r="CJ986" s="23"/>
      <c r="CK986" s="23"/>
    </row>
    <row r="987" spans="1:89">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c r="AZ987" s="23"/>
      <c r="BA987" s="23"/>
      <c r="BB987" s="23"/>
      <c r="BC987" s="23"/>
      <c r="BD987" s="23"/>
      <c r="BE987" s="23"/>
      <c r="BF987" s="23"/>
      <c r="BG987" s="23"/>
      <c r="BH987" s="23"/>
      <c r="BI987" s="23"/>
      <c r="BJ987" s="23"/>
      <c r="BK987" s="23"/>
      <c r="BL987" s="23"/>
      <c r="BM987" s="23"/>
      <c r="BN987" s="23"/>
      <c r="BO987" s="23"/>
      <c r="BP987" s="23"/>
      <c r="BQ987" s="23"/>
      <c r="BR987" s="23"/>
      <c r="BS987" s="23"/>
      <c r="BT987" s="23"/>
      <c r="BU987" s="23"/>
      <c r="BV987" s="23"/>
      <c r="BW987" s="23"/>
      <c r="BX987" s="23"/>
      <c r="BY987" s="23"/>
      <c r="BZ987" s="23"/>
      <c r="CA987" s="23"/>
      <c r="CB987" s="23"/>
      <c r="CC987" s="23"/>
      <c r="CD987" s="23"/>
      <c r="CE987" s="23"/>
      <c r="CF987" s="23"/>
      <c r="CG987" s="23"/>
      <c r="CH987" s="23"/>
      <c r="CI987" s="23"/>
      <c r="CJ987" s="23"/>
      <c r="CK987" s="23"/>
    </row>
    <row r="988" spans="1:89">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c r="AZ988" s="23"/>
      <c r="BA988" s="23"/>
      <c r="BB988" s="23"/>
      <c r="BC988" s="23"/>
      <c r="BD988" s="23"/>
      <c r="BE988" s="23"/>
      <c r="BF988" s="23"/>
      <c r="BG988" s="23"/>
      <c r="BH988" s="23"/>
      <c r="BI988" s="23"/>
      <c r="BJ988" s="23"/>
      <c r="BK988" s="23"/>
      <c r="BL988" s="23"/>
      <c r="BM988" s="23"/>
      <c r="BN988" s="23"/>
      <c r="BO988" s="23"/>
      <c r="BP988" s="23"/>
      <c r="BQ988" s="23"/>
      <c r="BR988" s="23"/>
      <c r="BS988" s="23"/>
      <c r="BT988" s="23"/>
      <c r="BU988" s="23"/>
      <c r="BV988" s="23"/>
      <c r="BW988" s="23"/>
      <c r="BX988" s="23"/>
      <c r="BY988" s="23"/>
      <c r="BZ988" s="23"/>
      <c r="CA988" s="23"/>
      <c r="CB988" s="23"/>
      <c r="CC988" s="23"/>
      <c r="CD988" s="23"/>
      <c r="CE988" s="23"/>
      <c r="CF988" s="23"/>
      <c r="CG988" s="23"/>
      <c r="CH988" s="23"/>
      <c r="CI988" s="23"/>
      <c r="CJ988" s="23"/>
      <c r="CK988" s="23"/>
    </row>
    <row r="989" spans="1: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c r="AZ989" s="23"/>
      <c r="BA989" s="23"/>
      <c r="BB989" s="23"/>
      <c r="BC989" s="23"/>
      <c r="BD989" s="23"/>
      <c r="BE989" s="23"/>
      <c r="BF989" s="23"/>
      <c r="BG989" s="23"/>
      <c r="BH989" s="23"/>
      <c r="BI989" s="23"/>
      <c r="BJ989" s="23"/>
      <c r="BK989" s="23"/>
      <c r="BL989" s="23"/>
      <c r="BM989" s="23"/>
      <c r="BN989" s="23"/>
      <c r="BO989" s="23"/>
      <c r="BP989" s="23"/>
      <c r="BQ989" s="23"/>
      <c r="BR989" s="23"/>
      <c r="BS989" s="23"/>
      <c r="BT989" s="23"/>
      <c r="BU989" s="23"/>
      <c r="BV989" s="23"/>
      <c r="BW989" s="23"/>
      <c r="BX989" s="23"/>
      <c r="BY989" s="23"/>
      <c r="BZ989" s="23"/>
      <c r="CA989" s="23"/>
      <c r="CB989" s="23"/>
      <c r="CC989" s="23"/>
      <c r="CD989" s="23"/>
      <c r="CE989" s="23"/>
      <c r="CF989" s="23"/>
      <c r="CG989" s="23"/>
      <c r="CH989" s="23"/>
      <c r="CI989" s="23"/>
      <c r="CJ989" s="23"/>
      <c r="CK989" s="23"/>
    </row>
    <row r="990" spans="1:89">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c r="AZ990" s="23"/>
      <c r="BA990" s="23"/>
      <c r="BB990" s="23"/>
      <c r="BC990" s="23"/>
      <c r="BD990" s="23"/>
      <c r="BE990" s="23"/>
      <c r="BF990" s="23"/>
      <c r="BG990" s="23"/>
      <c r="BH990" s="23"/>
      <c r="BI990" s="23"/>
      <c r="BJ990" s="23"/>
      <c r="BK990" s="23"/>
      <c r="BL990" s="23"/>
      <c r="BM990" s="23"/>
      <c r="BN990" s="23"/>
      <c r="BO990" s="23"/>
      <c r="BP990" s="23"/>
      <c r="BQ990" s="23"/>
      <c r="BR990" s="23"/>
      <c r="BS990" s="23"/>
      <c r="BT990" s="23"/>
      <c r="BU990" s="23"/>
      <c r="BV990" s="23"/>
      <c r="BW990" s="23"/>
      <c r="BX990" s="23"/>
      <c r="BY990" s="23"/>
      <c r="BZ990" s="23"/>
      <c r="CA990" s="23"/>
      <c r="CB990" s="23"/>
      <c r="CC990" s="23"/>
      <c r="CD990" s="23"/>
      <c r="CE990" s="23"/>
      <c r="CF990" s="23"/>
      <c r="CG990" s="23"/>
      <c r="CH990" s="23"/>
      <c r="CI990" s="23"/>
      <c r="CJ990" s="23"/>
      <c r="CK990" s="23"/>
    </row>
    <row r="991" spans="1:89">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c r="AZ991" s="23"/>
      <c r="BA991" s="23"/>
      <c r="BB991" s="23"/>
      <c r="BC991" s="23"/>
      <c r="BD991" s="23"/>
      <c r="BE991" s="23"/>
      <c r="BF991" s="23"/>
      <c r="BG991" s="23"/>
      <c r="BH991" s="23"/>
      <c r="BI991" s="23"/>
      <c r="BJ991" s="23"/>
      <c r="BK991" s="23"/>
      <c r="BL991" s="23"/>
      <c r="BM991" s="23"/>
      <c r="BN991" s="23"/>
      <c r="BO991" s="23"/>
      <c r="BP991" s="23"/>
      <c r="BQ991" s="23"/>
      <c r="BR991" s="23"/>
      <c r="BS991" s="23"/>
      <c r="BT991" s="23"/>
      <c r="BU991" s="23"/>
      <c r="BV991" s="23"/>
      <c r="BW991" s="23"/>
      <c r="BX991" s="23"/>
      <c r="BY991" s="23"/>
      <c r="BZ991" s="23"/>
      <c r="CA991" s="23"/>
      <c r="CB991" s="23"/>
      <c r="CC991" s="23"/>
      <c r="CD991" s="23"/>
      <c r="CE991" s="23"/>
      <c r="CF991" s="23"/>
      <c r="CG991" s="23"/>
      <c r="CH991" s="23"/>
      <c r="CI991" s="23"/>
      <c r="CJ991" s="23"/>
      <c r="CK991" s="23"/>
    </row>
    <row r="992" spans="1:89">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c r="AZ992" s="23"/>
      <c r="BA992" s="23"/>
      <c r="BB992" s="23"/>
      <c r="BC992" s="23"/>
      <c r="BD992" s="23"/>
      <c r="BE992" s="23"/>
      <c r="BF992" s="23"/>
      <c r="BG992" s="23"/>
      <c r="BH992" s="23"/>
      <c r="BI992" s="23"/>
      <c r="BJ992" s="23"/>
      <c r="BK992" s="23"/>
      <c r="BL992" s="23"/>
      <c r="BM992" s="23"/>
      <c r="BN992" s="23"/>
      <c r="BO992" s="23"/>
      <c r="BP992" s="23"/>
      <c r="BQ992" s="23"/>
      <c r="BR992" s="23"/>
      <c r="BS992" s="23"/>
      <c r="BT992" s="23"/>
      <c r="BU992" s="23"/>
      <c r="BV992" s="23"/>
      <c r="BW992" s="23"/>
      <c r="BX992" s="23"/>
      <c r="BY992" s="23"/>
      <c r="BZ992" s="23"/>
      <c r="CA992" s="23"/>
      <c r="CB992" s="23"/>
      <c r="CC992" s="23"/>
      <c r="CD992" s="23"/>
      <c r="CE992" s="23"/>
      <c r="CF992" s="23"/>
      <c r="CG992" s="23"/>
      <c r="CH992" s="23"/>
      <c r="CI992" s="23"/>
      <c r="CJ992" s="23"/>
      <c r="CK992" s="23"/>
    </row>
    <row r="993" spans="1:89">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c r="AZ993" s="23"/>
      <c r="BA993" s="23"/>
      <c r="BB993" s="23"/>
      <c r="BC993" s="23"/>
      <c r="BD993" s="23"/>
      <c r="BE993" s="23"/>
      <c r="BF993" s="23"/>
      <c r="BG993" s="23"/>
      <c r="BH993" s="23"/>
      <c r="BI993" s="23"/>
      <c r="BJ993" s="23"/>
      <c r="BK993" s="23"/>
      <c r="BL993" s="23"/>
      <c r="BM993" s="23"/>
      <c r="BN993" s="23"/>
      <c r="BO993" s="23"/>
      <c r="BP993" s="23"/>
      <c r="BQ993" s="23"/>
      <c r="BR993" s="23"/>
      <c r="BS993" s="23"/>
      <c r="BT993" s="23"/>
      <c r="BU993" s="23"/>
      <c r="BV993" s="23"/>
      <c r="BW993" s="23"/>
      <c r="BX993" s="23"/>
      <c r="BY993" s="23"/>
      <c r="BZ993" s="23"/>
      <c r="CA993" s="23"/>
      <c r="CB993" s="23"/>
      <c r="CC993" s="23"/>
      <c r="CD993" s="23"/>
      <c r="CE993" s="23"/>
      <c r="CF993" s="23"/>
      <c r="CG993" s="23"/>
      <c r="CH993" s="23"/>
      <c r="CI993" s="23"/>
      <c r="CJ993" s="23"/>
      <c r="CK993" s="23"/>
    </row>
    <row r="994" spans="1:89">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c r="AZ994" s="23"/>
      <c r="BA994" s="23"/>
      <c r="BB994" s="23"/>
      <c r="BC994" s="23"/>
      <c r="BD994" s="23"/>
      <c r="BE994" s="23"/>
      <c r="BF994" s="23"/>
      <c r="BG994" s="23"/>
      <c r="BH994" s="23"/>
      <c r="BI994" s="23"/>
      <c r="BJ994" s="23"/>
      <c r="BK994" s="23"/>
      <c r="BL994" s="23"/>
      <c r="BM994" s="23"/>
      <c r="BN994" s="23"/>
      <c r="BO994" s="23"/>
      <c r="BP994" s="23"/>
      <c r="BQ994" s="23"/>
      <c r="BR994" s="23"/>
      <c r="BS994" s="23"/>
      <c r="BT994" s="23"/>
      <c r="BU994" s="23"/>
      <c r="BV994" s="23"/>
      <c r="BW994" s="23"/>
      <c r="BX994" s="23"/>
      <c r="BY994" s="23"/>
      <c r="BZ994" s="23"/>
      <c r="CA994" s="23"/>
      <c r="CB994" s="23"/>
      <c r="CC994" s="23"/>
      <c r="CD994" s="23"/>
      <c r="CE994" s="23"/>
      <c r="CF994" s="23"/>
      <c r="CG994" s="23"/>
      <c r="CH994" s="23"/>
      <c r="CI994" s="23"/>
      <c r="CJ994" s="23"/>
      <c r="CK994" s="23"/>
    </row>
    <row r="995" spans="1:89">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c r="AZ995" s="23"/>
      <c r="BA995" s="23"/>
      <c r="BB995" s="23"/>
      <c r="BC995" s="23"/>
      <c r="BD995" s="23"/>
      <c r="BE995" s="23"/>
      <c r="BF995" s="23"/>
      <c r="BG995" s="23"/>
      <c r="BH995" s="23"/>
      <c r="BI995" s="23"/>
      <c r="BJ995" s="23"/>
      <c r="BK995" s="23"/>
      <c r="BL995" s="23"/>
      <c r="BM995" s="23"/>
      <c r="BN995" s="23"/>
      <c r="BO995" s="23"/>
      <c r="BP995" s="23"/>
      <c r="BQ995" s="23"/>
      <c r="BR995" s="23"/>
      <c r="BS995" s="23"/>
      <c r="BT995" s="23"/>
      <c r="BU995" s="23"/>
      <c r="BV995" s="23"/>
      <c r="BW995" s="23"/>
      <c r="BX995" s="23"/>
      <c r="BY995" s="23"/>
      <c r="BZ995" s="23"/>
      <c r="CA995" s="23"/>
      <c r="CB995" s="23"/>
      <c r="CC995" s="23"/>
      <c r="CD995" s="23"/>
      <c r="CE995" s="23"/>
      <c r="CF995" s="23"/>
      <c r="CG995" s="23"/>
      <c r="CH995" s="23"/>
      <c r="CI995" s="23"/>
      <c r="CJ995" s="23"/>
      <c r="CK995" s="23"/>
    </row>
    <row r="996" spans="1:89">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c r="AZ996" s="23"/>
      <c r="BA996" s="23"/>
      <c r="BB996" s="23"/>
      <c r="BC996" s="23"/>
      <c r="BD996" s="23"/>
      <c r="BE996" s="23"/>
      <c r="BF996" s="23"/>
      <c r="BG996" s="23"/>
      <c r="BH996" s="23"/>
      <c r="BI996" s="23"/>
      <c r="BJ996" s="23"/>
      <c r="BK996" s="23"/>
      <c r="BL996" s="23"/>
      <c r="BM996" s="23"/>
      <c r="BN996" s="23"/>
      <c r="BO996" s="23"/>
      <c r="BP996" s="23"/>
      <c r="BQ996" s="23"/>
      <c r="BR996" s="23"/>
      <c r="BS996" s="23"/>
      <c r="BT996" s="23"/>
      <c r="BU996" s="23"/>
      <c r="BV996" s="23"/>
      <c r="BW996" s="23"/>
      <c r="BX996" s="23"/>
      <c r="BY996" s="23"/>
      <c r="BZ996" s="23"/>
      <c r="CA996" s="23"/>
      <c r="CB996" s="23"/>
      <c r="CC996" s="23"/>
      <c r="CD996" s="23"/>
      <c r="CE996" s="23"/>
      <c r="CF996" s="23"/>
      <c r="CG996" s="23"/>
      <c r="CH996" s="23"/>
      <c r="CI996" s="23"/>
      <c r="CJ996" s="23"/>
      <c r="CK996" s="23"/>
    </row>
    <row r="997" spans="1:89">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c r="AZ997" s="23"/>
      <c r="BA997" s="23"/>
      <c r="BB997" s="23"/>
      <c r="BC997" s="23"/>
      <c r="BD997" s="23"/>
      <c r="BE997" s="23"/>
      <c r="BF997" s="23"/>
      <c r="BG997" s="23"/>
      <c r="BH997" s="23"/>
      <c r="BI997" s="23"/>
      <c r="BJ997" s="23"/>
      <c r="BK997" s="23"/>
      <c r="BL997" s="23"/>
      <c r="BM997" s="23"/>
      <c r="BN997" s="23"/>
      <c r="BO997" s="23"/>
      <c r="BP997" s="23"/>
      <c r="BQ997" s="23"/>
      <c r="BR997" s="23"/>
      <c r="BS997" s="23"/>
      <c r="BT997" s="23"/>
      <c r="BU997" s="23"/>
      <c r="BV997" s="23"/>
      <c r="BW997" s="23"/>
      <c r="BX997" s="23"/>
      <c r="BY997" s="23"/>
      <c r="BZ997" s="23"/>
      <c r="CA997" s="23"/>
      <c r="CB997" s="23"/>
      <c r="CC997" s="23"/>
      <c r="CD997" s="23"/>
      <c r="CE997" s="23"/>
      <c r="CF997" s="23"/>
      <c r="CG997" s="23"/>
      <c r="CH997" s="23"/>
      <c r="CI997" s="23"/>
      <c r="CJ997" s="23"/>
      <c r="CK997" s="23"/>
    </row>
    <row r="998" spans="1:89">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c r="AZ998" s="23"/>
      <c r="BA998" s="23"/>
      <c r="BB998" s="23"/>
      <c r="BC998" s="23"/>
      <c r="BD998" s="23"/>
      <c r="BE998" s="23"/>
      <c r="BF998" s="23"/>
      <c r="BG998" s="23"/>
      <c r="BH998" s="23"/>
      <c r="BI998" s="23"/>
      <c r="BJ998" s="23"/>
      <c r="BK998" s="23"/>
      <c r="BL998" s="23"/>
      <c r="BM998" s="23"/>
      <c r="BN998" s="23"/>
      <c r="BO998" s="23"/>
      <c r="BP998" s="23"/>
      <c r="BQ998" s="23"/>
      <c r="BR998" s="23"/>
      <c r="BS998" s="23"/>
      <c r="BT998" s="23"/>
      <c r="BU998" s="23"/>
      <c r="BV998" s="23"/>
      <c r="BW998" s="23"/>
      <c r="BX998" s="23"/>
      <c r="BY998" s="23"/>
      <c r="BZ998" s="23"/>
      <c r="CA998" s="23"/>
      <c r="CB998" s="23"/>
      <c r="CC998" s="23"/>
      <c r="CD998" s="23"/>
      <c r="CE998" s="23"/>
      <c r="CF998" s="23"/>
      <c r="CG998" s="23"/>
      <c r="CH998" s="23"/>
      <c r="CI998" s="23"/>
      <c r="CJ998" s="23"/>
      <c r="CK998" s="23"/>
    </row>
    <row r="999" spans="1:8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c r="AZ999" s="23"/>
      <c r="BA999" s="23"/>
      <c r="BB999" s="23"/>
      <c r="BC999" s="23"/>
      <c r="BD999" s="23"/>
      <c r="BE999" s="23"/>
      <c r="BF999" s="23"/>
      <c r="BG999" s="23"/>
      <c r="BH999" s="23"/>
      <c r="BI999" s="23"/>
      <c r="BJ999" s="23"/>
      <c r="BK999" s="23"/>
      <c r="BL999" s="23"/>
      <c r="BM999" s="23"/>
      <c r="BN999" s="23"/>
      <c r="BO999" s="23"/>
      <c r="BP999" s="23"/>
      <c r="BQ999" s="23"/>
      <c r="BR999" s="23"/>
      <c r="BS999" s="23"/>
      <c r="BT999" s="23"/>
      <c r="BU999" s="23"/>
      <c r="BV999" s="23"/>
      <c r="BW999" s="23"/>
      <c r="BX999" s="23"/>
      <c r="BY999" s="23"/>
      <c r="BZ999" s="23"/>
      <c r="CA999" s="23"/>
      <c r="CB999" s="23"/>
      <c r="CC999" s="23"/>
      <c r="CD999" s="23"/>
      <c r="CE999" s="23"/>
      <c r="CF999" s="23"/>
      <c r="CG999" s="23"/>
      <c r="CH999" s="23"/>
      <c r="CI999" s="23"/>
      <c r="CJ999" s="23"/>
      <c r="CK999" s="23"/>
    </row>
    <row r="1000" spans="1:89">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c r="AZ1000" s="23"/>
      <c r="BA1000" s="23"/>
      <c r="BB1000" s="23"/>
      <c r="BC1000" s="23"/>
      <c r="BD1000" s="23"/>
      <c r="BE1000" s="23"/>
      <c r="BF1000" s="23"/>
      <c r="BG1000" s="23"/>
      <c r="BH1000" s="23"/>
      <c r="BI1000" s="23"/>
      <c r="BJ1000" s="23"/>
      <c r="BK1000" s="23"/>
      <c r="BL1000" s="23"/>
      <c r="BM1000" s="23"/>
      <c r="BN1000" s="23"/>
      <c r="BO1000" s="23"/>
      <c r="BP1000" s="23"/>
      <c r="BQ1000" s="23"/>
      <c r="BR1000" s="23"/>
      <c r="BS1000" s="23"/>
      <c r="BT1000" s="23"/>
      <c r="BU1000" s="23"/>
      <c r="BV1000" s="23"/>
      <c r="BW1000" s="23"/>
      <c r="BX1000" s="23"/>
      <c r="BY1000" s="23"/>
      <c r="BZ1000" s="23"/>
      <c r="CA1000" s="23"/>
      <c r="CB1000" s="23"/>
      <c r="CC1000" s="23"/>
      <c r="CD1000" s="23"/>
      <c r="CE1000" s="23"/>
      <c r="CF1000" s="23"/>
      <c r="CG1000" s="23"/>
      <c r="CH1000" s="23"/>
      <c r="CI1000" s="23"/>
      <c r="CJ1000" s="23"/>
      <c r="CK1000" s="23"/>
    </row>
    <row r="1001" spans="1:89">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c r="AV1001" s="23"/>
      <c r="AW1001" s="23"/>
      <c r="AX1001" s="23"/>
      <c r="AY1001" s="23"/>
      <c r="AZ1001" s="23"/>
      <c r="BA1001" s="23"/>
      <c r="BB1001" s="23"/>
      <c r="BC1001" s="23"/>
      <c r="BD1001" s="23"/>
      <c r="BE1001" s="23"/>
      <c r="BF1001" s="23"/>
      <c r="BG1001" s="23"/>
      <c r="BH1001" s="23"/>
      <c r="BI1001" s="23"/>
      <c r="BJ1001" s="23"/>
      <c r="BK1001" s="23"/>
      <c r="BL1001" s="23"/>
      <c r="BM1001" s="23"/>
      <c r="BN1001" s="23"/>
      <c r="BO1001" s="23"/>
      <c r="BP1001" s="23"/>
      <c r="BQ1001" s="23"/>
      <c r="BR1001" s="23"/>
      <c r="BS1001" s="23"/>
      <c r="BT1001" s="23"/>
      <c r="BU1001" s="23"/>
      <c r="BV1001" s="23"/>
      <c r="BW1001" s="23"/>
      <c r="BX1001" s="23"/>
      <c r="BY1001" s="23"/>
      <c r="BZ1001" s="23"/>
      <c r="CA1001" s="23"/>
      <c r="CB1001" s="23"/>
      <c r="CC1001" s="23"/>
      <c r="CD1001" s="23"/>
      <c r="CE1001" s="23"/>
      <c r="CF1001" s="23"/>
      <c r="CG1001" s="23"/>
      <c r="CH1001" s="23"/>
      <c r="CI1001" s="23"/>
      <c r="CJ1001" s="23"/>
      <c r="CK1001" s="23"/>
    </row>
    <row r="1002" spans="1:89">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c r="AV1002" s="23"/>
      <c r="AW1002" s="23"/>
      <c r="AX1002" s="23"/>
      <c r="AY1002" s="23"/>
      <c r="AZ1002" s="23"/>
      <c r="BA1002" s="23"/>
      <c r="BB1002" s="23"/>
      <c r="BC1002" s="23"/>
      <c r="BD1002" s="23"/>
      <c r="BE1002" s="23"/>
      <c r="BF1002" s="23"/>
      <c r="BG1002" s="23"/>
      <c r="BH1002" s="23"/>
      <c r="BI1002" s="23"/>
      <c r="BJ1002" s="23"/>
      <c r="BK1002" s="23"/>
      <c r="BL1002" s="23"/>
      <c r="BM1002" s="23"/>
      <c r="BN1002" s="23"/>
      <c r="BO1002" s="23"/>
      <c r="BP1002" s="23"/>
      <c r="BQ1002" s="23"/>
      <c r="BR1002" s="23"/>
      <c r="BS1002" s="23"/>
      <c r="BT1002" s="23"/>
      <c r="BU1002" s="23"/>
      <c r="BV1002" s="23"/>
      <c r="BW1002" s="23"/>
      <c r="BX1002" s="23"/>
      <c r="BY1002" s="23"/>
      <c r="BZ1002" s="23"/>
      <c r="CA1002" s="23"/>
      <c r="CB1002" s="23"/>
      <c r="CC1002" s="23"/>
      <c r="CD1002" s="23"/>
      <c r="CE1002" s="23"/>
      <c r="CF1002" s="23"/>
      <c r="CG1002" s="23"/>
      <c r="CH1002" s="23"/>
      <c r="CI1002" s="23"/>
      <c r="CJ1002" s="23"/>
      <c r="CK1002" s="23"/>
    </row>
    <row r="1003" spans="1:89">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c r="AV1003" s="23"/>
      <c r="AW1003" s="23"/>
      <c r="AX1003" s="23"/>
      <c r="AY1003" s="23"/>
      <c r="AZ1003" s="23"/>
      <c r="BA1003" s="23"/>
      <c r="BB1003" s="23"/>
      <c r="BC1003" s="23"/>
      <c r="BD1003" s="23"/>
      <c r="BE1003" s="23"/>
      <c r="BF1003" s="23"/>
      <c r="BG1003" s="23"/>
      <c r="BH1003" s="23"/>
      <c r="BI1003" s="23"/>
      <c r="BJ1003" s="23"/>
      <c r="BK1003" s="23"/>
      <c r="BL1003" s="23"/>
      <c r="BM1003" s="23"/>
      <c r="BN1003" s="23"/>
      <c r="BO1003" s="23"/>
      <c r="BP1003" s="23"/>
      <c r="BQ1003" s="23"/>
      <c r="BR1003" s="23"/>
      <c r="BS1003" s="23"/>
      <c r="BT1003" s="23"/>
      <c r="BU1003" s="23"/>
      <c r="BV1003" s="23"/>
      <c r="BW1003" s="23"/>
      <c r="BX1003" s="23"/>
      <c r="BY1003" s="23"/>
      <c r="BZ1003" s="23"/>
      <c r="CA1003" s="23"/>
      <c r="CB1003" s="23"/>
      <c r="CC1003" s="23"/>
      <c r="CD1003" s="23"/>
      <c r="CE1003" s="23"/>
      <c r="CF1003" s="23"/>
      <c r="CG1003" s="23"/>
      <c r="CH1003" s="23"/>
      <c r="CI1003" s="23"/>
      <c r="CJ1003" s="23"/>
      <c r="CK1003" s="23"/>
    </row>
    <row r="1004" spans="1:89">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c r="AV1004" s="23"/>
      <c r="AW1004" s="23"/>
      <c r="AX1004" s="23"/>
      <c r="AY1004" s="23"/>
      <c r="AZ1004" s="23"/>
      <c r="BA1004" s="23"/>
      <c r="BB1004" s="23"/>
      <c r="BC1004" s="23"/>
      <c r="BD1004" s="23"/>
      <c r="BE1004" s="23"/>
      <c r="BF1004" s="23"/>
      <c r="BG1004" s="23"/>
      <c r="BH1004" s="23"/>
      <c r="BI1004" s="23"/>
      <c r="BJ1004" s="23"/>
      <c r="BK1004" s="23"/>
      <c r="BL1004" s="23"/>
      <c r="BM1004" s="23"/>
      <c r="BN1004" s="23"/>
      <c r="BO1004" s="23"/>
      <c r="BP1004" s="23"/>
      <c r="BQ1004" s="23"/>
      <c r="BR1004" s="23"/>
      <c r="BS1004" s="23"/>
      <c r="BT1004" s="23"/>
      <c r="BU1004" s="23"/>
      <c r="BV1004" s="23"/>
      <c r="BW1004" s="23"/>
      <c r="BX1004" s="23"/>
      <c r="BY1004" s="23"/>
      <c r="BZ1004" s="23"/>
      <c r="CA1004" s="23"/>
      <c r="CB1004" s="23"/>
      <c r="CC1004" s="23"/>
      <c r="CD1004" s="23"/>
      <c r="CE1004" s="23"/>
      <c r="CF1004" s="23"/>
      <c r="CG1004" s="23"/>
      <c r="CH1004" s="23"/>
      <c r="CI1004" s="23"/>
      <c r="CJ1004" s="23"/>
      <c r="CK1004" s="23"/>
    </row>
    <row r="1005" spans="1:89">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c r="AV1005" s="23"/>
      <c r="AW1005" s="23"/>
      <c r="AX1005" s="23"/>
      <c r="AY1005" s="23"/>
      <c r="AZ1005" s="23"/>
      <c r="BA1005" s="23"/>
      <c r="BB1005" s="23"/>
      <c r="BC1005" s="23"/>
      <c r="BD1005" s="23"/>
      <c r="BE1005" s="23"/>
      <c r="BF1005" s="23"/>
      <c r="BG1005" s="23"/>
      <c r="BH1005" s="23"/>
      <c r="BI1005" s="23"/>
      <c r="BJ1005" s="23"/>
      <c r="BK1005" s="23"/>
      <c r="BL1005" s="23"/>
      <c r="BM1005" s="23"/>
      <c r="BN1005" s="23"/>
      <c r="BO1005" s="23"/>
      <c r="BP1005" s="23"/>
      <c r="BQ1005" s="23"/>
      <c r="BR1005" s="23"/>
      <c r="BS1005" s="23"/>
      <c r="BT1005" s="23"/>
      <c r="BU1005" s="23"/>
      <c r="BV1005" s="23"/>
      <c r="BW1005" s="23"/>
      <c r="BX1005" s="23"/>
      <c r="BY1005" s="23"/>
      <c r="BZ1005" s="23"/>
      <c r="CA1005" s="23"/>
      <c r="CB1005" s="23"/>
      <c r="CC1005" s="23"/>
      <c r="CD1005" s="23"/>
      <c r="CE1005" s="23"/>
      <c r="CF1005" s="23"/>
      <c r="CG1005" s="23"/>
      <c r="CH1005" s="23"/>
      <c r="CI1005" s="23"/>
      <c r="CJ1005" s="23"/>
      <c r="CK1005" s="23"/>
    </row>
    <row r="1006" spans="1:89">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c r="AV1006" s="23"/>
      <c r="AW1006" s="23"/>
      <c r="AX1006" s="23"/>
      <c r="AY1006" s="23"/>
      <c r="AZ1006" s="23"/>
      <c r="BA1006" s="23"/>
      <c r="BB1006" s="23"/>
      <c r="BC1006" s="23"/>
      <c r="BD1006" s="23"/>
      <c r="BE1006" s="23"/>
      <c r="BF1006" s="23"/>
      <c r="BG1006" s="23"/>
      <c r="BH1006" s="23"/>
      <c r="BI1006" s="23"/>
      <c r="BJ1006" s="23"/>
      <c r="BK1006" s="23"/>
      <c r="BL1006" s="23"/>
      <c r="BM1006" s="23"/>
      <c r="BN1006" s="23"/>
      <c r="BO1006" s="23"/>
      <c r="BP1006" s="23"/>
      <c r="BQ1006" s="23"/>
      <c r="BR1006" s="23"/>
      <c r="BS1006" s="23"/>
      <c r="BT1006" s="23"/>
      <c r="BU1006" s="23"/>
      <c r="BV1006" s="23"/>
      <c r="BW1006" s="23"/>
      <c r="BX1006" s="23"/>
      <c r="BY1006" s="23"/>
      <c r="BZ1006" s="23"/>
      <c r="CA1006" s="23"/>
      <c r="CB1006" s="23"/>
      <c r="CC1006" s="23"/>
      <c r="CD1006" s="23"/>
      <c r="CE1006" s="23"/>
      <c r="CF1006" s="23"/>
      <c r="CG1006" s="23"/>
      <c r="CH1006" s="23"/>
      <c r="CI1006" s="23"/>
      <c r="CJ1006" s="23"/>
      <c r="CK1006" s="23"/>
    </row>
    <row r="1007" spans="1:89">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c r="AV1007" s="23"/>
      <c r="AW1007" s="23"/>
      <c r="AX1007" s="23"/>
      <c r="AY1007" s="23"/>
      <c r="AZ1007" s="23"/>
      <c r="BA1007" s="23"/>
      <c r="BB1007" s="23"/>
      <c r="BC1007" s="23"/>
      <c r="BD1007" s="23"/>
      <c r="BE1007" s="23"/>
      <c r="BF1007" s="23"/>
      <c r="BG1007" s="23"/>
      <c r="BH1007" s="23"/>
      <c r="BI1007" s="23"/>
      <c r="BJ1007" s="23"/>
      <c r="BK1007" s="23"/>
      <c r="BL1007" s="23"/>
      <c r="BM1007" s="23"/>
      <c r="BN1007" s="23"/>
      <c r="BO1007" s="23"/>
      <c r="BP1007" s="23"/>
      <c r="BQ1007" s="23"/>
      <c r="BR1007" s="23"/>
      <c r="BS1007" s="23"/>
      <c r="BT1007" s="23"/>
      <c r="BU1007" s="23"/>
      <c r="BV1007" s="23"/>
      <c r="BW1007" s="23"/>
      <c r="BX1007" s="23"/>
      <c r="BY1007" s="23"/>
      <c r="BZ1007" s="23"/>
      <c r="CA1007" s="23"/>
      <c r="CB1007" s="23"/>
      <c r="CC1007" s="23"/>
      <c r="CD1007" s="23"/>
      <c r="CE1007" s="23"/>
      <c r="CF1007" s="23"/>
      <c r="CG1007" s="23"/>
      <c r="CH1007" s="23"/>
      <c r="CI1007" s="23"/>
      <c r="CJ1007" s="23"/>
      <c r="CK1007" s="23"/>
    </row>
    <row r="1008" spans="1:89">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c r="AV1008" s="23"/>
      <c r="AW1008" s="23"/>
      <c r="AX1008" s="23"/>
      <c r="AY1008" s="23"/>
      <c r="AZ1008" s="23"/>
      <c r="BA1008" s="23"/>
      <c r="BB1008" s="23"/>
      <c r="BC1008" s="23"/>
      <c r="BD1008" s="23"/>
      <c r="BE1008" s="23"/>
      <c r="BF1008" s="23"/>
      <c r="BG1008" s="23"/>
      <c r="BH1008" s="23"/>
      <c r="BI1008" s="23"/>
      <c r="BJ1008" s="23"/>
      <c r="BK1008" s="23"/>
      <c r="BL1008" s="23"/>
      <c r="BM1008" s="23"/>
      <c r="BN1008" s="23"/>
      <c r="BO1008" s="23"/>
      <c r="BP1008" s="23"/>
      <c r="BQ1008" s="23"/>
      <c r="BR1008" s="23"/>
      <c r="BS1008" s="23"/>
      <c r="BT1008" s="23"/>
      <c r="BU1008" s="23"/>
      <c r="BV1008" s="23"/>
      <c r="BW1008" s="23"/>
      <c r="BX1008" s="23"/>
      <c r="BY1008" s="23"/>
      <c r="BZ1008" s="23"/>
      <c r="CA1008" s="23"/>
      <c r="CB1008" s="23"/>
      <c r="CC1008" s="23"/>
      <c r="CD1008" s="23"/>
      <c r="CE1008" s="23"/>
      <c r="CF1008" s="23"/>
      <c r="CG1008" s="23"/>
      <c r="CH1008" s="23"/>
      <c r="CI1008" s="23"/>
      <c r="CJ1008" s="23"/>
      <c r="CK1008" s="23"/>
    </row>
    <row r="1009" spans="1:8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c r="AV1009" s="23"/>
      <c r="AW1009" s="23"/>
      <c r="AX1009" s="23"/>
      <c r="AY1009" s="23"/>
      <c r="AZ1009" s="23"/>
      <c r="BA1009" s="23"/>
      <c r="BB1009" s="23"/>
      <c r="BC1009" s="23"/>
      <c r="BD1009" s="23"/>
      <c r="BE1009" s="23"/>
      <c r="BF1009" s="23"/>
      <c r="BG1009" s="23"/>
      <c r="BH1009" s="23"/>
      <c r="BI1009" s="23"/>
      <c r="BJ1009" s="23"/>
      <c r="BK1009" s="23"/>
      <c r="BL1009" s="23"/>
      <c r="BM1009" s="23"/>
      <c r="BN1009" s="23"/>
      <c r="BO1009" s="23"/>
      <c r="BP1009" s="23"/>
      <c r="BQ1009" s="23"/>
      <c r="BR1009" s="23"/>
      <c r="BS1009" s="23"/>
      <c r="BT1009" s="23"/>
      <c r="BU1009" s="23"/>
      <c r="BV1009" s="23"/>
      <c r="BW1009" s="23"/>
      <c r="BX1009" s="23"/>
      <c r="BY1009" s="23"/>
      <c r="BZ1009" s="23"/>
      <c r="CA1009" s="23"/>
      <c r="CB1009" s="23"/>
      <c r="CC1009" s="23"/>
      <c r="CD1009" s="23"/>
      <c r="CE1009" s="23"/>
      <c r="CF1009" s="23"/>
      <c r="CG1009" s="23"/>
      <c r="CH1009" s="23"/>
      <c r="CI1009" s="23"/>
      <c r="CJ1009" s="23"/>
      <c r="CK1009" s="23"/>
    </row>
    <row r="1010" spans="1:89">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c r="AV1010" s="23"/>
      <c r="AW1010" s="23"/>
      <c r="AX1010" s="23"/>
      <c r="AY1010" s="23"/>
      <c r="AZ1010" s="23"/>
      <c r="BA1010" s="23"/>
      <c r="BB1010" s="23"/>
      <c r="BC1010" s="23"/>
      <c r="BD1010" s="23"/>
      <c r="BE1010" s="23"/>
      <c r="BF1010" s="23"/>
      <c r="BG1010" s="23"/>
      <c r="BH1010" s="23"/>
      <c r="BI1010" s="23"/>
      <c r="BJ1010" s="23"/>
      <c r="BK1010" s="23"/>
      <c r="BL1010" s="23"/>
      <c r="BM1010" s="23"/>
      <c r="BN1010" s="23"/>
      <c r="BO1010" s="23"/>
      <c r="BP1010" s="23"/>
      <c r="BQ1010" s="23"/>
      <c r="BR1010" s="23"/>
      <c r="BS1010" s="23"/>
      <c r="BT1010" s="23"/>
      <c r="BU1010" s="23"/>
      <c r="BV1010" s="23"/>
      <c r="BW1010" s="23"/>
      <c r="BX1010" s="23"/>
      <c r="BY1010" s="23"/>
      <c r="BZ1010" s="23"/>
      <c r="CA1010" s="23"/>
      <c r="CB1010" s="23"/>
      <c r="CC1010" s="23"/>
      <c r="CD1010" s="23"/>
      <c r="CE1010" s="23"/>
      <c r="CF1010" s="23"/>
      <c r="CG1010" s="23"/>
      <c r="CH1010" s="23"/>
      <c r="CI1010" s="23"/>
      <c r="CJ1010" s="23"/>
      <c r="CK1010" s="23"/>
    </row>
    <row r="1011" spans="1:89">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c r="AV1011" s="23"/>
      <c r="AW1011" s="23"/>
      <c r="AX1011" s="23"/>
      <c r="AY1011" s="23"/>
      <c r="AZ1011" s="23"/>
      <c r="BA1011" s="23"/>
      <c r="BB1011" s="23"/>
      <c r="BC1011" s="23"/>
      <c r="BD1011" s="23"/>
      <c r="BE1011" s="23"/>
      <c r="BF1011" s="23"/>
      <c r="BG1011" s="23"/>
      <c r="BH1011" s="23"/>
      <c r="BI1011" s="23"/>
      <c r="BJ1011" s="23"/>
      <c r="BK1011" s="23"/>
      <c r="BL1011" s="23"/>
      <c r="BM1011" s="23"/>
      <c r="BN1011" s="23"/>
      <c r="BO1011" s="23"/>
      <c r="BP1011" s="23"/>
      <c r="BQ1011" s="23"/>
      <c r="BR1011" s="23"/>
      <c r="BS1011" s="23"/>
      <c r="BT1011" s="23"/>
      <c r="BU1011" s="23"/>
      <c r="BV1011" s="23"/>
      <c r="BW1011" s="23"/>
      <c r="BX1011" s="23"/>
      <c r="BY1011" s="23"/>
      <c r="BZ1011" s="23"/>
      <c r="CA1011" s="23"/>
      <c r="CB1011" s="23"/>
      <c r="CC1011" s="23"/>
      <c r="CD1011" s="23"/>
      <c r="CE1011" s="23"/>
      <c r="CF1011" s="23"/>
      <c r="CG1011" s="23"/>
      <c r="CH1011" s="23"/>
      <c r="CI1011" s="23"/>
      <c r="CJ1011" s="23"/>
      <c r="CK1011" s="23"/>
    </row>
    <row r="1012" spans="1:89">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c r="AV1012" s="23"/>
      <c r="AW1012" s="23"/>
      <c r="AX1012" s="23"/>
      <c r="AY1012" s="23"/>
      <c r="AZ1012" s="23"/>
      <c r="BA1012" s="23"/>
      <c r="BB1012" s="23"/>
      <c r="BC1012" s="23"/>
      <c r="BD1012" s="23"/>
      <c r="BE1012" s="23"/>
      <c r="BF1012" s="23"/>
      <c r="BG1012" s="23"/>
      <c r="BH1012" s="23"/>
      <c r="BI1012" s="23"/>
      <c r="BJ1012" s="23"/>
      <c r="BK1012" s="23"/>
      <c r="BL1012" s="23"/>
      <c r="BM1012" s="23"/>
      <c r="BN1012" s="23"/>
      <c r="BO1012" s="23"/>
      <c r="BP1012" s="23"/>
      <c r="BQ1012" s="23"/>
      <c r="BR1012" s="23"/>
      <c r="BS1012" s="23"/>
      <c r="BT1012" s="23"/>
      <c r="BU1012" s="23"/>
      <c r="BV1012" s="23"/>
      <c r="BW1012" s="23"/>
      <c r="BX1012" s="23"/>
      <c r="BY1012" s="23"/>
      <c r="BZ1012" s="23"/>
      <c r="CA1012" s="23"/>
      <c r="CB1012" s="23"/>
      <c r="CC1012" s="23"/>
      <c r="CD1012" s="23"/>
      <c r="CE1012" s="23"/>
      <c r="CF1012" s="23"/>
      <c r="CG1012" s="23"/>
      <c r="CH1012" s="23"/>
      <c r="CI1012" s="23"/>
      <c r="CJ1012" s="23"/>
      <c r="CK1012" s="23"/>
    </row>
    <row r="1013" spans="1:89">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c r="AV1013" s="23"/>
      <c r="AW1013" s="23"/>
      <c r="AX1013" s="23"/>
      <c r="AY1013" s="23"/>
      <c r="AZ1013" s="23"/>
      <c r="BA1013" s="23"/>
      <c r="BB1013" s="23"/>
      <c r="BC1013" s="23"/>
      <c r="BD1013" s="23"/>
      <c r="BE1013" s="23"/>
      <c r="BF1013" s="23"/>
      <c r="BG1013" s="23"/>
      <c r="BH1013" s="23"/>
      <c r="BI1013" s="23"/>
      <c r="BJ1013" s="23"/>
      <c r="BK1013" s="23"/>
      <c r="BL1013" s="23"/>
      <c r="BM1013" s="23"/>
      <c r="BN1013" s="23"/>
      <c r="BO1013" s="23"/>
      <c r="BP1013" s="23"/>
      <c r="BQ1013" s="23"/>
      <c r="BR1013" s="23"/>
      <c r="BS1013" s="23"/>
      <c r="BT1013" s="23"/>
      <c r="BU1013" s="23"/>
      <c r="BV1013" s="23"/>
      <c r="BW1013" s="23"/>
      <c r="BX1013" s="23"/>
      <c r="BY1013" s="23"/>
      <c r="BZ1013" s="23"/>
      <c r="CA1013" s="23"/>
      <c r="CB1013" s="23"/>
      <c r="CC1013" s="23"/>
      <c r="CD1013" s="23"/>
      <c r="CE1013" s="23"/>
      <c r="CF1013" s="23"/>
      <c r="CG1013" s="23"/>
      <c r="CH1013" s="23"/>
      <c r="CI1013" s="23"/>
      <c r="CJ1013" s="23"/>
      <c r="CK1013" s="23"/>
    </row>
    <row r="1014" spans="1:89">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c r="AV1014" s="23"/>
      <c r="AW1014" s="23"/>
      <c r="AX1014" s="23"/>
      <c r="AY1014" s="23"/>
      <c r="AZ1014" s="23"/>
      <c r="BA1014" s="23"/>
      <c r="BB1014" s="23"/>
      <c r="BC1014" s="23"/>
      <c r="BD1014" s="23"/>
      <c r="BE1014" s="23"/>
      <c r="BF1014" s="23"/>
      <c r="BG1014" s="23"/>
      <c r="BH1014" s="23"/>
      <c r="BI1014" s="23"/>
      <c r="BJ1014" s="23"/>
      <c r="BK1014" s="23"/>
      <c r="BL1014" s="23"/>
      <c r="BM1014" s="23"/>
      <c r="BN1014" s="23"/>
      <c r="BO1014" s="23"/>
      <c r="BP1014" s="23"/>
      <c r="BQ1014" s="23"/>
      <c r="BR1014" s="23"/>
      <c r="BS1014" s="23"/>
      <c r="BT1014" s="23"/>
      <c r="BU1014" s="23"/>
      <c r="BV1014" s="23"/>
      <c r="BW1014" s="23"/>
      <c r="BX1014" s="23"/>
      <c r="BY1014" s="23"/>
      <c r="BZ1014" s="23"/>
      <c r="CA1014" s="23"/>
      <c r="CB1014" s="23"/>
      <c r="CC1014" s="23"/>
      <c r="CD1014" s="23"/>
      <c r="CE1014" s="23"/>
      <c r="CF1014" s="23"/>
      <c r="CG1014" s="23"/>
      <c r="CH1014" s="23"/>
      <c r="CI1014" s="23"/>
      <c r="CJ1014" s="23"/>
      <c r="CK1014" s="23"/>
    </row>
    <row r="1015" spans="1:89">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c r="AV1015" s="23"/>
      <c r="AW1015" s="23"/>
      <c r="AX1015" s="23"/>
      <c r="AY1015" s="23"/>
      <c r="AZ1015" s="23"/>
      <c r="BA1015" s="23"/>
      <c r="BB1015" s="23"/>
      <c r="BC1015" s="23"/>
      <c r="BD1015" s="23"/>
      <c r="BE1015" s="23"/>
      <c r="BF1015" s="23"/>
      <c r="BG1015" s="23"/>
      <c r="BH1015" s="23"/>
      <c r="BI1015" s="23"/>
      <c r="BJ1015" s="23"/>
      <c r="BK1015" s="23"/>
      <c r="BL1015" s="23"/>
      <c r="BM1015" s="23"/>
      <c r="BN1015" s="23"/>
      <c r="BO1015" s="23"/>
      <c r="BP1015" s="23"/>
      <c r="BQ1015" s="23"/>
      <c r="BR1015" s="23"/>
      <c r="BS1015" s="23"/>
      <c r="BT1015" s="23"/>
      <c r="BU1015" s="23"/>
      <c r="BV1015" s="23"/>
      <c r="BW1015" s="23"/>
      <c r="BX1015" s="23"/>
      <c r="BY1015" s="23"/>
      <c r="BZ1015" s="23"/>
      <c r="CA1015" s="23"/>
      <c r="CB1015" s="23"/>
      <c r="CC1015" s="23"/>
      <c r="CD1015" s="23"/>
      <c r="CE1015" s="23"/>
      <c r="CF1015" s="23"/>
      <c r="CG1015" s="23"/>
      <c r="CH1015" s="23"/>
      <c r="CI1015" s="23"/>
      <c r="CJ1015" s="23"/>
      <c r="CK1015" s="23"/>
    </row>
    <row r="1016" spans="1:89">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c r="AV1016" s="23"/>
      <c r="AW1016" s="23"/>
      <c r="AX1016" s="23"/>
      <c r="AY1016" s="23"/>
      <c r="AZ1016" s="23"/>
      <c r="BA1016" s="23"/>
      <c r="BB1016" s="23"/>
      <c r="BC1016" s="23"/>
      <c r="BD1016" s="23"/>
      <c r="BE1016" s="23"/>
      <c r="BF1016" s="23"/>
      <c r="BG1016" s="23"/>
      <c r="BH1016" s="23"/>
      <c r="BI1016" s="23"/>
      <c r="BJ1016" s="23"/>
      <c r="BK1016" s="23"/>
      <c r="BL1016" s="23"/>
      <c r="BM1016" s="23"/>
      <c r="BN1016" s="23"/>
      <c r="BO1016" s="23"/>
      <c r="BP1016" s="23"/>
      <c r="BQ1016" s="23"/>
      <c r="BR1016" s="23"/>
      <c r="BS1016" s="23"/>
      <c r="BT1016" s="23"/>
      <c r="BU1016" s="23"/>
      <c r="BV1016" s="23"/>
      <c r="BW1016" s="23"/>
      <c r="BX1016" s="23"/>
      <c r="BY1016" s="23"/>
      <c r="BZ1016" s="23"/>
      <c r="CA1016" s="23"/>
      <c r="CB1016" s="23"/>
      <c r="CC1016" s="23"/>
      <c r="CD1016" s="23"/>
      <c r="CE1016" s="23"/>
      <c r="CF1016" s="23"/>
      <c r="CG1016" s="23"/>
      <c r="CH1016" s="23"/>
      <c r="CI1016" s="23"/>
      <c r="CJ1016" s="23"/>
      <c r="CK1016" s="23"/>
    </row>
    <row r="1017" spans="1:89">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c r="AV1017" s="23"/>
      <c r="AW1017" s="23"/>
      <c r="AX1017" s="23"/>
      <c r="AY1017" s="23"/>
      <c r="AZ1017" s="23"/>
      <c r="BA1017" s="23"/>
      <c r="BB1017" s="23"/>
      <c r="BC1017" s="23"/>
      <c r="BD1017" s="23"/>
      <c r="BE1017" s="23"/>
      <c r="BF1017" s="23"/>
      <c r="BG1017" s="23"/>
      <c r="BH1017" s="23"/>
      <c r="BI1017" s="23"/>
      <c r="BJ1017" s="23"/>
      <c r="BK1017" s="23"/>
      <c r="BL1017" s="23"/>
      <c r="BM1017" s="23"/>
      <c r="BN1017" s="23"/>
      <c r="BO1017" s="23"/>
      <c r="BP1017" s="23"/>
      <c r="BQ1017" s="23"/>
      <c r="BR1017" s="23"/>
      <c r="BS1017" s="23"/>
      <c r="BT1017" s="23"/>
      <c r="BU1017" s="23"/>
      <c r="BV1017" s="23"/>
      <c r="BW1017" s="23"/>
      <c r="BX1017" s="23"/>
      <c r="BY1017" s="23"/>
      <c r="BZ1017" s="23"/>
      <c r="CA1017" s="23"/>
      <c r="CB1017" s="23"/>
      <c r="CC1017" s="23"/>
      <c r="CD1017" s="23"/>
      <c r="CE1017" s="23"/>
      <c r="CF1017" s="23"/>
      <c r="CG1017" s="23"/>
      <c r="CH1017" s="23"/>
      <c r="CI1017" s="23"/>
      <c r="CJ1017" s="23"/>
      <c r="CK1017" s="23"/>
    </row>
    <row r="1018" spans="1:89">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c r="AV1018" s="23"/>
      <c r="AW1018" s="23"/>
      <c r="AX1018" s="23"/>
      <c r="AY1018" s="23"/>
      <c r="AZ1018" s="23"/>
      <c r="BA1018" s="23"/>
      <c r="BB1018" s="23"/>
      <c r="BC1018" s="23"/>
      <c r="BD1018" s="23"/>
      <c r="BE1018" s="23"/>
      <c r="BF1018" s="23"/>
      <c r="BG1018" s="23"/>
      <c r="BH1018" s="23"/>
      <c r="BI1018" s="23"/>
      <c r="BJ1018" s="23"/>
      <c r="BK1018" s="23"/>
      <c r="BL1018" s="23"/>
      <c r="BM1018" s="23"/>
      <c r="BN1018" s="23"/>
      <c r="BO1018" s="23"/>
      <c r="BP1018" s="23"/>
      <c r="BQ1018" s="23"/>
      <c r="BR1018" s="23"/>
      <c r="BS1018" s="23"/>
      <c r="BT1018" s="23"/>
      <c r="BU1018" s="23"/>
      <c r="BV1018" s="23"/>
      <c r="BW1018" s="23"/>
      <c r="BX1018" s="23"/>
      <c r="BY1018" s="23"/>
      <c r="BZ1018" s="23"/>
      <c r="CA1018" s="23"/>
      <c r="CB1018" s="23"/>
      <c r="CC1018" s="23"/>
      <c r="CD1018" s="23"/>
      <c r="CE1018" s="23"/>
      <c r="CF1018" s="23"/>
      <c r="CG1018" s="23"/>
      <c r="CH1018" s="23"/>
      <c r="CI1018" s="23"/>
      <c r="CJ1018" s="23"/>
      <c r="CK1018" s="23"/>
    </row>
    <row r="1019" spans="1:8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c r="AV1019" s="23"/>
      <c r="AW1019" s="23"/>
      <c r="AX1019" s="23"/>
      <c r="AY1019" s="23"/>
      <c r="AZ1019" s="23"/>
      <c r="BA1019" s="23"/>
      <c r="BB1019" s="23"/>
      <c r="BC1019" s="23"/>
      <c r="BD1019" s="23"/>
      <c r="BE1019" s="23"/>
      <c r="BF1019" s="23"/>
      <c r="BG1019" s="23"/>
      <c r="BH1019" s="23"/>
      <c r="BI1019" s="23"/>
      <c r="BJ1019" s="23"/>
      <c r="BK1019" s="23"/>
      <c r="BL1019" s="23"/>
      <c r="BM1019" s="23"/>
      <c r="BN1019" s="23"/>
      <c r="BO1019" s="23"/>
      <c r="BP1019" s="23"/>
      <c r="BQ1019" s="23"/>
      <c r="BR1019" s="23"/>
      <c r="BS1019" s="23"/>
      <c r="BT1019" s="23"/>
      <c r="BU1019" s="23"/>
      <c r="BV1019" s="23"/>
      <c r="BW1019" s="23"/>
      <c r="BX1019" s="23"/>
      <c r="BY1019" s="23"/>
      <c r="BZ1019" s="23"/>
      <c r="CA1019" s="23"/>
      <c r="CB1019" s="23"/>
      <c r="CC1019" s="23"/>
      <c r="CD1019" s="23"/>
      <c r="CE1019" s="23"/>
      <c r="CF1019" s="23"/>
      <c r="CG1019" s="23"/>
      <c r="CH1019" s="23"/>
      <c r="CI1019" s="23"/>
      <c r="CJ1019" s="23"/>
      <c r="CK1019" s="23"/>
    </row>
    <row r="1020" spans="1:89">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c r="AV1020" s="23"/>
      <c r="AW1020" s="23"/>
      <c r="AX1020" s="23"/>
      <c r="AY1020" s="23"/>
      <c r="AZ1020" s="23"/>
      <c r="BA1020" s="23"/>
      <c r="BB1020" s="23"/>
      <c r="BC1020" s="23"/>
      <c r="BD1020" s="23"/>
      <c r="BE1020" s="23"/>
      <c r="BF1020" s="23"/>
      <c r="BG1020" s="23"/>
      <c r="BH1020" s="23"/>
      <c r="BI1020" s="23"/>
      <c r="BJ1020" s="23"/>
      <c r="BK1020" s="23"/>
      <c r="BL1020" s="23"/>
      <c r="BM1020" s="23"/>
      <c r="BN1020" s="23"/>
      <c r="BO1020" s="23"/>
      <c r="BP1020" s="23"/>
      <c r="BQ1020" s="23"/>
      <c r="BR1020" s="23"/>
      <c r="BS1020" s="23"/>
      <c r="BT1020" s="23"/>
      <c r="BU1020" s="23"/>
      <c r="BV1020" s="23"/>
      <c r="BW1020" s="23"/>
      <c r="BX1020" s="23"/>
      <c r="BY1020" s="23"/>
      <c r="BZ1020" s="23"/>
      <c r="CA1020" s="23"/>
      <c r="CB1020" s="23"/>
      <c r="CC1020" s="23"/>
      <c r="CD1020" s="23"/>
      <c r="CE1020" s="23"/>
      <c r="CF1020" s="23"/>
      <c r="CG1020" s="23"/>
      <c r="CH1020" s="23"/>
      <c r="CI1020" s="23"/>
      <c r="CJ1020" s="23"/>
      <c r="CK1020" s="23"/>
    </row>
    <row r="1021" spans="1:89">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c r="AV1021" s="23"/>
      <c r="AW1021" s="23"/>
      <c r="AX1021" s="23"/>
      <c r="AY1021" s="23"/>
      <c r="AZ1021" s="23"/>
      <c r="BA1021" s="23"/>
      <c r="BB1021" s="23"/>
      <c r="BC1021" s="23"/>
      <c r="BD1021" s="23"/>
      <c r="BE1021" s="23"/>
      <c r="BF1021" s="23"/>
      <c r="BG1021" s="23"/>
      <c r="BH1021" s="23"/>
      <c r="BI1021" s="23"/>
      <c r="BJ1021" s="23"/>
      <c r="BK1021" s="23"/>
      <c r="BL1021" s="23"/>
      <c r="BM1021" s="23"/>
      <c r="BN1021" s="23"/>
      <c r="BO1021" s="23"/>
      <c r="BP1021" s="23"/>
      <c r="BQ1021" s="23"/>
      <c r="BR1021" s="23"/>
      <c r="BS1021" s="23"/>
      <c r="BT1021" s="23"/>
      <c r="BU1021" s="23"/>
      <c r="BV1021" s="23"/>
      <c r="BW1021" s="23"/>
      <c r="BX1021" s="23"/>
      <c r="BY1021" s="23"/>
      <c r="BZ1021" s="23"/>
      <c r="CA1021" s="23"/>
      <c r="CB1021" s="23"/>
      <c r="CC1021" s="23"/>
      <c r="CD1021" s="23"/>
      <c r="CE1021" s="23"/>
      <c r="CF1021" s="23"/>
      <c r="CG1021" s="23"/>
      <c r="CH1021" s="23"/>
      <c r="CI1021" s="23"/>
      <c r="CJ1021" s="23"/>
      <c r="CK1021" s="23"/>
    </row>
    <row r="1022" spans="1:89">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c r="AV1022" s="23"/>
      <c r="AW1022" s="23"/>
      <c r="AX1022" s="23"/>
      <c r="AY1022" s="23"/>
      <c r="AZ1022" s="23"/>
      <c r="BA1022" s="23"/>
      <c r="BB1022" s="23"/>
      <c r="BC1022" s="23"/>
      <c r="BD1022" s="23"/>
      <c r="BE1022" s="23"/>
      <c r="BF1022" s="23"/>
      <c r="BG1022" s="23"/>
      <c r="BH1022" s="23"/>
      <c r="BI1022" s="23"/>
      <c r="BJ1022" s="23"/>
      <c r="BK1022" s="23"/>
      <c r="BL1022" s="23"/>
      <c r="BM1022" s="23"/>
      <c r="BN1022" s="23"/>
      <c r="BO1022" s="23"/>
      <c r="BP1022" s="23"/>
      <c r="BQ1022" s="23"/>
      <c r="BR1022" s="23"/>
      <c r="BS1022" s="23"/>
      <c r="BT1022" s="23"/>
      <c r="BU1022" s="23"/>
      <c r="BV1022" s="23"/>
      <c r="BW1022" s="23"/>
      <c r="BX1022" s="23"/>
      <c r="BY1022" s="23"/>
      <c r="BZ1022" s="23"/>
      <c r="CA1022" s="23"/>
      <c r="CB1022" s="23"/>
      <c r="CC1022" s="23"/>
      <c r="CD1022" s="23"/>
      <c r="CE1022" s="23"/>
      <c r="CF1022" s="23"/>
      <c r="CG1022" s="23"/>
      <c r="CH1022" s="23"/>
      <c r="CI1022" s="23"/>
      <c r="CJ1022" s="23"/>
      <c r="CK1022" s="23"/>
    </row>
    <row r="1023" spans="1:89">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c r="AV1023" s="23"/>
      <c r="AW1023" s="23"/>
      <c r="AX1023" s="23"/>
      <c r="AY1023" s="23"/>
      <c r="AZ1023" s="23"/>
      <c r="BA1023" s="23"/>
      <c r="BB1023" s="23"/>
      <c r="BC1023" s="23"/>
      <c r="BD1023" s="23"/>
      <c r="BE1023" s="23"/>
      <c r="BF1023" s="23"/>
      <c r="BG1023" s="23"/>
      <c r="BH1023" s="23"/>
      <c r="BI1023" s="23"/>
      <c r="BJ1023" s="23"/>
      <c r="BK1023" s="23"/>
      <c r="BL1023" s="23"/>
      <c r="BM1023" s="23"/>
      <c r="BN1023" s="23"/>
      <c r="BO1023" s="23"/>
      <c r="BP1023" s="23"/>
      <c r="BQ1023" s="23"/>
      <c r="BR1023" s="23"/>
      <c r="BS1023" s="23"/>
      <c r="BT1023" s="23"/>
      <c r="BU1023" s="23"/>
      <c r="BV1023" s="23"/>
      <c r="BW1023" s="23"/>
      <c r="BX1023" s="23"/>
      <c r="BY1023" s="23"/>
      <c r="BZ1023" s="23"/>
      <c r="CA1023" s="23"/>
      <c r="CB1023" s="23"/>
      <c r="CC1023" s="23"/>
      <c r="CD1023" s="23"/>
      <c r="CE1023" s="23"/>
      <c r="CF1023" s="23"/>
      <c r="CG1023" s="23"/>
      <c r="CH1023" s="23"/>
      <c r="CI1023" s="23"/>
      <c r="CJ1023" s="23"/>
      <c r="CK1023" s="23"/>
    </row>
    <row r="1024" spans="1:89">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c r="AV1024" s="23"/>
      <c r="AW1024" s="23"/>
      <c r="AX1024" s="23"/>
      <c r="AY1024" s="23"/>
      <c r="AZ1024" s="23"/>
      <c r="BA1024" s="23"/>
      <c r="BB1024" s="23"/>
      <c r="BC1024" s="23"/>
      <c r="BD1024" s="23"/>
      <c r="BE1024" s="23"/>
      <c r="BF1024" s="23"/>
      <c r="BG1024" s="23"/>
      <c r="BH1024" s="23"/>
      <c r="BI1024" s="23"/>
      <c r="BJ1024" s="23"/>
      <c r="BK1024" s="23"/>
      <c r="BL1024" s="23"/>
      <c r="BM1024" s="23"/>
      <c r="BN1024" s="23"/>
      <c r="BO1024" s="23"/>
      <c r="BP1024" s="23"/>
      <c r="BQ1024" s="23"/>
      <c r="BR1024" s="23"/>
      <c r="BS1024" s="23"/>
      <c r="BT1024" s="23"/>
      <c r="BU1024" s="23"/>
      <c r="BV1024" s="23"/>
      <c r="BW1024" s="23"/>
      <c r="BX1024" s="23"/>
      <c r="BY1024" s="23"/>
      <c r="BZ1024" s="23"/>
      <c r="CA1024" s="23"/>
      <c r="CB1024" s="23"/>
      <c r="CC1024" s="23"/>
      <c r="CD1024" s="23"/>
      <c r="CE1024" s="23"/>
      <c r="CF1024" s="23"/>
      <c r="CG1024" s="23"/>
      <c r="CH1024" s="23"/>
      <c r="CI1024" s="23"/>
      <c r="CJ1024" s="23"/>
      <c r="CK1024" s="23"/>
    </row>
    <row r="1025" spans="1:89">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c r="AV1025" s="23"/>
      <c r="AW1025" s="23"/>
      <c r="AX1025" s="23"/>
      <c r="AY1025" s="23"/>
      <c r="AZ1025" s="23"/>
      <c r="BA1025" s="23"/>
      <c r="BB1025" s="23"/>
      <c r="BC1025" s="23"/>
      <c r="BD1025" s="23"/>
      <c r="BE1025" s="23"/>
      <c r="BF1025" s="23"/>
      <c r="BG1025" s="23"/>
      <c r="BH1025" s="23"/>
      <c r="BI1025" s="23"/>
      <c r="BJ1025" s="23"/>
      <c r="BK1025" s="23"/>
      <c r="BL1025" s="23"/>
      <c r="BM1025" s="23"/>
      <c r="BN1025" s="23"/>
      <c r="BO1025" s="23"/>
      <c r="BP1025" s="23"/>
      <c r="BQ1025" s="23"/>
      <c r="BR1025" s="23"/>
      <c r="BS1025" s="23"/>
      <c r="BT1025" s="23"/>
      <c r="BU1025" s="23"/>
      <c r="BV1025" s="23"/>
      <c r="BW1025" s="23"/>
      <c r="BX1025" s="23"/>
      <c r="BY1025" s="23"/>
      <c r="BZ1025" s="23"/>
      <c r="CA1025" s="23"/>
      <c r="CB1025" s="23"/>
      <c r="CC1025" s="23"/>
      <c r="CD1025" s="23"/>
      <c r="CE1025" s="23"/>
      <c r="CF1025" s="23"/>
      <c r="CG1025" s="23"/>
      <c r="CH1025" s="23"/>
      <c r="CI1025" s="23"/>
      <c r="CJ1025" s="23"/>
      <c r="CK1025" s="23"/>
    </row>
    <row r="1026" spans="1:89">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c r="AV1026" s="23"/>
      <c r="AW1026" s="23"/>
      <c r="AX1026" s="23"/>
      <c r="AY1026" s="23"/>
      <c r="AZ1026" s="23"/>
      <c r="BA1026" s="23"/>
      <c r="BB1026" s="23"/>
      <c r="BC1026" s="23"/>
      <c r="BD1026" s="23"/>
      <c r="BE1026" s="23"/>
      <c r="BF1026" s="23"/>
      <c r="BG1026" s="23"/>
      <c r="BH1026" s="23"/>
      <c r="BI1026" s="23"/>
      <c r="BJ1026" s="23"/>
      <c r="BK1026" s="23"/>
      <c r="BL1026" s="23"/>
      <c r="BM1026" s="23"/>
      <c r="BN1026" s="23"/>
      <c r="BO1026" s="23"/>
      <c r="BP1026" s="23"/>
      <c r="BQ1026" s="23"/>
      <c r="BR1026" s="23"/>
      <c r="BS1026" s="23"/>
      <c r="BT1026" s="23"/>
      <c r="BU1026" s="23"/>
      <c r="BV1026" s="23"/>
      <c r="BW1026" s="23"/>
      <c r="BX1026" s="23"/>
      <c r="BY1026" s="23"/>
      <c r="BZ1026" s="23"/>
      <c r="CA1026" s="23"/>
      <c r="CB1026" s="23"/>
      <c r="CC1026" s="23"/>
      <c r="CD1026" s="23"/>
      <c r="CE1026" s="23"/>
      <c r="CF1026" s="23"/>
      <c r="CG1026" s="23"/>
      <c r="CH1026" s="23"/>
      <c r="CI1026" s="23"/>
      <c r="CJ1026" s="23"/>
      <c r="CK1026" s="23"/>
    </row>
    <row r="1027" spans="1:89">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c r="AV1027" s="23"/>
      <c r="AW1027" s="23"/>
      <c r="AX1027" s="23"/>
      <c r="AY1027" s="23"/>
      <c r="AZ1027" s="23"/>
      <c r="BA1027" s="23"/>
      <c r="BB1027" s="23"/>
      <c r="BC1027" s="23"/>
      <c r="BD1027" s="23"/>
      <c r="BE1027" s="23"/>
      <c r="BF1027" s="23"/>
      <c r="BG1027" s="23"/>
      <c r="BH1027" s="23"/>
      <c r="BI1027" s="23"/>
      <c r="BJ1027" s="23"/>
      <c r="BK1027" s="23"/>
      <c r="BL1027" s="23"/>
      <c r="BM1027" s="23"/>
      <c r="BN1027" s="23"/>
      <c r="BO1027" s="23"/>
      <c r="BP1027" s="23"/>
      <c r="BQ1027" s="23"/>
      <c r="BR1027" s="23"/>
      <c r="BS1027" s="23"/>
      <c r="BT1027" s="23"/>
      <c r="BU1027" s="23"/>
      <c r="BV1027" s="23"/>
      <c r="BW1027" s="23"/>
      <c r="BX1027" s="23"/>
      <c r="BY1027" s="23"/>
      <c r="BZ1027" s="23"/>
      <c r="CA1027" s="23"/>
      <c r="CB1027" s="23"/>
      <c r="CC1027" s="23"/>
      <c r="CD1027" s="23"/>
      <c r="CE1027" s="23"/>
      <c r="CF1027" s="23"/>
      <c r="CG1027" s="23"/>
      <c r="CH1027" s="23"/>
      <c r="CI1027" s="23"/>
      <c r="CJ1027" s="23"/>
      <c r="CK1027" s="23"/>
    </row>
    <row r="1028" spans="1:89">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c r="AV1028" s="23"/>
      <c r="AW1028" s="23"/>
      <c r="AX1028" s="23"/>
      <c r="AY1028" s="23"/>
      <c r="AZ1028" s="23"/>
      <c r="BA1028" s="23"/>
      <c r="BB1028" s="23"/>
      <c r="BC1028" s="23"/>
      <c r="BD1028" s="23"/>
      <c r="BE1028" s="23"/>
      <c r="BF1028" s="23"/>
      <c r="BG1028" s="23"/>
      <c r="BH1028" s="23"/>
      <c r="BI1028" s="23"/>
      <c r="BJ1028" s="23"/>
      <c r="BK1028" s="23"/>
      <c r="BL1028" s="23"/>
      <c r="BM1028" s="23"/>
      <c r="BN1028" s="23"/>
      <c r="BO1028" s="23"/>
      <c r="BP1028" s="23"/>
      <c r="BQ1028" s="23"/>
      <c r="BR1028" s="23"/>
      <c r="BS1028" s="23"/>
      <c r="BT1028" s="23"/>
      <c r="BU1028" s="23"/>
      <c r="BV1028" s="23"/>
      <c r="BW1028" s="23"/>
      <c r="BX1028" s="23"/>
      <c r="BY1028" s="23"/>
      <c r="BZ1028" s="23"/>
      <c r="CA1028" s="23"/>
      <c r="CB1028" s="23"/>
      <c r="CC1028" s="23"/>
      <c r="CD1028" s="23"/>
      <c r="CE1028" s="23"/>
      <c r="CF1028" s="23"/>
      <c r="CG1028" s="23"/>
      <c r="CH1028" s="23"/>
      <c r="CI1028" s="23"/>
      <c r="CJ1028" s="23"/>
      <c r="CK1028" s="23"/>
    </row>
    <row r="1029" spans="1:8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c r="AV1029" s="23"/>
      <c r="AW1029" s="23"/>
      <c r="AX1029" s="23"/>
      <c r="AY1029" s="23"/>
      <c r="AZ1029" s="23"/>
      <c r="BA1029" s="23"/>
      <c r="BB1029" s="23"/>
      <c r="BC1029" s="23"/>
      <c r="BD1029" s="23"/>
      <c r="BE1029" s="23"/>
      <c r="BF1029" s="23"/>
      <c r="BG1029" s="23"/>
      <c r="BH1029" s="23"/>
      <c r="BI1029" s="23"/>
      <c r="BJ1029" s="23"/>
      <c r="BK1029" s="23"/>
      <c r="BL1029" s="23"/>
      <c r="BM1029" s="23"/>
      <c r="BN1029" s="23"/>
      <c r="BO1029" s="23"/>
      <c r="BP1029" s="23"/>
      <c r="BQ1029" s="23"/>
      <c r="BR1029" s="23"/>
      <c r="BS1029" s="23"/>
      <c r="BT1029" s="23"/>
      <c r="BU1029" s="23"/>
      <c r="BV1029" s="23"/>
      <c r="BW1029" s="23"/>
      <c r="BX1029" s="23"/>
      <c r="BY1029" s="23"/>
      <c r="BZ1029" s="23"/>
      <c r="CA1029" s="23"/>
      <c r="CB1029" s="23"/>
      <c r="CC1029" s="23"/>
      <c r="CD1029" s="23"/>
      <c r="CE1029" s="23"/>
      <c r="CF1029" s="23"/>
      <c r="CG1029" s="23"/>
      <c r="CH1029" s="23"/>
      <c r="CI1029" s="23"/>
      <c r="CJ1029" s="23"/>
      <c r="CK1029" s="23"/>
    </row>
    <row r="1030" spans="1:89">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c r="AV1030" s="23"/>
      <c r="AW1030" s="23"/>
      <c r="AX1030" s="23"/>
      <c r="AY1030" s="23"/>
      <c r="AZ1030" s="23"/>
      <c r="BA1030" s="23"/>
      <c r="BB1030" s="23"/>
      <c r="BC1030" s="23"/>
      <c r="BD1030" s="23"/>
      <c r="BE1030" s="23"/>
      <c r="BF1030" s="23"/>
      <c r="BG1030" s="23"/>
      <c r="BH1030" s="23"/>
      <c r="BI1030" s="23"/>
      <c r="BJ1030" s="23"/>
      <c r="BK1030" s="23"/>
      <c r="BL1030" s="23"/>
      <c r="BM1030" s="23"/>
      <c r="BN1030" s="23"/>
      <c r="BO1030" s="23"/>
      <c r="BP1030" s="23"/>
      <c r="BQ1030" s="23"/>
      <c r="BR1030" s="23"/>
      <c r="BS1030" s="23"/>
      <c r="BT1030" s="23"/>
      <c r="BU1030" s="23"/>
      <c r="BV1030" s="23"/>
      <c r="BW1030" s="23"/>
      <c r="BX1030" s="23"/>
      <c r="BY1030" s="23"/>
      <c r="BZ1030" s="23"/>
      <c r="CA1030" s="23"/>
      <c r="CB1030" s="23"/>
      <c r="CC1030" s="23"/>
      <c r="CD1030" s="23"/>
      <c r="CE1030" s="23"/>
      <c r="CF1030" s="23"/>
      <c r="CG1030" s="23"/>
      <c r="CH1030" s="23"/>
      <c r="CI1030" s="23"/>
      <c r="CJ1030" s="23"/>
      <c r="CK1030" s="23"/>
    </row>
    <row r="1031" spans="1:89">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c r="AV1031" s="23"/>
      <c r="AW1031" s="23"/>
      <c r="AX1031" s="23"/>
      <c r="AY1031" s="23"/>
      <c r="AZ1031" s="23"/>
      <c r="BA1031" s="23"/>
      <c r="BB1031" s="23"/>
      <c r="BC1031" s="23"/>
      <c r="BD1031" s="23"/>
      <c r="BE1031" s="23"/>
      <c r="BF1031" s="23"/>
      <c r="BG1031" s="23"/>
      <c r="BH1031" s="23"/>
      <c r="BI1031" s="23"/>
      <c r="BJ1031" s="23"/>
      <c r="BK1031" s="23"/>
      <c r="BL1031" s="23"/>
      <c r="BM1031" s="23"/>
      <c r="BN1031" s="23"/>
      <c r="BO1031" s="23"/>
      <c r="BP1031" s="23"/>
      <c r="BQ1031" s="23"/>
      <c r="BR1031" s="23"/>
      <c r="BS1031" s="23"/>
      <c r="BT1031" s="23"/>
      <c r="BU1031" s="23"/>
      <c r="BV1031" s="23"/>
      <c r="BW1031" s="23"/>
      <c r="BX1031" s="23"/>
      <c r="BY1031" s="23"/>
      <c r="BZ1031" s="23"/>
      <c r="CA1031" s="23"/>
      <c r="CB1031" s="23"/>
      <c r="CC1031" s="23"/>
      <c r="CD1031" s="23"/>
      <c r="CE1031" s="23"/>
      <c r="CF1031" s="23"/>
      <c r="CG1031" s="23"/>
      <c r="CH1031" s="23"/>
      <c r="CI1031" s="23"/>
      <c r="CJ1031" s="23"/>
      <c r="CK1031" s="23"/>
    </row>
    <row r="1032" spans="1:89">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c r="AV1032" s="23"/>
      <c r="AW1032" s="23"/>
      <c r="AX1032" s="23"/>
      <c r="AY1032" s="23"/>
      <c r="AZ1032" s="23"/>
      <c r="BA1032" s="23"/>
      <c r="BB1032" s="23"/>
      <c r="BC1032" s="23"/>
      <c r="BD1032" s="23"/>
      <c r="BE1032" s="23"/>
      <c r="BF1032" s="23"/>
      <c r="BG1032" s="23"/>
      <c r="BH1032" s="23"/>
      <c r="BI1032" s="23"/>
      <c r="BJ1032" s="23"/>
      <c r="BK1032" s="23"/>
      <c r="BL1032" s="23"/>
      <c r="BM1032" s="23"/>
      <c r="BN1032" s="23"/>
      <c r="BO1032" s="23"/>
      <c r="BP1032" s="23"/>
      <c r="BQ1032" s="23"/>
      <c r="BR1032" s="23"/>
      <c r="BS1032" s="23"/>
      <c r="BT1032" s="23"/>
      <c r="BU1032" s="23"/>
      <c r="BV1032" s="23"/>
      <c r="BW1032" s="23"/>
      <c r="BX1032" s="23"/>
      <c r="BY1032" s="23"/>
      <c r="BZ1032" s="23"/>
      <c r="CA1032" s="23"/>
      <c r="CB1032" s="23"/>
      <c r="CC1032" s="23"/>
      <c r="CD1032" s="23"/>
      <c r="CE1032" s="23"/>
      <c r="CF1032" s="23"/>
      <c r="CG1032" s="23"/>
      <c r="CH1032" s="23"/>
      <c r="CI1032" s="23"/>
      <c r="CJ1032" s="23"/>
      <c r="CK1032" s="23"/>
    </row>
    <row r="1033" spans="1:89">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c r="AV1033" s="23"/>
      <c r="AW1033" s="23"/>
      <c r="AX1033" s="23"/>
      <c r="AY1033" s="23"/>
      <c r="AZ1033" s="23"/>
      <c r="BA1033" s="23"/>
      <c r="BB1033" s="23"/>
      <c r="BC1033" s="23"/>
      <c r="BD1033" s="23"/>
      <c r="BE1033" s="23"/>
      <c r="BF1033" s="23"/>
      <c r="BG1033" s="23"/>
      <c r="BH1033" s="23"/>
      <c r="BI1033" s="23"/>
      <c r="BJ1033" s="23"/>
      <c r="BK1033" s="23"/>
      <c r="BL1033" s="23"/>
      <c r="BM1033" s="23"/>
      <c r="BN1033" s="23"/>
      <c r="BO1033" s="23"/>
      <c r="BP1033" s="23"/>
      <c r="BQ1033" s="23"/>
      <c r="BR1033" s="23"/>
      <c r="BS1033" s="23"/>
      <c r="BT1033" s="23"/>
      <c r="BU1033" s="23"/>
      <c r="BV1033" s="23"/>
      <c r="BW1033" s="23"/>
      <c r="BX1033" s="23"/>
      <c r="BY1033" s="23"/>
      <c r="BZ1033" s="23"/>
      <c r="CA1033" s="23"/>
      <c r="CB1033" s="23"/>
      <c r="CC1033" s="23"/>
      <c r="CD1033" s="23"/>
      <c r="CE1033" s="23"/>
      <c r="CF1033" s="23"/>
      <c r="CG1033" s="23"/>
      <c r="CH1033" s="23"/>
      <c r="CI1033" s="23"/>
      <c r="CJ1033" s="23"/>
      <c r="CK1033" s="23"/>
    </row>
    <row r="1034" spans="1:89">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c r="AV1034" s="23"/>
      <c r="AW1034" s="23"/>
      <c r="AX1034" s="23"/>
      <c r="AY1034" s="23"/>
      <c r="AZ1034" s="23"/>
      <c r="BA1034" s="23"/>
      <c r="BB1034" s="23"/>
      <c r="BC1034" s="23"/>
      <c r="BD1034" s="23"/>
      <c r="BE1034" s="23"/>
      <c r="BF1034" s="23"/>
      <c r="BG1034" s="23"/>
      <c r="BH1034" s="23"/>
      <c r="BI1034" s="23"/>
      <c r="BJ1034" s="23"/>
      <c r="BK1034" s="23"/>
      <c r="BL1034" s="23"/>
      <c r="BM1034" s="23"/>
      <c r="BN1034" s="23"/>
      <c r="BO1034" s="23"/>
      <c r="BP1034" s="23"/>
      <c r="BQ1034" s="23"/>
      <c r="BR1034" s="23"/>
      <c r="BS1034" s="23"/>
      <c r="BT1034" s="23"/>
      <c r="BU1034" s="23"/>
      <c r="BV1034" s="23"/>
      <c r="BW1034" s="23"/>
      <c r="BX1034" s="23"/>
      <c r="BY1034" s="23"/>
      <c r="BZ1034" s="23"/>
      <c r="CA1034" s="23"/>
      <c r="CB1034" s="23"/>
      <c r="CC1034" s="23"/>
      <c r="CD1034" s="23"/>
      <c r="CE1034" s="23"/>
      <c r="CF1034" s="23"/>
      <c r="CG1034" s="23"/>
      <c r="CH1034" s="23"/>
      <c r="CI1034" s="23"/>
      <c r="CJ1034" s="23"/>
      <c r="CK1034" s="23"/>
    </row>
    <row r="1035" spans="1:89">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c r="AV1035" s="23"/>
      <c r="AW1035" s="23"/>
      <c r="AX1035" s="23"/>
      <c r="AY1035" s="23"/>
      <c r="AZ1035" s="23"/>
      <c r="BA1035" s="23"/>
      <c r="BB1035" s="23"/>
      <c r="BC1035" s="23"/>
      <c r="BD1035" s="23"/>
      <c r="BE1035" s="23"/>
      <c r="BF1035" s="23"/>
      <c r="BG1035" s="23"/>
      <c r="BH1035" s="23"/>
      <c r="BI1035" s="23"/>
      <c r="BJ1035" s="23"/>
      <c r="BK1035" s="23"/>
      <c r="BL1035" s="23"/>
      <c r="BM1035" s="23"/>
      <c r="BN1035" s="23"/>
      <c r="BO1035" s="23"/>
      <c r="BP1035" s="23"/>
      <c r="BQ1035" s="23"/>
      <c r="BR1035" s="23"/>
      <c r="BS1035" s="23"/>
      <c r="BT1035" s="23"/>
      <c r="BU1035" s="23"/>
      <c r="BV1035" s="23"/>
      <c r="BW1035" s="23"/>
      <c r="BX1035" s="23"/>
      <c r="BY1035" s="23"/>
      <c r="BZ1035" s="23"/>
      <c r="CA1035" s="23"/>
      <c r="CB1035" s="23"/>
      <c r="CC1035" s="23"/>
      <c r="CD1035" s="23"/>
      <c r="CE1035" s="23"/>
      <c r="CF1035" s="23"/>
      <c r="CG1035" s="23"/>
      <c r="CH1035" s="23"/>
      <c r="CI1035" s="23"/>
      <c r="CJ1035" s="23"/>
      <c r="CK1035" s="23"/>
    </row>
    <row r="1036" spans="1:89">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c r="AV1036" s="23"/>
      <c r="AW1036" s="23"/>
      <c r="AX1036" s="23"/>
      <c r="AY1036" s="23"/>
      <c r="AZ1036" s="23"/>
      <c r="BA1036" s="23"/>
      <c r="BB1036" s="23"/>
      <c r="BC1036" s="23"/>
      <c r="BD1036" s="23"/>
      <c r="BE1036" s="23"/>
      <c r="BF1036" s="23"/>
      <c r="BG1036" s="23"/>
      <c r="BH1036" s="23"/>
      <c r="BI1036" s="23"/>
      <c r="BJ1036" s="23"/>
      <c r="BK1036" s="23"/>
      <c r="BL1036" s="23"/>
      <c r="BM1036" s="23"/>
      <c r="BN1036" s="23"/>
      <c r="BO1036" s="23"/>
      <c r="BP1036" s="23"/>
      <c r="BQ1036" s="23"/>
      <c r="BR1036" s="23"/>
      <c r="BS1036" s="23"/>
      <c r="BT1036" s="23"/>
      <c r="BU1036" s="23"/>
      <c r="BV1036" s="23"/>
      <c r="BW1036" s="23"/>
      <c r="BX1036" s="23"/>
      <c r="BY1036" s="23"/>
      <c r="BZ1036" s="23"/>
      <c r="CA1036" s="23"/>
      <c r="CB1036" s="23"/>
      <c r="CC1036" s="23"/>
      <c r="CD1036" s="23"/>
      <c r="CE1036" s="23"/>
      <c r="CF1036" s="23"/>
      <c r="CG1036" s="23"/>
      <c r="CH1036" s="23"/>
      <c r="CI1036" s="23"/>
      <c r="CJ1036" s="23"/>
      <c r="CK1036" s="23"/>
    </row>
    <row r="1037" spans="1:89">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c r="AV1037" s="23"/>
      <c r="AW1037" s="23"/>
      <c r="AX1037" s="23"/>
      <c r="AY1037" s="23"/>
      <c r="AZ1037" s="23"/>
      <c r="BA1037" s="23"/>
      <c r="BB1037" s="23"/>
      <c r="BC1037" s="23"/>
      <c r="BD1037" s="23"/>
      <c r="BE1037" s="23"/>
      <c r="BF1037" s="23"/>
      <c r="BG1037" s="23"/>
      <c r="BH1037" s="23"/>
      <c r="BI1037" s="23"/>
      <c r="BJ1037" s="23"/>
      <c r="BK1037" s="23"/>
      <c r="BL1037" s="23"/>
      <c r="BM1037" s="23"/>
      <c r="BN1037" s="23"/>
      <c r="BO1037" s="23"/>
      <c r="BP1037" s="23"/>
      <c r="BQ1037" s="23"/>
      <c r="BR1037" s="23"/>
      <c r="BS1037" s="23"/>
      <c r="BT1037" s="23"/>
      <c r="BU1037" s="23"/>
      <c r="BV1037" s="23"/>
      <c r="BW1037" s="23"/>
      <c r="BX1037" s="23"/>
      <c r="BY1037" s="23"/>
      <c r="BZ1037" s="23"/>
      <c r="CA1037" s="23"/>
      <c r="CB1037" s="23"/>
      <c r="CC1037" s="23"/>
      <c r="CD1037" s="23"/>
      <c r="CE1037" s="23"/>
      <c r="CF1037" s="23"/>
      <c r="CG1037" s="23"/>
      <c r="CH1037" s="23"/>
      <c r="CI1037" s="23"/>
      <c r="CJ1037" s="23"/>
      <c r="CK1037" s="23"/>
    </row>
    <row r="1038" spans="1:89">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c r="AV1038" s="23"/>
      <c r="AW1038" s="23"/>
      <c r="AX1038" s="23"/>
      <c r="AY1038" s="23"/>
      <c r="AZ1038" s="23"/>
      <c r="BA1038" s="23"/>
      <c r="BB1038" s="23"/>
      <c r="BC1038" s="23"/>
      <c r="BD1038" s="23"/>
      <c r="BE1038" s="23"/>
      <c r="BF1038" s="23"/>
      <c r="BG1038" s="23"/>
      <c r="BH1038" s="23"/>
      <c r="BI1038" s="23"/>
      <c r="BJ1038" s="23"/>
      <c r="BK1038" s="23"/>
      <c r="BL1038" s="23"/>
      <c r="BM1038" s="23"/>
      <c r="BN1038" s="23"/>
      <c r="BO1038" s="23"/>
      <c r="BP1038" s="23"/>
      <c r="BQ1038" s="23"/>
      <c r="BR1038" s="23"/>
      <c r="BS1038" s="23"/>
      <c r="BT1038" s="23"/>
      <c r="BU1038" s="23"/>
      <c r="BV1038" s="23"/>
      <c r="BW1038" s="23"/>
      <c r="BX1038" s="23"/>
      <c r="BY1038" s="23"/>
      <c r="BZ1038" s="23"/>
      <c r="CA1038" s="23"/>
      <c r="CB1038" s="23"/>
      <c r="CC1038" s="23"/>
      <c r="CD1038" s="23"/>
      <c r="CE1038" s="23"/>
      <c r="CF1038" s="23"/>
      <c r="CG1038" s="23"/>
      <c r="CH1038" s="23"/>
      <c r="CI1038" s="23"/>
      <c r="CJ1038" s="23"/>
      <c r="CK1038" s="23"/>
    </row>
    <row r="1039" spans="1:8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c r="AV1039" s="23"/>
      <c r="AW1039" s="23"/>
      <c r="AX1039" s="23"/>
      <c r="AY1039" s="23"/>
      <c r="AZ1039" s="23"/>
      <c r="BA1039" s="23"/>
      <c r="BB1039" s="23"/>
      <c r="BC1039" s="23"/>
      <c r="BD1039" s="23"/>
      <c r="BE1039" s="23"/>
      <c r="BF1039" s="23"/>
      <c r="BG1039" s="23"/>
      <c r="BH1039" s="23"/>
      <c r="BI1039" s="23"/>
      <c r="BJ1039" s="23"/>
      <c r="BK1039" s="23"/>
      <c r="BL1039" s="23"/>
      <c r="BM1039" s="23"/>
      <c r="BN1039" s="23"/>
      <c r="BO1039" s="23"/>
      <c r="BP1039" s="23"/>
      <c r="BQ1039" s="23"/>
      <c r="BR1039" s="23"/>
      <c r="BS1039" s="23"/>
      <c r="BT1039" s="23"/>
      <c r="BU1039" s="23"/>
      <c r="BV1039" s="23"/>
      <c r="BW1039" s="23"/>
      <c r="BX1039" s="23"/>
      <c r="BY1039" s="23"/>
      <c r="BZ1039" s="23"/>
      <c r="CA1039" s="23"/>
      <c r="CB1039" s="23"/>
      <c r="CC1039" s="23"/>
      <c r="CD1039" s="23"/>
      <c r="CE1039" s="23"/>
      <c r="CF1039" s="23"/>
      <c r="CG1039" s="23"/>
      <c r="CH1039" s="23"/>
      <c r="CI1039" s="23"/>
      <c r="CJ1039" s="23"/>
      <c r="CK1039" s="23"/>
    </row>
    <row r="1040" spans="1:89">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c r="AV1040" s="23"/>
      <c r="AW1040" s="23"/>
      <c r="AX1040" s="23"/>
      <c r="AY1040" s="23"/>
      <c r="AZ1040" s="23"/>
      <c r="BA1040" s="23"/>
      <c r="BB1040" s="23"/>
      <c r="BC1040" s="23"/>
      <c r="BD1040" s="23"/>
      <c r="BE1040" s="23"/>
      <c r="BF1040" s="23"/>
      <c r="BG1040" s="23"/>
      <c r="BH1040" s="23"/>
      <c r="BI1040" s="23"/>
      <c r="BJ1040" s="23"/>
      <c r="BK1040" s="23"/>
      <c r="BL1040" s="23"/>
      <c r="BM1040" s="23"/>
      <c r="BN1040" s="23"/>
      <c r="BO1040" s="23"/>
      <c r="BP1040" s="23"/>
      <c r="BQ1040" s="23"/>
      <c r="BR1040" s="23"/>
      <c r="BS1040" s="23"/>
      <c r="BT1040" s="23"/>
      <c r="BU1040" s="23"/>
      <c r="BV1040" s="23"/>
      <c r="BW1040" s="23"/>
      <c r="BX1040" s="23"/>
      <c r="BY1040" s="23"/>
      <c r="BZ1040" s="23"/>
      <c r="CA1040" s="23"/>
      <c r="CB1040" s="23"/>
      <c r="CC1040" s="23"/>
      <c r="CD1040" s="23"/>
      <c r="CE1040" s="23"/>
      <c r="CF1040" s="23"/>
      <c r="CG1040" s="23"/>
      <c r="CH1040" s="23"/>
      <c r="CI1040" s="23"/>
      <c r="CJ1040" s="23"/>
      <c r="CK1040" s="23"/>
    </row>
    <row r="1041" spans="1:89">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c r="AV1041" s="23"/>
      <c r="AW1041" s="23"/>
      <c r="AX1041" s="23"/>
      <c r="AY1041" s="23"/>
      <c r="AZ1041" s="23"/>
      <c r="BA1041" s="23"/>
      <c r="BB1041" s="23"/>
      <c r="BC1041" s="23"/>
      <c r="BD1041" s="23"/>
      <c r="BE1041" s="23"/>
      <c r="BF1041" s="23"/>
      <c r="BG1041" s="23"/>
      <c r="BH1041" s="23"/>
      <c r="BI1041" s="23"/>
      <c r="BJ1041" s="23"/>
      <c r="BK1041" s="23"/>
      <c r="BL1041" s="23"/>
      <c r="BM1041" s="23"/>
      <c r="BN1041" s="23"/>
      <c r="BO1041" s="23"/>
      <c r="BP1041" s="23"/>
      <c r="BQ1041" s="23"/>
      <c r="BR1041" s="23"/>
      <c r="BS1041" s="23"/>
      <c r="BT1041" s="23"/>
      <c r="BU1041" s="23"/>
      <c r="BV1041" s="23"/>
      <c r="BW1041" s="23"/>
      <c r="BX1041" s="23"/>
      <c r="BY1041" s="23"/>
      <c r="BZ1041" s="23"/>
      <c r="CA1041" s="23"/>
      <c r="CB1041" s="23"/>
      <c r="CC1041" s="23"/>
      <c r="CD1041" s="23"/>
      <c r="CE1041" s="23"/>
      <c r="CF1041" s="23"/>
      <c r="CG1041" s="23"/>
      <c r="CH1041" s="23"/>
      <c r="CI1041" s="23"/>
      <c r="CJ1041" s="23"/>
      <c r="CK1041" s="23"/>
    </row>
    <row r="1042" spans="1:89">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c r="AV1042" s="23"/>
      <c r="AW1042" s="23"/>
      <c r="AX1042" s="23"/>
      <c r="AY1042" s="23"/>
      <c r="AZ1042" s="23"/>
      <c r="BA1042" s="23"/>
      <c r="BB1042" s="23"/>
      <c r="BC1042" s="23"/>
      <c r="BD1042" s="23"/>
      <c r="BE1042" s="23"/>
      <c r="BF1042" s="23"/>
      <c r="BG1042" s="23"/>
      <c r="BH1042" s="23"/>
      <c r="BI1042" s="23"/>
      <c r="BJ1042" s="23"/>
      <c r="BK1042" s="23"/>
      <c r="BL1042" s="23"/>
      <c r="BM1042" s="23"/>
      <c r="BN1042" s="23"/>
      <c r="BO1042" s="23"/>
      <c r="BP1042" s="23"/>
      <c r="BQ1042" s="23"/>
      <c r="BR1042" s="23"/>
      <c r="BS1042" s="23"/>
      <c r="BT1042" s="23"/>
      <c r="BU1042" s="23"/>
      <c r="BV1042" s="23"/>
      <c r="BW1042" s="23"/>
      <c r="BX1042" s="23"/>
      <c r="BY1042" s="23"/>
      <c r="BZ1042" s="23"/>
      <c r="CA1042" s="23"/>
      <c r="CB1042" s="23"/>
      <c r="CC1042" s="23"/>
      <c r="CD1042" s="23"/>
      <c r="CE1042" s="23"/>
      <c r="CF1042" s="23"/>
      <c r="CG1042" s="23"/>
      <c r="CH1042" s="23"/>
      <c r="CI1042" s="23"/>
      <c r="CJ1042" s="23"/>
      <c r="CK1042" s="23"/>
    </row>
    <row r="1043" spans="1:89">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c r="AV1043" s="23"/>
      <c r="AW1043" s="23"/>
      <c r="AX1043" s="23"/>
      <c r="AY1043" s="23"/>
      <c r="AZ1043" s="23"/>
      <c r="BA1043" s="23"/>
      <c r="BB1043" s="23"/>
      <c r="BC1043" s="23"/>
      <c r="BD1043" s="23"/>
      <c r="BE1043" s="23"/>
      <c r="BF1043" s="23"/>
      <c r="BG1043" s="23"/>
      <c r="BH1043" s="23"/>
      <c r="BI1043" s="23"/>
      <c r="BJ1043" s="23"/>
      <c r="BK1043" s="23"/>
      <c r="BL1043" s="23"/>
      <c r="BM1043" s="23"/>
      <c r="BN1043" s="23"/>
      <c r="BO1043" s="23"/>
      <c r="BP1043" s="23"/>
      <c r="BQ1043" s="23"/>
      <c r="BR1043" s="23"/>
      <c r="BS1043" s="23"/>
      <c r="BT1043" s="23"/>
      <c r="BU1043" s="23"/>
      <c r="BV1043" s="23"/>
      <c r="BW1043" s="23"/>
      <c r="BX1043" s="23"/>
      <c r="BY1043" s="23"/>
      <c r="BZ1043" s="23"/>
      <c r="CA1043" s="23"/>
      <c r="CB1043" s="23"/>
      <c r="CC1043" s="23"/>
      <c r="CD1043" s="23"/>
      <c r="CE1043" s="23"/>
      <c r="CF1043" s="23"/>
      <c r="CG1043" s="23"/>
      <c r="CH1043" s="23"/>
      <c r="CI1043" s="23"/>
      <c r="CJ1043" s="23"/>
      <c r="CK1043" s="23"/>
    </row>
    <row r="1044" spans="1:89">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c r="AV1044" s="23"/>
      <c r="AW1044" s="23"/>
      <c r="AX1044" s="23"/>
      <c r="AY1044" s="23"/>
      <c r="AZ1044" s="23"/>
      <c r="BA1044" s="23"/>
      <c r="BB1044" s="23"/>
      <c r="BC1044" s="23"/>
      <c r="BD1044" s="23"/>
      <c r="BE1044" s="23"/>
      <c r="BF1044" s="23"/>
      <c r="BG1044" s="23"/>
      <c r="BH1044" s="23"/>
      <c r="BI1044" s="23"/>
      <c r="BJ1044" s="23"/>
      <c r="BK1044" s="23"/>
      <c r="BL1044" s="23"/>
      <c r="BM1044" s="23"/>
      <c r="BN1044" s="23"/>
      <c r="BO1044" s="23"/>
      <c r="BP1044" s="23"/>
      <c r="BQ1044" s="23"/>
      <c r="BR1044" s="23"/>
      <c r="BS1044" s="23"/>
      <c r="BT1044" s="23"/>
      <c r="BU1044" s="23"/>
      <c r="BV1044" s="23"/>
      <c r="BW1044" s="23"/>
      <c r="BX1044" s="23"/>
      <c r="BY1044" s="23"/>
      <c r="BZ1044" s="23"/>
      <c r="CA1044" s="23"/>
      <c r="CB1044" s="23"/>
      <c r="CC1044" s="23"/>
      <c r="CD1044" s="23"/>
      <c r="CE1044" s="23"/>
      <c r="CF1044" s="23"/>
      <c r="CG1044" s="23"/>
      <c r="CH1044" s="23"/>
      <c r="CI1044" s="23"/>
      <c r="CJ1044" s="23"/>
      <c r="CK1044" s="23"/>
    </row>
    <row r="1045" spans="1:89">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c r="AV1045" s="23"/>
      <c r="AW1045" s="23"/>
      <c r="AX1045" s="23"/>
      <c r="AY1045" s="23"/>
      <c r="AZ1045" s="23"/>
      <c r="BA1045" s="23"/>
      <c r="BB1045" s="23"/>
      <c r="BC1045" s="23"/>
      <c r="BD1045" s="23"/>
      <c r="BE1045" s="23"/>
      <c r="BF1045" s="23"/>
      <c r="BG1045" s="23"/>
      <c r="BH1045" s="23"/>
      <c r="BI1045" s="23"/>
      <c r="BJ1045" s="23"/>
      <c r="BK1045" s="23"/>
      <c r="BL1045" s="23"/>
      <c r="BM1045" s="23"/>
      <c r="BN1045" s="23"/>
      <c r="BO1045" s="23"/>
      <c r="BP1045" s="23"/>
      <c r="BQ1045" s="23"/>
      <c r="BR1045" s="23"/>
      <c r="BS1045" s="23"/>
      <c r="BT1045" s="23"/>
      <c r="BU1045" s="23"/>
      <c r="BV1045" s="23"/>
      <c r="BW1045" s="23"/>
      <c r="BX1045" s="23"/>
      <c r="BY1045" s="23"/>
      <c r="BZ1045" s="23"/>
      <c r="CA1045" s="23"/>
      <c r="CB1045" s="23"/>
      <c r="CC1045" s="23"/>
      <c r="CD1045" s="23"/>
      <c r="CE1045" s="23"/>
      <c r="CF1045" s="23"/>
      <c r="CG1045" s="23"/>
      <c r="CH1045" s="23"/>
      <c r="CI1045" s="23"/>
      <c r="CJ1045" s="23"/>
      <c r="CK1045" s="23"/>
    </row>
    <row r="1046" spans="1:89">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c r="AV1046" s="23"/>
      <c r="AW1046" s="23"/>
      <c r="AX1046" s="23"/>
      <c r="AY1046" s="23"/>
      <c r="AZ1046" s="23"/>
      <c r="BA1046" s="23"/>
      <c r="BB1046" s="23"/>
      <c r="BC1046" s="23"/>
      <c r="BD1046" s="23"/>
      <c r="BE1046" s="23"/>
      <c r="BF1046" s="23"/>
      <c r="BG1046" s="23"/>
      <c r="BH1046" s="23"/>
      <c r="BI1046" s="23"/>
      <c r="BJ1046" s="23"/>
      <c r="BK1046" s="23"/>
      <c r="BL1046" s="23"/>
      <c r="BM1046" s="23"/>
      <c r="BN1046" s="23"/>
      <c r="BO1046" s="23"/>
      <c r="BP1046" s="23"/>
      <c r="BQ1046" s="23"/>
      <c r="BR1046" s="23"/>
      <c r="BS1046" s="23"/>
      <c r="BT1046" s="23"/>
      <c r="BU1046" s="23"/>
      <c r="BV1046" s="23"/>
      <c r="BW1046" s="23"/>
      <c r="BX1046" s="23"/>
      <c r="BY1046" s="23"/>
      <c r="BZ1046" s="23"/>
      <c r="CA1046" s="23"/>
      <c r="CB1046" s="23"/>
      <c r="CC1046" s="23"/>
      <c r="CD1046" s="23"/>
      <c r="CE1046" s="23"/>
      <c r="CF1046" s="23"/>
      <c r="CG1046" s="23"/>
      <c r="CH1046" s="23"/>
      <c r="CI1046" s="23"/>
      <c r="CJ1046" s="23"/>
      <c r="CK1046" s="23"/>
    </row>
    <row r="1047" spans="1:89">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c r="AV1047" s="23"/>
      <c r="AW1047" s="23"/>
      <c r="AX1047" s="23"/>
      <c r="AY1047" s="23"/>
      <c r="AZ1047" s="23"/>
      <c r="BA1047" s="23"/>
      <c r="BB1047" s="23"/>
      <c r="BC1047" s="23"/>
      <c r="BD1047" s="23"/>
      <c r="BE1047" s="23"/>
      <c r="BF1047" s="23"/>
      <c r="BG1047" s="23"/>
      <c r="BH1047" s="23"/>
      <c r="BI1047" s="23"/>
      <c r="BJ1047" s="23"/>
      <c r="BK1047" s="23"/>
      <c r="BL1047" s="23"/>
      <c r="BM1047" s="23"/>
      <c r="BN1047" s="23"/>
      <c r="BO1047" s="23"/>
      <c r="BP1047" s="23"/>
      <c r="BQ1047" s="23"/>
      <c r="BR1047" s="23"/>
      <c r="BS1047" s="23"/>
      <c r="BT1047" s="23"/>
      <c r="BU1047" s="23"/>
      <c r="BV1047" s="23"/>
      <c r="BW1047" s="23"/>
      <c r="BX1047" s="23"/>
      <c r="BY1047" s="23"/>
      <c r="BZ1047" s="23"/>
      <c r="CA1047" s="23"/>
      <c r="CB1047" s="23"/>
      <c r="CC1047" s="23"/>
      <c r="CD1047" s="23"/>
      <c r="CE1047" s="23"/>
      <c r="CF1047" s="23"/>
      <c r="CG1047" s="23"/>
      <c r="CH1047" s="23"/>
      <c r="CI1047" s="23"/>
      <c r="CJ1047" s="23"/>
      <c r="CK1047" s="23"/>
    </row>
    <row r="1048" spans="1:89">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c r="AV1048" s="23"/>
      <c r="AW1048" s="23"/>
      <c r="AX1048" s="23"/>
      <c r="AY1048" s="23"/>
      <c r="AZ1048" s="23"/>
      <c r="BA1048" s="23"/>
      <c r="BB1048" s="23"/>
      <c r="BC1048" s="23"/>
      <c r="BD1048" s="23"/>
      <c r="BE1048" s="23"/>
      <c r="BF1048" s="23"/>
      <c r="BG1048" s="23"/>
      <c r="BH1048" s="23"/>
      <c r="BI1048" s="23"/>
      <c r="BJ1048" s="23"/>
      <c r="BK1048" s="23"/>
      <c r="BL1048" s="23"/>
      <c r="BM1048" s="23"/>
      <c r="BN1048" s="23"/>
      <c r="BO1048" s="23"/>
      <c r="BP1048" s="23"/>
      <c r="BQ1048" s="23"/>
      <c r="BR1048" s="23"/>
      <c r="BS1048" s="23"/>
      <c r="BT1048" s="23"/>
      <c r="BU1048" s="23"/>
      <c r="BV1048" s="23"/>
      <c r="BW1048" s="23"/>
      <c r="BX1048" s="23"/>
      <c r="BY1048" s="23"/>
      <c r="BZ1048" s="23"/>
      <c r="CA1048" s="23"/>
      <c r="CB1048" s="23"/>
      <c r="CC1048" s="23"/>
      <c r="CD1048" s="23"/>
      <c r="CE1048" s="23"/>
      <c r="CF1048" s="23"/>
      <c r="CG1048" s="23"/>
      <c r="CH1048" s="23"/>
      <c r="CI1048" s="23"/>
      <c r="CJ1048" s="23"/>
      <c r="CK1048" s="23"/>
    </row>
    <row r="1049" spans="1:8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c r="AV1049" s="23"/>
      <c r="AW1049" s="23"/>
      <c r="AX1049" s="23"/>
      <c r="AY1049" s="23"/>
      <c r="AZ1049" s="23"/>
      <c r="BA1049" s="23"/>
      <c r="BB1049" s="23"/>
      <c r="BC1049" s="23"/>
      <c r="BD1049" s="23"/>
      <c r="BE1049" s="23"/>
      <c r="BF1049" s="23"/>
      <c r="BG1049" s="23"/>
      <c r="BH1049" s="23"/>
      <c r="BI1049" s="23"/>
      <c r="BJ1049" s="23"/>
      <c r="BK1049" s="23"/>
      <c r="BL1049" s="23"/>
      <c r="BM1049" s="23"/>
      <c r="BN1049" s="23"/>
      <c r="BO1049" s="23"/>
      <c r="BP1049" s="23"/>
      <c r="BQ1049" s="23"/>
      <c r="BR1049" s="23"/>
      <c r="BS1049" s="23"/>
      <c r="BT1049" s="23"/>
      <c r="BU1049" s="23"/>
      <c r="BV1049" s="23"/>
      <c r="BW1049" s="23"/>
      <c r="BX1049" s="23"/>
      <c r="BY1049" s="23"/>
      <c r="BZ1049" s="23"/>
      <c r="CA1049" s="23"/>
      <c r="CB1049" s="23"/>
      <c r="CC1049" s="23"/>
      <c r="CD1049" s="23"/>
      <c r="CE1049" s="23"/>
      <c r="CF1049" s="23"/>
      <c r="CG1049" s="23"/>
      <c r="CH1049" s="23"/>
      <c r="CI1049" s="23"/>
      <c r="CJ1049" s="23"/>
      <c r="CK1049" s="23"/>
    </row>
    <row r="1050" spans="1:89">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c r="AV1050" s="23"/>
      <c r="AW1050" s="23"/>
      <c r="AX1050" s="23"/>
      <c r="AY1050" s="23"/>
      <c r="AZ1050" s="23"/>
      <c r="BA1050" s="23"/>
      <c r="BB1050" s="23"/>
      <c r="BC1050" s="23"/>
      <c r="BD1050" s="23"/>
      <c r="BE1050" s="23"/>
      <c r="BF1050" s="23"/>
      <c r="BG1050" s="23"/>
      <c r="BH1050" s="23"/>
      <c r="BI1050" s="23"/>
      <c r="BJ1050" s="23"/>
      <c r="BK1050" s="23"/>
      <c r="BL1050" s="23"/>
      <c r="BM1050" s="23"/>
      <c r="BN1050" s="23"/>
      <c r="BO1050" s="23"/>
      <c r="BP1050" s="23"/>
      <c r="BQ1050" s="23"/>
      <c r="BR1050" s="23"/>
      <c r="BS1050" s="23"/>
      <c r="BT1050" s="23"/>
      <c r="BU1050" s="23"/>
      <c r="BV1050" s="23"/>
      <c r="BW1050" s="23"/>
      <c r="BX1050" s="23"/>
      <c r="BY1050" s="23"/>
      <c r="BZ1050" s="23"/>
      <c r="CA1050" s="23"/>
      <c r="CB1050" s="23"/>
      <c r="CC1050" s="23"/>
      <c r="CD1050" s="23"/>
      <c r="CE1050" s="23"/>
      <c r="CF1050" s="23"/>
      <c r="CG1050" s="23"/>
      <c r="CH1050" s="23"/>
      <c r="CI1050" s="23"/>
      <c r="CJ1050" s="23"/>
      <c r="CK1050" s="23"/>
    </row>
    <row r="1051" spans="1:89">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c r="AV1051" s="23"/>
      <c r="AW1051" s="23"/>
      <c r="AX1051" s="23"/>
      <c r="AY1051" s="23"/>
      <c r="AZ1051" s="23"/>
      <c r="BA1051" s="23"/>
      <c r="BB1051" s="23"/>
      <c r="BC1051" s="23"/>
      <c r="BD1051" s="23"/>
      <c r="BE1051" s="23"/>
      <c r="BF1051" s="23"/>
      <c r="BG1051" s="23"/>
      <c r="BH1051" s="23"/>
      <c r="BI1051" s="23"/>
      <c r="BJ1051" s="23"/>
      <c r="BK1051" s="23"/>
      <c r="BL1051" s="23"/>
      <c r="BM1051" s="23"/>
      <c r="BN1051" s="23"/>
      <c r="BO1051" s="23"/>
      <c r="BP1051" s="23"/>
      <c r="BQ1051" s="23"/>
      <c r="BR1051" s="23"/>
      <c r="BS1051" s="23"/>
      <c r="BT1051" s="23"/>
      <c r="BU1051" s="23"/>
      <c r="BV1051" s="23"/>
      <c r="BW1051" s="23"/>
      <c r="BX1051" s="23"/>
      <c r="BY1051" s="23"/>
      <c r="BZ1051" s="23"/>
      <c r="CA1051" s="23"/>
      <c r="CB1051" s="23"/>
      <c r="CC1051" s="23"/>
      <c r="CD1051" s="23"/>
      <c r="CE1051" s="23"/>
      <c r="CF1051" s="23"/>
      <c r="CG1051" s="23"/>
      <c r="CH1051" s="23"/>
      <c r="CI1051" s="23"/>
      <c r="CJ1051" s="23"/>
      <c r="CK1051" s="23"/>
    </row>
    <row r="1052" spans="1:89">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c r="AV1052" s="23"/>
      <c r="AW1052" s="23"/>
      <c r="AX1052" s="23"/>
      <c r="AY1052" s="23"/>
      <c r="AZ1052" s="23"/>
      <c r="BA1052" s="23"/>
      <c r="BB1052" s="23"/>
      <c r="BC1052" s="23"/>
      <c r="BD1052" s="23"/>
      <c r="BE1052" s="23"/>
      <c r="BF1052" s="23"/>
      <c r="BG1052" s="23"/>
      <c r="BH1052" s="23"/>
      <c r="BI1052" s="23"/>
      <c r="BJ1052" s="23"/>
      <c r="BK1052" s="23"/>
      <c r="BL1052" s="23"/>
      <c r="BM1052" s="23"/>
      <c r="BN1052" s="23"/>
      <c r="BO1052" s="23"/>
      <c r="BP1052" s="23"/>
      <c r="BQ1052" s="23"/>
      <c r="BR1052" s="23"/>
      <c r="BS1052" s="23"/>
      <c r="BT1052" s="23"/>
      <c r="BU1052" s="23"/>
      <c r="BV1052" s="23"/>
      <c r="BW1052" s="23"/>
      <c r="BX1052" s="23"/>
      <c r="BY1052" s="23"/>
      <c r="BZ1052" s="23"/>
      <c r="CA1052" s="23"/>
      <c r="CB1052" s="23"/>
      <c r="CC1052" s="23"/>
      <c r="CD1052" s="23"/>
      <c r="CE1052" s="23"/>
      <c r="CF1052" s="23"/>
      <c r="CG1052" s="23"/>
      <c r="CH1052" s="23"/>
      <c r="CI1052" s="23"/>
      <c r="CJ1052" s="23"/>
      <c r="CK1052" s="23"/>
    </row>
    <row r="1053" spans="1:89">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c r="AV1053" s="23"/>
      <c r="AW1053" s="23"/>
      <c r="AX1053" s="23"/>
      <c r="AY1053" s="23"/>
      <c r="AZ1053" s="23"/>
      <c r="BA1053" s="23"/>
      <c r="BB1053" s="23"/>
      <c r="BC1053" s="23"/>
      <c r="BD1053" s="23"/>
      <c r="BE1053" s="23"/>
      <c r="BF1053" s="23"/>
      <c r="BG1053" s="23"/>
      <c r="BH1053" s="23"/>
      <c r="BI1053" s="23"/>
      <c r="BJ1053" s="23"/>
      <c r="BK1053" s="23"/>
      <c r="BL1053" s="23"/>
      <c r="BM1053" s="23"/>
      <c r="BN1053" s="23"/>
      <c r="BO1053" s="23"/>
      <c r="BP1053" s="23"/>
      <c r="BQ1053" s="23"/>
      <c r="BR1053" s="23"/>
      <c r="BS1053" s="23"/>
      <c r="BT1053" s="23"/>
      <c r="BU1053" s="23"/>
      <c r="BV1053" s="23"/>
      <c r="BW1053" s="23"/>
      <c r="BX1053" s="23"/>
      <c r="BY1053" s="23"/>
      <c r="BZ1053" s="23"/>
      <c r="CA1053" s="23"/>
      <c r="CB1053" s="23"/>
      <c r="CC1053" s="23"/>
      <c r="CD1053" s="23"/>
      <c r="CE1053" s="23"/>
      <c r="CF1053" s="23"/>
      <c r="CG1053" s="23"/>
      <c r="CH1053" s="23"/>
      <c r="CI1053" s="23"/>
      <c r="CJ1053" s="23"/>
      <c r="CK1053" s="23"/>
    </row>
    <row r="1054" spans="1:89">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c r="AV1054" s="23"/>
      <c r="AW1054" s="23"/>
      <c r="AX1054" s="23"/>
      <c r="AY1054" s="23"/>
      <c r="AZ1054" s="23"/>
      <c r="BA1054" s="23"/>
      <c r="BB1054" s="23"/>
      <c r="BC1054" s="23"/>
      <c r="BD1054" s="23"/>
      <c r="BE1054" s="23"/>
      <c r="BF1054" s="23"/>
      <c r="BG1054" s="23"/>
      <c r="BH1054" s="23"/>
      <c r="BI1054" s="23"/>
      <c r="BJ1054" s="23"/>
      <c r="BK1054" s="23"/>
      <c r="BL1054" s="23"/>
      <c r="BM1054" s="23"/>
      <c r="BN1054" s="23"/>
      <c r="BO1054" s="23"/>
      <c r="BP1054" s="23"/>
      <c r="BQ1054" s="23"/>
      <c r="BR1054" s="23"/>
      <c r="BS1054" s="23"/>
      <c r="BT1054" s="23"/>
      <c r="BU1054" s="23"/>
      <c r="BV1054" s="23"/>
      <c r="BW1054" s="23"/>
      <c r="BX1054" s="23"/>
      <c r="BY1054" s="23"/>
      <c r="BZ1054" s="23"/>
      <c r="CA1054" s="23"/>
      <c r="CB1054" s="23"/>
      <c r="CC1054" s="23"/>
      <c r="CD1054" s="23"/>
      <c r="CE1054" s="23"/>
      <c r="CF1054" s="23"/>
      <c r="CG1054" s="23"/>
      <c r="CH1054" s="23"/>
      <c r="CI1054" s="23"/>
      <c r="CJ1054" s="23"/>
      <c r="CK1054" s="23"/>
    </row>
    <row r="1055" spans="1:89">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c r="AV1055" s="23"/>
      <c r="AW1055" s="23"/>
      <c r="AX1055" s="23"/>
      <c r="AY1055" s="23"/>
      <c r="AZ1055" s="23"/>
      <c r="BA1055" s="23"/>
      <c r="BB1055" s="23"/>
      <c r="BC1055" s="23"/>
      <c r="BD1055" s="23"/>
      <c r="BE1055" s="23"/>
      <c r="BF1055" s="23"/>
      <c r="BG1055" s="23"/>
      <c r="BH1055" s="23"/>
      <c r="BI1055" s="23"/>
      <c r="BJ1055" s="23"/>
      <c r="BK1055" s="23"/>
      <c r="BL1055" s="23"/>
      <c r="BM1055" s="23"/>
      <c r="BN1055" s="23"/>
      <c r="BO1055" s="23"/>
      <c r="BP1055" s="23"/>
      <c r="BQ1055" s="23"/>
      <c r="BR1055" s="23"/>
      <c r="BS1055" s="23"/>
      <c r="BT1055" s="23"/>
      <c r="BU1055" s="23"/>
      <c r="BV1055" s="23"/>
      <c r="BW1055" s="23"/>
      <c r="BX1055" s="23"/>
      <c r="BY1055" s="23"/>
      <c r="BZ1055" s="23"/>
      <c r="CA1055" s="23"/>
      <c r="CB1055" s="23"/>
      <c r="CC1055" s="23"/>
      <c r="CD1055" s="23"/>
      <c r="CE1055" s="23"/>
      <c r="CF1055" s="23"/>
      <c r="CG1055" s="23"/>
      <c r="CH1055" s="23"/>
      <c r="CI1055" s="23"/>
      <c r="CJ1055" s="23"/>
      <c r="CK1055" s="23"/>
    </row>
    <row r="1056" spans="1:89">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c r="AV1056" s="23"/>
      <c r="AW1056" s="23"/>
      <c r="AX1056" s="23"/>
      <c r="AY1056" s="23"/>
      <c r="AZ1056" s="23"/>
      <c r="BA1056" s="23"/>
      <c r="BB1056" s="23"/>
      <c r="BC1056" s="23"/>
      <c r="BD1056" s="23"/>
      <c r="BE1056" s="23"/>
      <c r="BF1056" s="23"/>
      <c r="BG1056" s="23"/>
      <c r="BH1056" s="23"/>
      <c r="BI1056" s="23"/>
      <c r="BJ1056" s="23"/>
      <c r="BK1056" s="23"/>
      <c r="BL1056" s="23"/>
      <c r="BM1056" s="23"/>
      <c r="BN1056" s="23"/>
      <c r="BO1056" s="23"/>
      <c r="BP1056" s="23"/>
      <c r="BQ1056" s="23"/>
      <c r="BR1056" s="23"/>
      <c r="BS1056" s="23"/>
      <c r="BT1056" s="23"/>
      <c r="BU1056" s="23"/>
      <c r="BV1056" s="23"/>
      <c r="BW1056" s="23"/>
      <c r="BX1056" s="23"/>
      <c r="BY1056" s="23"/>
      <c r="BZ1056" s="23"/>
      <c r="CA1056" s="23"/>
      <c r="CB1056" s="23"/>
      <c r="CC1056" s="23"/>
      <c r="CD1056" s="23"/>
      <c r="CE1056" s="23"/>
      <c r="CF1056" s="23"/>
      <c r="CG1056" s="23"/>
      <c r="CH1056" s="23"/>
      <c r="CI1056" s="23"/>
      <c r="CJ1056" s="23"/>
      <c r="CK1056" s="23"/>
    </row>
    <row r="1057" spans="1:89">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c r="AV1057" s="23"/>
      <c r="AW1057" s="23"/>
      <c r="AX1057" s="23"/>
      <c r="AY1057" s="23"/>
      <c r="AZ1057" s="23"/>
      <c r="BA1057" s="23"/>
      <c r="BB1057" s="23"/>
      <c r="BC1057" s="23"/>
      <c r="BD1057" s="23"/>
      <c r="BE1057" s="23"/>
      <c r="BF1057" s="23"/>
      <c r="BG1057" s="23"/>
      <c r="BH1057" s="23"/>
      <c r="BI1057" s="23"/>
      <c r="BJ1057" s="23"/>
      <c r="BK1057" s="23"/>
      <c r="BL1057" s="23"/>
      <c r="BM1057" s="23"/>
      <c r="BN1057" s="23"/>
      <c r="BO1057" s="23"/>
      <c r="BP1057" s="23"/>
      <c r="BQ1057" s="23"/>
      <c r="BR1057" s="23"/>
      <c r="BS1057" s="23"/>
      <c r="BT1057" s="23"/>
      <c r="BU1057" s="23"/>
      <c r="BV1057" s="23"/>
      <c r="BW1057" s="23"/>
      <c r="BX1057" s="23"/>
      <c r="BY1057" s="23"/>
      <c r="BZ1057" s="23"/>
      <c r="CA1057" s="23"/>
      <c r="CB1057" s="23"/>
      <c r="CC1057" s="23"/>
      <c r="CD1057" s="23"/>
      <c r="CE1057" s="23"/>
      <c r="CF1057" s="23"/>
      <c r="CG1057" s="23"/>
      <c r="CH1057" s="23"/>
      <c r="CI1057" s="23"/>
      <c r="CJ1057" s="23"/>
      <c r="CK1057" s="23"/>
    </row>
    <row r="1058" spans="1:89">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c r="AV1058" s="23"/>
      <c r="AW1058" s="23"/>
      <c r="AX1058" s="23"/>
      <c r="AY1058" s="23"/>
      <c r="AZ1058" s="23"/>
      <c r="BA1058" s="23"/>
      <c r="BB1058" s="23"/>
      <c r="BC1058" s="23"/>
      <c r="BD1058" s="23"/>
      <c r="BE1058" s="23"/>
      <c r="BF1058" s="23"/>
      <c r="BG1058" s="23"/>
      <c r="BH1058" s="23"/>
      <c r="BI1058" s="23"/>
      <c r="BJ1058" s="23"/>
      <c r="BK1058" s="23"/>
      <c r="BL1058" s="23"/>
      <c r="BM1058" s="23"/>
      <c r="BN1058" s="23"/>
      <c r="BO1058" s="23"/>
      <c r="BP1058" s="23"/>
      <c r="BQ1058" s="23"/>
      <c r="BR1058" s="23"/>
      <c r="BS1058" s="23"/>
      <c r="BT1058" s="23"/>
      <c r="BU1058" s="23"/>
      <c r="BV1058" s="23"/>
      <c r="BW1058" s="23"/>
      <c r="BX1058" s="23"/>
      <c r="BY1058" s="23"/>
      <c r="BZ1058" s="23"/>
      <c r="CA1058" s="23"/>
      <c r="CB1058" s="23"/>
      <c r="CC1058" s="23"/>
      <c r="CD1058" s="23"/>
      <c r="CE1058" s="23"/>
      <c r="CF1058" s="23"/>
      <c r="CG1058" s="23"/>
      <c r="CH1058" s="23"/>
      <c r="CI1058" s="23"/>
      <c r="CJ1058" s="23"/>
      <c r="CK1058" s="23"/>
    </row>
    <row r="1059" spans="1:8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c r="AV1059" s="23"/>
      <c r="AW1059" s="23"/>
      <c r="AX1059" s="23"/>
      <c r="AY1059" s="23"/>
      <c r="AZ1059" s="23"/>
      <c r="BA1059" s="23"/>
      <c r="BB1059" s="23"/>
      <c r="BC1059" s="23"/>
      <c r="BD1059" s="23"/>
      <c r="BE1059" s="23"/>
      <c r="BF1059" s="23"/>
      <c r="BG1059" s="23"/>
      <c r="BH1059" s="23"/>
      <c r="BI1059" s="23"/>
      <c r="BJ1059" s="23"/>
      <c r="BK1059" s="23"/>
      <c r="BL1059" s="23"/>
      <c r="BM1059" s="23"/>
      <c r="BN1059" s="23"/>
      <c r="BO1059" s="23"/>
      <c r="BP1059" s="23"/>
      <c r="BQ1059" s="23"/>
      <c r="BR1059" s="23"/>
      <c r="BS1059" s="23"/>
      <c r="BT1059" s="23"/>
      <c r="BU1059" s="23"/>
      <c r="BV1059" s="23"/>
      <c r="BW1059" s="23"/>
      <c r="BX1059" s="23"/>
      <c r="BY1059" s="23"/>
      <c r="BZ1059" s="23"/>
      <c r="CA1059" s="23"/>
      <c r="CB1059" s="23"/>
      <c r="CC1059" s="23"/>
      <c r="CD1059" s="23"/>
      <c r="CE1059" s="23"/>
      <c r="CF1059" s="23"/>
      <c r="CG1059" s="23"/>
      <c r="CH1059" s="23"/>
      <c r="CI1059" s="23"/>
      <c r="CJ1059" s="23"/>
      <c r="CK1059" s="23"/>
    </row>
    <row r="1060" spans="1:89">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c r="AV1060" s="23"/>
      <c r="AW1060" s="23"/>
      <c r="AX1060" s="23"/>
      <c r="AY1060" s="23"/>
      <c r="AZ1060" s="23"/>
      <c r="BA1060" s="23"/>
      <c r="BB1060" s="23"/>
      <c r="BC1060" s="23"/>
      <c r="BD1060" s="23"/>
      <c r="BE1060" s="23"/>
      <c r="BF1060" s="23"/>
      <c r="BG1060" s="23"/>
      <c r="BH1060" s="23"/>
      <c r="BI1060" s="23"/>
      <c r="BJ1060" s="23"/>
      <c r="BK1060" s="23"/>
      <c r="BL1060" s="23"/>
      <c r="BM1060" s="23"/>
      <c r="BN1060" s="23"/>
      <c r="BO1060" s="23"/>
      <c r="BP1060" s="23"/>
      <c r="BQ1060" s="23"/>
      <c r="BR1060" s="23"/>
      <c r="BS1060" s="23"/>
      <c r="BT1060" s="23"/>
      <c r="BU1060" s="23"/>
      <c r="BV1060" s="23"/>
      <c r="BW1060" s="23"/>
      <c r="BX1060" s="23"/>
      <c r="BY1060" s="23"/>
      <c r="BZ1060" s="23"/>
      <c r="CA1060" s="23"/>
      <c r="CB1060" s="23"/>
      <c r="CC1060" s="23"/>
      <c r="CD1060" s="23"/>
      <c r="CE1060" s="23"/>
      <c r="CF1060" s="23"/>
      <c r="CG1060" s="23"/>
      <c r="CH1060" s="23"/>
      <c r="CI1060" s="23"/>
      <c r="CJ1060" s="23"/>
      <c r="CK1060" s="23"/>
    </row>
    <row r="1061" spans="1:89">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c r="AV1061" s="23"/>
      <c r="AW1061" s="23"/>
      <c r="AX1061" s="23"/>
      <c r="AY1061" s="23"/>
      <c r="AZ1061" s="23"/>
      <c r="BA1061" s="23"/>
      <c r="BB1061" s="23"/>
      <c r="BC1061" s="23"/>
      <c r="BD1061" s="23"/>
      <c r="BE1061" s="23"/>
      <c r="BF1061" s="23"/>
      <c r="BG1061" s="23"/>
      <c r="BH1061" s="23"/>
      <c r="BI1061" s="23"/>
      <c r="BJ1061" s="23"/>
      <c r="BK1061" s="23"/>
      <c r="BL1061" s="23"/>
      <c r="BM1061" s="23"/>
      <c r="BN1061" s="23"/>
      <c r="BO1061" s="23"/>
      <c r="BP1061" s="23"/>
      <c r="BQ1061" s="23"/>
      <c r="BR1061" s="23"/>
      <c r="BS1061" s="23"/>
      <c r="BT1061" s="23"/>
      <c r="BU1061" s="23"/>
      <c r="BV1061" s="23"/>
      <c r="BW1061" s="23"/>
      <c r="BX1061" s="23"/>
      <c r="BY1061" s="23"/>
      <c r="BZ1061" s="23"/>
      <c r="CA1061" s="23"/>
      <c r="CB1061" s="23"/>
      <c r="CC1061" s="23"/>
      <c r="CD1061" s="23"/>
      <c r="CE1061" s="23"/>
      <c r="CF1061" s="23"/>
      <c r="CG1061" s="23"/>
      <c r="CH1061" s="23"/>
      <c r="CI1061" s="23"/>
      <c r="CJ1061" s="23"/>
      <c r="CK1061" s="23"/>
    </row>
    <row r="1062" spans="1:89">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c r="AV1062" s="23"/>
      <c r="AW1062" s="23"/>
      <c r="AX1062" s="23"/>
      <c r="AY1062" s="23"/>
      <c r="AZ1062" s="23"/>
      <c r="BA1062" s="23"/>
      <c r="BB1062" s="23"/>
      <c r="BC1062" s="23"/>
      <c r="BD1062" s="23"/>
      <c r="BE1062" s="23"/>
      <c r="BF1062" s="23"/>
      <c r="BG1062" s="23"/>
      <c r="BH1062" s="23"/>
      <c r="BI1062" s="23"/>
      <c r="BJ1062" s="23"/>
      <c r="BK1062" s="23"/>
      <c r="BL1062" s="23"/>
      <c r="BM1062" s="23"/>
      <c r="BN1062" s="23"/>
      <c r="BO1062" s="23"/>
      <c r="BP1062" s="23"/>
      <c r="BQ1062" s="23"/>
      <c r="BR1062" s="23"/>
      <c r="BS1062" s="23"/>
      <c r="BT1062" s="23"/>
      <c r="BU1062" s="23"/>
      <c r="BV1062" s="23"/>
      <c r="BW1062" s="23"/>
      <c r="BX1062" s="23"/>
      <c r="BY1062" s="23"/>
      <c r="BZ1062" s="23"/>
      <c r="CA1062" s="23"/>
      <c r="CB1062" s="23"/>
      <c r="CC1062" s="23"/>
      <c r="CD1062" s="23"/>
      <c r="CE1062" s="23"/>
      <c r="CF1062" s="23"/>
      <c r="CG1062" s="23"/>
      <c r="CH1062" s="23"/>
      <c r="CI1062" s="23"/>
      <c r="CJ1062" s="23"/>
      <c r="CK1062" s="23"/>
    </row>
    <row r="1063" spans="1:89">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c r="AV1063" s="23"/>
      <c r="AW1063" s="23"/>
      <c r="AX1063" s="23"/>
      <c r="AY1063" s="23"/>
      <c r="AZ1063" s="23"/>
      <c r="BA1063" s="23"/>
      <c r="BB1063" s="23"/>
      <c r="BC1063" s="23"/>
      <c r="BD1063" s="23"/>
      <c r="BE1063" s="23"/>
      <c r="BF1063" s="23"/>
      <c r="BG1063" s="23"/>
      <c r="BH1063" s="23"/>
      <c r="BI1063" s="23"/>
      <c r="BJ1063" s="23"/>
      <c r="BK1063" s="23"/>
      <c r="BL1063" s="23"/>
      <c r="BM1063" s="23"/>
      <c r="BN1063" s="23"/>
      <c r="BO1063" s="23"/>
      <c r="BP1063" s="23"/>
      <c r="BQ1063" s="23"/>
      <c r="BR1063" s="23"/>
      <c r="BS1063" s="23"/>
      <c r="BT1063" s="23"/>
      <c r="BU1063" s="23"/>
      <c r="BV1063" s="23"/>
      <c r="BW1063" s="23"/>
      <c r="BX1063" s="23"/>
      <c r="BY1063" s="23"/>
      <c r="BZ1063" s="23"/>
      <c r="CA1063" s="23"/>
      <c r="CB1063" s="23"/>
      <c r="CC1063" s="23"/>
      <c r="CD1063" s="23"/>
      <c r="CE1063" s="23"/>
      <c r="CF1063" s="23"/>
      <c r="CG1063" s="23"/>
      <c r="CH1063" s="23"/>
      <c r="CI1063" s="23"/>
      <c r="CJ1063" s="23"/>
      <c r="CK1063" s="23"/>
    </row>
    <row r="1064" spans="1:89">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c r="AV1064" s="23"/>
      <c r="AW1064" s="23"/>
      <c r="AX1064" s="23"/>
      <c r="AY1064" s="23"/>
      <c r="AZ1064" s="23"/>
      <c r="BA1064" s="23"/>
      <c r="BB1064" s="23"/>
      <c r="BC1064" s="23"/>
      <c r="BD1064" s="23"/>
      <c r="BE1064" s="23"/>
      <c r="BF1064" s="23"/>
      <c r="BG1064" s="23"/>
      <c r="BH1064" s="23"/>
      <c r="BI1064" s="23"/>
      <c r="BJ1064" s="23"/>
      <c r="BK1064" s="23"/>
      <c r="BL1064" s="23"/>
      <c r="BM1064" s="23"/>
      <c r="BN1064" s="23"/>
      <c r="BO1064" s="23"/>
      <c r="BP1064" s="23"/>
      <c r="BQ1064" s="23"/>
      <c r="BR1064" s="23"/>
      <c r="BS1064" s="23"/>
      <c r="BT1064" s="23"/>
      <c r="BU1064" s="23"/>
      <c r="BV1064" s="23"/>
      <c r="BW1064" s="23"/>
      <c r="BX1064" s="23"/>
      <c r="BY1064" s="23"/>
      <c r="BZ1064" s="23"/>
      <c r="CA1064" s="23"/>
      <c r="CB1064" s="23"/>
      <c r="CC1064" s="23"/>
      <c r="CD1064" s="23"/>
      <c r="CE1064" s="23"/>
      <c r="CF1064" s="23"/>
      <c r="CG1064" s="23"/>
      <c r="CH1064" s="23"/>
      <c r="CI1064" s="23"/>
      <c r="CJ1064" s="23"/>
      <c r="CK1064" s="23"/>
    </row>
    <row r="1065" spans="1:89">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c r="AV1065" s="23"/>
      <c r="AW1065" s="23"/>
      <c r="AX1065" s="23"/>
      <c r="AY1065" s="23"/>
      <c r="AZ1065" s="23"/>
      <c r="BA1065" s="23"/>
      <c r="BB1065" s="23"/>
      <c r="BC1065" s="23"/>
      <c r="BD1065" s="23"/>
      <c r="BE1065" s="23"/>
      <c r="BF1065" s="23"/>
      <c r="BG1065" s="23"/>
      <c r="BH1065" s="23"/>
      <c r="BI1065" s="23"/>
      <c r="BJ1065" s="23"/>
      <c r="BK1065" s="23"/>
      <c r="BL1065" s="23"/>
      <c r="BM1065" s="23"/>
      <c r="BN1065" s="23"/>
      <c r="BO1065" s="23"/>
      <c r="BP1065" s="23"/>
      <c r="BQ1065" s="23"/>
      <c r="BR1065" s="23"/>
      <c r="BS1065" s="23"/>
      <c r="BT1065" s="23"/>
      <c r="BU1065" s="23"/>
      <c r="BV1065" s="23"/>
      <c r="BW1065" s="23"/>
      <c r="BX1065" s="23"/>
      <c r="BY1065" s="23"/>
      <c r="BZ1065" s="23"/>
      <c r="CA1065" s="23"/>
      <c r="CB1065" s="23"/>
      <c r="CC1065" s="23"/>
      <c r="CD1065" s="23"/>
      <c r="CE1065" s="23"/>
      <c r="CF1065" s="23"/>
      <c r="CG1065" s="23"/>
      <c r="CH1065" s="23"/>
      <c r="CI1065" s="23"/>
      <c r="CJ1065" s="23"/>
      <c r="CK1065" s="23"/>
    </row>
    <row r="1066" spans="1:89">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c r="AV1066" s="23"/>
      <c r="AW1066" s="23"/>
      <c r="AX1066" s="23"/>
      <c r="AY1066" s="23"/>
      <c r="AZ1066" s="23"/>
      <c r="BA1066" s="23"/>
      <c r="BB1066" s="23"/>
      <c r="BC1066" s="23"/>
      <c r="BD1066" s="23"/>
      <c r="BE1066" s="23"/>
      <c r="BF1066" s="23"/>
      <c r="BG1066" s="23"/>
      <c r="BH1066" s="23"/>
      <c r="BI1066" s="23"/>
      <c r="BJ1066" s="23"/>
      <c r="BK1066" s="23"/>
      <c r="BL1066" s="23"/>
      <c r="BM1066" s="23"/>
      <c r="BN1066" s="23"/>
      <c r="BO1066" s="23"/>
      <c r="BP1066" s="23"/>
      <c r="BQ1066" s="23"/>
      <c r="BR1066" s="23"/>
      <c r="BS1066" s="23"/>
      <c r="BT1066" s="23"/>
      <c r="BU1066" s="23"/>
      <c r="BV1066" s="23"/>
      <c r="BW1066" s="23"/>
      <c r="BX1066" s="23"/>
      <c r="BY1066" s="23"/>
      <c r="BZ1066" s="23"/>
      <c r="CA1066" s="23"/>
      <c r="CB1066" s="23"/>
      <c r="CC1066" s="23"/>
      <c r="CD1066" s="23"/>
      <c r="CE1066" s="23"/>
      <c r="CF1066" s="23"/>
      <c r="CG1066" s="23"/>
      <c r="CH1066" s="23"/>
      <c r="CI1066" s="23"/>
      <c r="CJ1066" s="23"/>
      <c r="CK1066" s="23"/>
    </row>
    <row r="1067" spans="1:89">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c r="AV1067" s="23"/>
      <c r="AW1067" s="23"/>
      <c r="AX1067" s="23"/>
      <c r="AY1067" s="23"/>
      <c r="AZ1067" s="23"/>
      <c r="BA1067" s="23"/>
      <c r="BB1067" s="23"/>
      <c r="BC1067" s="23"/>
      <c r="BD1067" s="23"/>
      <c r="BE1067" s="23"/>
      <c r="BF1067" s="23"/>
      <c r="BG1067" s="23"/>
      <c r="BH1067" s="23"/>
      <c r="BI1067" s="23"/>
      <c r="BJ1067" s="23"/>
      <c r="BK1067" s="23"/>
      <c r="BL1067" s="23"/>
      <c r="BM1067" s="23"/>
      <c r="BN1067" s="23"/>
      <c r="BO1067" s="23"/>
      <c r="BP1067" s="23"/>
      <c r="BQ1067" s="23"/>
      <c r="BR1067" s="23"/>
      <c r="BS1067" s="23"/>
      <c r="BT1067" s="23"/>
      <c r="BU1067" s="23"/>
      <c r="BV1067" s="23"/>
      <c r="BW1067" s="23"/>
      <c r="BX1067" s="23"/>
      <c r="BY1067" s="23"/>
      <c r="BZ1067" s="23"/>
      <c r="CA1067" s="23"/>
      <c r="CB1067" s="23"/>
      <c r="CC1067" s="23"/>
      <c r="CD1067" s="23"/>
      <c r="CE1067" s="23"/>
      <c r="CF1067" s="23"/>
      <c r="CG1067" s="23"/>
      <c r="CH1067" s="23"/>
      <c r="CI1067" s="23"/>
      <c r="CJ1067" s="23"/>
      <c r="CK1067" s="23"/>
    </row>
    <row r="1068" spans="1:89">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c r="AV1068" s="23"/>
      <c r="AW1068" s="23"/>
      <c r="AX1068" s="23"/>
      <c r="AY1068" s="23"/>
      <c r="AZ1068" s="23"/>
      <c r="BA1068" s="23"/>
      <c r="BB1068" s="23"/>
      <c r="BC1068" s="23"/>
      <c r="BD1068" s="23"/>
      <c r="BE1068" s="23"/>
      <c r="BF1068" s="23"/>
      <c r="BG1068" s="23"/>
      <c r="BH1068" s="23"/>
      <c r="BI1068" s="23"/>
      <c r="BJ1068" s="23"/>
      <c r="BK1068" s="23"/>
      <c r="BL1068" s="23"/>
      <c r="BM1068" s="23"/>
      <c r="BN1068" s="23"/>
      <c r="BO1068" s="23"/>
      <c r="BP1068" s="23"/>
      <c r="BQ1068" s="23"/>
      <c r="BR1068" s="23"/>
      <c r="BS1068" s="23"/>
      <c r="BT1068" s="23"/>
      <c r="BU1068" s="23"/>
      <c r="BV1068" s="23"/>
      <c r="BW1068" s="23"/>
      <c r="BX1068" s="23"/>
      <c r="BY1068" s="23"/>
      <c r="BZ1068" s="23"/>
      <c r="CA1068" s="23"/>
      <c r="CB1068" s="23"/>
      <c r="CC1068" s="23"/>
      <c r="CD1068" s="23"/>
      <c r="CE1068" s="23"/>
      <c r="CF1068" s="23"/>
      <c r="CG1068" s="23"/>
      <c r="CH1068" s="23"/>
      <c r="CI1068" s="23"/>
      <c r="CJ1068" s="23"/>
      <c r="CK1068" s="23"/>
    </row>
    <row r="1069" spans="1:8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c r="AV1069" s="23"/>
      <c r="AW1069" s="23"/>
      <c r="AX1069" s="23"/>
      <c r="AY1069" s="23"/>
      <c r="AZ1069" s="23"/>
      <c r="BA1069" s="23"/>
      <c r="BB1069" s="23"/>
      <c r="BC1069" s="23"/>
      <c r="BD1069" s="23"/>
      <c r="BE1069" s="23"/>
      <c r="BF1069" s="23"/>
      <c r="BG1069" s="23"/>
      <c r="BH1069" s="23"/>
      <c r="BI1069" s="23"/>
      <c r="BJ1069" s="23"/>
      <c r="BK1069" s="23"/>
      <c r="BL1069" s="23"/>
      <c r="BM1069" s="23"/>
      <c r="BN1069" s="23"/>
      <c r="BO1069" s="23"/>
      <c r="BP1069" s="23"/>
      <c r="BQ1069" s="23"/>
      <c r="BR1069" s="23"/>
      <c r="BS1069" s="23"/>
      <c r="BT1069" s="23"/>
      <c r="BU1069" s="23"/>
      <c r="BV1069" s="23"/>
      <c r="BW1069" s="23"/>
      <c r="BX1069" s="23"/>
      <c r="BY1069" s="23"/>
      <c r="BZ1069" s="23"/>
      <c r="CA1069" s="23"/>
      <c r="CB1069" s="23"/>
      <c r="CC1069" s="23"/>
      <c r="CD1069" s="23"/>
      <c r="CE1069" s="23"/>
      <c r="CF1069" s="23"/>
      <c r="CG1069" s="23"/>
      <c r="CH1069" s="23"/>
      <c r="CI1069" s="23"/>
      <c r="CJ1069" s="23"/>
      <c r="CK1069" s="23"/>
    </row>
    <row r="1070" spans="1:89">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c r="AV1070" s="23"/>
      <c r="AW1070" s="23"/>
      <c r="AX1070" s="23"/>
      <c r="AY1070" s="23"/>
      <c r="AZ1070" s="23"/>
      <c r="BA1070" s="23"/>
      <c r="BB1070" s="23"/>
      <c r="BC1070" s="23"/>
      <c r="BD1070" s="23"/>
      <c r="BE1070" s="23"/>
      <c r="BF1070" s="23"/>
      <c r="BG1070" s="23"/>
      <c r="BH1070" s="23"/>
      <c r="BI1070" s="23"/>
      <c r="BJ1070" s="23"/>
      <c r="BK1070" s="23"/>
      <c r="BL1070" s="23"/>
      <c r="BM1070" s="23"/>
      <c r="BN1070" s="23"/>
      <c r="BO1070" s="23"/>
      <c r="BP1070" s="23"/>
      <c r="BQ1070" s="23"/>
      <c r="BR1070" s="23"/>
      <c r="BS1070" s="23"/>
      <c r="BT1070" s="23"/>
      <c r="BU1070" s="23"/>
      <c r="BV1070" s="23"/>
      <c r="BW1070" s="23"/>
      <c r="BX1070" s="23"/>
      <c r="BY1070" s="23"/>
      <c r="BZ1070" s="23"/>
      <c r="CA1070" s="23"/>
      <c r="CB1070" s="23"/>
      <c r="CC1070" s="23"/>
      <c r="CD1070" s="23"/>
      <c r="CE1070" s="23"/>
      <c r="CF1070" s="23"/>
      <c r="CG1070" s="23"/>
      <c r="CH1070" s="23"/>
      <c r="CI1070" s="23"/>
      <c r="CJ1070" s="23"/>
      <c r="CK1070" s="23"/>
    </row>
    <row r="1071" spans="1:89">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c r="AV1071" s="23"/>
      <c r="AW1071" s="23"/>
      <c r="AX1071" s="23"/>
      <c r="AY1071" s="23"/>
      <c r="AZ1071" s="23"/>
      <c r="BA1071" s="23"/>
      <c r="BB1071" s="23"/>
      <c r="BC1071" s="23"/>
      <c r="BD1071" s="23"/>
      <c r="BE1071" s="23"/>
      <c r="BF1071" s="23"/>
      <c r="BG1071" s="23"/>
      <c r="BH1071" s="23"/>
      <c r="BI1071" s="23"/>
      <c r="BJ1071" s="23"/>
      <c r="BK1071" s="23"/>
      <c r="BL1071" s="23"/>
      <c r="BM1071" s="23"/>
      <c r="BN1071" s="23"/>
      <c r="BO1071" s="23"/>
      <c r="BP1071" s="23"/>
      <c r="BQ1071" s="23"/>
      <c r="BR1071" s="23"/>
      <c r="BS1071" s="23"/>
      <c r="BT1071" s="23"/>
      <c r="BU1071" s="23"/>
      <c r="BV1071" s="23"/>
      <c r="BW1071" s="23"/>
      <c r="BX1071" s="23"/>
      <c r="BY1071" s="23"/>
      <c r="BZ1071" s="23"/>
      <c r="CA1071" s="23"/>
      <c r="CB1071" s="23"/>
      <c r="CC1071" s="23"/>
      <c r="CD1071" s="23"/>
      <c r="CE1071" s="23"/>
      <c r="CF1071" s="23"/>
      <c r="CG1071" s="23"/>
      <c r="CH1071" s="23"/>
      <c r="CI1071" s="23"/>
      <c r="CJ1071" s="23"/>
      <c r="CK1071" s="23"/>
    </row>
    <row r="1072" spans="1:89">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c r="AV1072" s="23"/>
      <c r="AW1072" s="23"/>
      <c r="AX1072" s="23"/>
      <c r="AY1072" s="23"/>
      <c r="AZ1072" s="23"/>
      <c r="BA1072" s="23"/>
      <c r="BB1072" s="23"/>
      <c r="BC1072" s="23"/>
      <c r="BD1072" s="23"/>
      <c r="BE1072" s="23"/>
      <c r="BF1072" s="23"/>
      <c r="BG1072" s="23"/>
      <c r="BH1072" s="23"/>
      <c r="BI1072" s="23"/>
      <c r="BJ1072" s="23"/>
      <c r="BK1072" s="23"/>
      <c r="BL1072" s="23"/>
      <c r="BM1072" s="23"/>
      <c r="BN1072" s="23"/>
      <c r="BO1072" s="23"/>
      <c r="BP1072" s="23"/>
      <c r="BQ1072" s="23"/>
      <c r="BR1072" s="23"/>
      <c r="BS1072" s="23"/>
      <c r="BT1072" s="23"/>
      <c r="BU1072" s="23"/>
      <c r="BV1072" s="23"/>
      <c r="BW1072" s="23"/>
      <c r="BX1072" s="23"/>
      <c r="BY1072" s="23"/>
      <c r="BZ1072" s="23"/>
      <c r="CA1072" s="23"/>
      <c r="CB1072" s="23"/>
      <c r="CC1072" s="23"/>
      <c r="CD1072" s="23"/>
      <c r="CE1072" s="23"/>
      <c r="CF1072" s="23"/>
      <c r="CG1072" s="23"/>
      <c r="CH1072" s="23"/>
      <c r="CI1072" s="23"/>
      <c r="CJ1072" s="23"/>
      <c r="CK1072" s="23"/>
    </row>
    <row r="1073" spans="1:89">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c r="AV1073" s="23"/>
      <c r="AW1073" s="23"/>
      <c r="AX1073" s="23"/>
      <c r="AY1073" s="23"/>
      <c r="AZ1073" s="23"/>
      <c r="BA1073" s="23"/>
      <c r="BB1073" s="23"/>
      <c r="BC1073" s="23"/>
      <c r="BD1073" s="23"/>
      <c r="BE1073" s="23"/>
      <c r="BF1073" s="23"/>
      <c r="BG1073" s="23"/>
      <c r="BH1073" s="23"/>
      <c r="BI1073" s="23"/>
      <c r="BJ1073" s="23"/>
      <c r="BK1073" s="23"/>
      <c r="BL1073" s="23"/>
      <c r="BM1073" s="23"/>
      <c r="BN1073" s="23"/>
      <c r="BO1073" s="23"/>
      <c r="BP1073" s="23"/>
      <c r="BQ1073" s="23"/>
      <c r="BR1073" s="23"/>
      <c r="BS1073" s="23"/>
      <c r="BT1073" s="23"/>
      <c r="BU1073" s="23"/>
      <c r="BV1073" s="23"/>
      <c r="BW1073" s="23"/>
      <c r="BX1073" s="23"/>
      <c r="BY1073" s="23"/>
      <c r="BZ1073" s="23"/>
      <c r="CA1073" s="23"/>
      <c r="CB1073" s="23"/>
      <c r="CC1073" s="23"/>
      <c r="CD1073" s="23"/>
      <c r="CE1073" s="23"/>
      <c r="CF1073" s="23"/>
      <c r="CG1073" s="23"/>
      <c r="CH1073" s="23"/>
      <c r="CI1073" s="23"/>
      <c r="CJ1073" s="23"/>
      <c r="CK1073" s="23"/>
    </row>
    <row r="1074" spans="1:89">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c r="AV1074" s="23"/>
      <c r="AW1074" s="23"/>
      <c r="AX1074" s="23"/>
      <c r="AY1074" s="23"/>
      <c r="AZ1074" s="23"/>
      <c r="BA1074" s="23"/>
      <c r="BB1074" s="23"/>
      <c r="BC1074" s="23"/>
      <c r="BD1074" s="23"/>
      <c r="BE1074" s="23"/>
      <c r="BF1074" s="23"/>
      <c r="BG1074" s="23"/>
      <c r="BH1074" s="23"/>
      <c r="BI1074" s="23"/>
      <c r="BJ1074" s="23"/>
      <c r="BK1074" s="23"/>
      <c r="BL1074" s="23"/>
      <c r="BM1074" s="23"/>
      <c r="BN1074" s="23"/>
      <c r="BO1074" s="23"/>
      <c r="BP1074" s="23"/>
      <c r="BQ1074" s="23"/>
      <c r="BR1074" s="23"/>
      <c r="BS1074" s="23"/>
      <c r="BT1074" s="23"/>
      <c r="BU1074" s="23"/>
      <c r="BV1074" s="23"/>
      <c r="BW1074" s="23"/>
      <c r="BX1074" s="23"/>
      <c r="BY1074" s="23"/>
      <c r="BZ1074" s="23"/>
      <c r="CA1074" s="23"/>
      <c r="CB1074" s="23"/>
      <c r="CC1074" s="23"/>
      <c r="CD1074" s="23"/>
      <c r="CE1074" s="23"/>
      <c r="CF1074" s="23"/>
      <c r="CG1074" s="23"/>
      <c r="CH1074" s="23"/>
      <c r="CI1074" s="23"/>
      <c r="CJ1074" s="23"/>
      <c r="CK1074" s="23"/>
    </row>
    <row r="1075" spans="1:89">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c r="AV1075" s="23"/>
      <c r="AW1075" s="23"/>
      <c r="AX1075" s="23"/>
      <c r="AY1075" s="23"/>
      <c r="AZ1075" s="23"/>
      <c r="BA1075" s="23"/>
      <c r="BB1075" s="23"/>
      <c r="BC1075" s="23"/>
      <c r="BD1075" s="23"/>
      <c r="BE1075" s="23"/>
      <c r="BF1075" s="23"/>
      <c r="BG1075" s="23"/>
      <c r="BH1075" s="23"/>
      <c r="BI1075" s="23"/>
      <c r="BJ1075" s="23"/>
      <c r="BK1075" s="23"/>
      <c r="BL1075" s="23"/>
      <c r="BM1075" s="23"/>
      <c r="BN1075" s="23"/>
      <c r="BO1075" s="23"/>
      <c r="BP1075" s="23"/>
      <c r="BQ1075" s="23"/>
      <c r="BR1075" s="23"/>
      <c r="BS1075" s="23"/>
      <c r="BT1075" s="23"/>
      <c r="BU1075" s="23"/>
      <c r="BV1075" s="23"/>
      <c r="BW1075" s="23"/>
      <c r="BX1075" s="23"/>
      <c r="BY1075" s="23"/>
      <c r="BZ1075" s="23"/>
      <c r="CA1075" s="23"/>
      <c r="CB1075" s="23"/>
      <c r="CC1075" s="23"/>
      <c r="CD1075" s="23"/>
      <c r="CE1075" s="23"/>
      <c r="CF1075" s="23"/>
      <c r="CG1075" s="23"/>
      <c r="CH1075" s="23"/>
      <c r="CI1075" s="23"/>
      <c r="CJ1075" s="23"/>
      <c r="CK1075" s="23"/>
    </row>
    <row r="1076" spans="1:89">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c r="AV1076" s="23"/>
      <c r="AW1076" s="23"/>
      <c r="AX1076" s="23"/>
      <c r="AY1076" s="23"/>
      <c r="AZ1076" s="23"/>
      <c r="BA1076" s="23"/>
      <c r="BB1076" s="23"/>
      <c r="BC1076" s="23"/>
      <c r="BD1076" s="23"/>
      <c r="BE1076" s="23"/>
      <c r="BF1076" s="23"/>
      <c r="BG1076" s="23"/>
      <c r="BH1076" s="23"/>
      <c r="BI1076" s="23"/>
      <c r="BJ1076" s="23"/>
      <c r="BK1076" s="23"/>
      <c r="BL1076" s="23"/>
      <c r="BM1076" s="23"/>
      <c r="BN1076" s="23"/>
      <c r="BO1076" s="23"/>
      <c r="BP1076" s="23"/>
      <c r="BQ1076" s="23"/>
      <c r="BR1076" s="23"/>
      <c r="BS1076" s="23"/>
      <c r="BT1076" s="23"/>
      <c r="BU1076" s="23"/>
      <c r="BV1076" s="23"/>
      <c r="BW1076" s="23"/>
      <c r="BX1076" s="23"/>
      <c r="BY1076" s="23"/>
      <c r="BZ1076" s="23"/>
      <c r="CA1076" s="23"/>
      <c r="CB1076" s="23"/>
      <c r="CC1076" s="23"/>
      <c r="CD1076" s="23"/>
      <c r="CE1076" s="23"/>
      <c r="CF1076" s="23"/>
      <c r="CG1076" s="23"/>
      <c r="CH1076" s="23"/>
      <c r="CI1076" s="23"/>
      <c r="CJ1076" s="23"/>
      <c r="CK1076" s="23"/>
    </row>
    <row r="1077" spans="1:89">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c r="AV1077" s="23"/>
      <c r="AW1077" s="23"/>
      <c r="AX1077" s="23"/>
      <c r="AY1077" s="23"/>
      <c r="AZ1077" s="23"/>
      <c r="BA1077" s="23"/>
      <c r="BB1077" s="23"/>
      <c r="BC1077" s="23"/>
      <c r="BD1077" s="23"/>
      <c r="BE1077" s="23"/>
      <c r="BF1077" s="23"/>
      <c r="BG1077" s="23"/>
      <c r="BH1077" s="23"/>
      <c r="BI1077" s="23"/>
      <c r="BJ1077" s="23"/>
      <c r="BK1077" s="23"/>
      <c r="BL1077" s="23"/>
      <c r="BM1077" s="23"/>
      <c r="BN1077" s="23"/>
      <c r="BO1077" s="23"/>
      <c r="BP1077" s="23"/>
      <c r="BQ1077" s="23"/>
      <c r="BR1077" s="23"/>
      <c r="BS1077" s="23"/>
      <c r="BT1077" s="23"/>
      <c r="BU1077" s="23"/>
      <c r="BV1077" s="23"/>
      <c r="BW1077" s="23"/>
      <c r="BX1077" s="23"/>
      <c r="BY1077" s="23"/>
      <c r="BZ1077" s="23"/>
      <c r="CA1077" s="23"/>
      <c r="CB1077" s="23"/>
      <c r="CC1077" s="23"/>
      <c r="CD1077" s="23"/>
      <c r="CE1077" s="23"/>
      <c r="CF1077" s="23"/>
      <c r="CG1077" s="23"/>
      <c r="CH1077" s="23"/>
      <c r="CI1077" s="23"/>
      <c r="CJ1077" s="23"/>
      <c r="CK1077" s="23"/>
    </row>
    <row r="1078" spans="1:89">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c r="AV1078" s="23"/>
      <c r="AW1078" s="23"/>
      <c r="AX1078" s="23"/>
      <c r="AY1078" s="23"/>
      <c r="AZ1078" s="23"/>
      <c r="BA1078" s="23"/>
      <c r="BB1078" s="23"/>
      <c r="BC1078" s="23"/>
      <c r="BD1078" s="23"/>
      <c r="BE1078" s="23"/>
      <c r="BF1078" s="23"/>
      <c r="BG1078" s="23"/>
      <c r="BH1078" s="23"/>
      <c r="BI1078" s="23"/>
      <c r="BJ1078" s="23"/>
      <c r="BK1078" s="23"/>
      <c r="BL1078" s="23"/>
      <c r="BM1078" s="23"/>
      <c r="BN1078" s="23"/>
      <c r="BO1078" s="23"/>
      <c r="BP1078" s="23"/>
      <c r="BQ1078" s="23"/>
      <c r="BR1078" s="23"/>
      <c r="BS1078" s="23"/>
      <c r="BT1078" s="23"/>
      <c r="BU1078" s="23"/>
      <c r="BV1078" s="23"/>
      <c r="BW1078" s="23"/>
      <c r="BX1078" s="23"/>
      <c r="BY1078" s="23"/>
      <c r="BZ1078" s="23"/>
      <c r="CA1078" s="23"/>
      <c r="CB1078" s="23"/>
      <c r="CC1078" s="23"/>
      <c r="CD1078" s="23"/>
      <c r="CE1078" s="23"/>
      <c r="CF1078" s="23"/>
      <c r="CG1078" s="23"/>
      <c r="CH1078" s="23"/>
      <c r="CI1078" s="23"/>
      <c r="CJ1078" s="23"/>
      <c r="CK1078" s="23"/>
    </row>
    <row r="1079" spans="1:8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c r="AV1079" s="23"/>
      <c r="AW1079" s="23"/>
      <c r="AX1079" s="23"/>
      <c r="AY1079" s="23"/>
      <c r="AZ1079" s="23"/>
      <c r="BA1079" s="23"/>
      <c r="BB1079" s="23"/>
      <c r="BC1079" s="23"/>
      <c r="BD1079" s="23"/>
      <c r="BE1079" s="23"/>
      <c r="BF1079" s="23"/>
      <c r="BG1079" s="23"/>
      <c r="BH1079" s="23"/>
      <c r="BI1079" s="23"/>
      <c r="BJ1079" s="23"/>
      <c r="BK1079" s="23"/>
      <c r="BL1079" s="23"/>
      <c r="BM1079" s="23"/>
      <c r="BN1079" s="23"/>
      <c r="BO1079" s="23"/>
      <c r="BP1079" s="23"/>
      <c r="BQ1079" s="23"/>
      <c r="BR1079" s="23"/>
      <c r="BS1079" s="23"/>
      <c r="BT1079" s="23"/>
      <c r="BU1079" s="23"/>
      <c r="BV1079" s="23"/>
      <c r="BW1079" s="23"/>
      <c r="BX1079" s="23"/>
      <c r="BY1079" s="23"/>
      <c r="BZ1079" s="23"/>
      <c r="CA1079" s="23"/>
      <c r="CB1079" s="23"/>
      <c r="CC1079" s="23"/>
      <c r="CD1079" s="23"/>
      <c r="CE1079" s="23"/>
      <c r="CF1079" s="23"/>
      <c r="CG1079" s="23"/>
      <c r="CH1079" s="23"/>
      <c r="CI1079" s="23"/>
      <c r="CJ1079" s="23"/>
      <c r="CK1079" s="23"/>
    </row>
    <row r="1080" spans="1:89">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c r="AV1080" s="23"/>
      <c r="AW1080" s="23"/>
      <c r="AX1080" s="23"/>
      <c r="AY1080" s="23"/>
      <c r="AZ1080" s="23"/>
      <c r="BA1080" s="23"/>
      <c r="BB1080" s="23"/>
      <c r="BC1080" s="23"/>
      <c r="BD1080" s="23"/>
      <c r="BE1080" s="23"/>
      <c r="BF1080" s="23"/>
      <c r="BG1080" s="23"/>
      <c r="BH1080" s="23"/>
      <c r="BI1080" s="23"/>
      <c r="BJ1080" s="23"/>
      <c r="BK1080" s="23"/>
      <c r="BL1080" s="23"/>
      <c r="BM1080" s="23"/>
      <c r="BN1080" s="23"/>
      <c r="BO1080" s="23"/>
      <c r="BP1080" s="23"/>
      <c r="BQ1080" s="23"/>
      <c r="BR1080" s="23"/>
      <c r="BS1080" s="23"/>
      <c r="BT1080" s="23"/>
      <c r="BU1080" s="23"/>
      <c r="BV1080" s="23"/>
      <c r="BW1080" s="23"/>
      <c r="BX1080" s="23"/>
      <c r="BY1080" s="23"/>
      <c r="BZ1080" s="23"/>
      <c r="CA1080" s="23"/>
      <c r="CB1080" s="23"/>
      <c r="CC1080" s="23"/>
      <c r="CD1080" s="23"/>
      <c r="CE1080" s="23"/>
      <c r="CF1080" s="23"/>
      <c r="CG1080" s="23"/>
      <c r="CH1080" s="23"/>
      <c r="CI1080" s="23"/>
      <c r="CJ1080" s="23"/>
      <c r="CK1080" s="23"/>
    </row>
    <row r="1081" spans="1:89">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c r="AV1081" s="23"/>
      <c r="AW1081" s="23"/>
      <c r="AX1081" s="23"/>
      <c r="AY1081" s="23"/>
      <c r="AZ1081" s="23"/>
      <c r="BA1081" s="23"/>
      <c r="BB1081" s="23"/>
      <c r="BC1081" s="23"/>
      <c r="BD1081" s="23"/>
      <c r="BE1081" s="23"/>
      <c r="BF1081" s="23"/>
      <c r="BG1081" s="23"/>
      <c r="BH1081" s="23"/>
      <c r="BI1081" s="23"/>
      <c r="BJ1081" s="23"/>
      <c r="BK1081" s="23"/>
      <c r="BL1081" s="23"/>
      <c r="BM1081" s="23"/>
      <c r="BN1081" s="23"/>
      <c r="BO1081" s="23"/>
      <c r="BP1081" s="23"/>
      <c r="BQ1081" s="23"/>
      <c r="BR1081" s="23"/>
      <c r="BS1081" s="23"/>
      <c r="BT1081" s="23"/>
      <c r="BU1081" s="23"/>
      <c r="BV1081" s="23"/>
      <c r="BW1081" s="23"/>
      <c r="BX1081" s="23"/>
      <c r="BY1081" s="23"/>
      <c r="BZ1081" s="23"/>
      <c r="CA1081" s="23"/>
      <c r="CB1081" s="23"/>
      <c r="CC1081" s="23"/>
      <c r="CD1081" s="23"/>
      <c r="CE1081" s="23"/>
      <c r="CF1081" s="23"/>
      <c r="CG1081" s="23"/>
      <c r="CH1081" s="23"/>
      <c r="CI1081" s="23"/>
      <c r="CJ1081" s="23"/>
      <c r="CK1081" s="23"/>
    </row>
    <row r="1082" spans="1:89">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c r="AV1082" s="23"/>
      <c r="AW1082" s="23"/>
      <c r="AX1082" s="23"/>
      <c r="AY1082" s="23"/>
      <c r="AZ1082" s="23"/>
      <c r="BA1082" s="23"/>
      <c r="BB1082" s="23"/>
      <c r="BC1082" s="23"/>
      <c r="BD1082" s="23"/>
      <c r="BE1082" s="23"/>
      <c r="BF1082" s="23"/>
      <c r="BG1082" s="23"/>
      <c r="BH1082" s="23"/>
      <c r="BI1082" s="23"/>
      <c r="BJ1082" s="23"/>
      <c r="BK1082" s="23"/>
      <c r="BL1082" s="23"/>
      <c r="BM1082" s="23"/>
      <c r="BN1082" s="23"/>
      <c r="BO1082" s="23"/>
      <c r="BP1082" s="23"/>
      <c r="BQ1082" s="23"/>
      <c r="BR1082" s="23"/>
      <c r="BS1082" s="23"/>
      <c r="BT1082" s="23"/>
      <c r="BU1082" s="23"/>
      <c r="BV1082" s="23"/>
      <c r="BW1082" s="23"/>
      <c r="BX1082" s="23"/>
      <c r="BY1082" s="23"/>
      <c r="BZ1082" s="23"/>
      <c r="CA1082" s="23"/>
      <c r="CB1082" s="23"/>
      <c r="CC1082" s="23"/>
      <c r="CD1082" s="23"/>
      <c r="CE1082" s="23"/>
      <c r="CF1082" s="23"/>
      <c r="CG1082" s="23"/>
      <c r="CH1082" s="23"/>
      <c r="CI1082" s="23"/>
      <c r="CJ1082" s="23"/>
      <c r="CK1082" s="23"/>
    </row>
    <row r="1083" spans="1:89">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c r="AV1083" s="23"/>
      <c r="AW1083" s="23"/>
      <c r="AX1083" s="23"/>
      <c r="AY1083" s="23"/>
      <c r="AZ1083" s="23"/>
      <c r="BA1083" s="23"/>
      <c r="BB1083" s="23"/>
      <c r="BC1083" s="23"/>
      <c r="BD1083" s="23"/>
      <c r="BE1083" s="23"/>
      <c r="BF1083" s="23"/>
      <c r="BG1083" s="23"/>
      <c r="BH1083" s="23"/>
      <c r="BI1083" s="23"/>
      <c r="BJ1083" s="23"/>
      <c r="BK1083" s="23"/>
      <c r="BL1083" s="23"/>
      <c r="BM1083" s="23"/>
      <c r="BN1083" s="23"/>
      <c r="BO1083" s="23"/>
      <c r="BP1083" s="23"/>
      <c r="BQ1083" s="23"/>
      <c r="BR1083" s="23"/>
      <c r="BS1083" s="23"/>
      <c r="BT1083" s="23"/>
      <c r="BU1083" s="23"/>
      <c r="BV1083" s="23"/>
      <c r="BW1083" s="23"/>
      <c r="BX1083" s="23"/>
      <c r="BY1083" s="23"/>
      <c r="BZ1083" s="23"/>
      <c r="CA1083" s="23"/>
      <c r="CB1083" s="23"/>
      <c r="CC1083" s="23"/>
      <c r="CD1083" s="23"/>
      <c r="CE1083" s="23"/>
      <c r="CF1083" s="23"/>
      <c r="CG1083" s="23"/>
      <c r="CH1083" s="23"/>
      <c r="CI1083" s="23"/>
      <c r="CJ1083" s="23"/>
      <c r="CK1083" s="23"/>
    </row>
    <row r="1084" spans="1:89">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c r="AV1084" s="23"/>
      <c r="AW1084" s="23"/>
      <c r="AX1084" s="23"/>
      <c r="AY1084" s="23"/>
      <c r="AZ1084" s="23"/>
      <c r="BA1084" s="23"/>
      <c r="BB1084" s="23"/>
      <c r="BC1084" s="23"/>
      <c r="BD1084" s="23"/>
      <c r="BE1084" s="23"/>
      <c r="BF1084" s="23"/>
      <c r="BG1084" s="23"/>
      <c r="BH1084" s="23"/>
      <c r="BI1084" s="23"/>
      <c r="BJ1084" s="23"/>
      <c r="BK1084" s="23"/>
      <c r="BL1084" s="23"/>
      <c r="BM1084" s="23"/>
      <c r="BN1084" s="23"/>
      <c r="BO1084" s="23"/>
      <c r="BP1084" s="23"/>
      <c r="BQ1084" s="23"/>
      <c r="BR1084" s="23"/>
      <c r="BS1084" s="23"/>
      <c r="BT1084" s="23"/>
      <c r="BU1084" s="23"/>
      <c r="BV1084" s="23"/>
      <c r="BW1084" s="23"/>
      <c r="BX1084" s="23"/>
      <c r="BY1084" s="23"/>
      <c r="BZ1084" s="23"/>
      <c r="CA1084" s="23"/>
      <c r="CB1084" s="23"/>
      <c r="CC1084" s="23"/>
      <c r="CD1084" s="23"/>
      <c r="CE1084" s="23"/>
      <c r="CF1084" s="23"/>
      <c r="CG1084" s="23"/>
      <c r="CH1084" s="23"/>
      <c r="CI1084" s="23"/>
      <c r="CJ1084" s="23"/>
      <c r="CK1084" s="23"/>
    </row>
    <row r="1085" spans="1:89">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c r="AV1085" s="23"/>
      <c r="AW1085" s="23"/>
      <c r="AX1085" s="23"/>
      <c r="AY1085" s="23"/>
      <c r="AZ1085" s="23"/>
      <c r="BA1085" s="23"/>
      <c r="BB1085" s="23"/>
      <c r="BC1085" s="23"/>
      <c r="BD1085" s="23"/>
      <c r="BE1085" s="23"/>
      <c r="BF1085" s="23"/>
      <c r="BG1085" s="23"/>
      <c r="BH1085" s="23"/>
      <c r="BI1085" s="23"/>
      <c r="BJ1085" s="23"/>
      <c r="BK1085" s="23"/>
      <c r="BL1085" s="23"/>
      <c r="BM1085" s="23"/>
      <c r="BN1085" s="23"/>
      <c r="BO1085" s="23"/>
      <c r="BP1085" s="23"/>
      <c r="BQ1085" s="23"/>
      <c r="BR1085" s="23"/>
      <c r="BS1085" s="23"/>
      <c r="BT1085" s="23"/>
      <c r="BU1085" s="23"/>
      <c r="BV1085" s="23"/>
      <c r="BW1085" s="23"/>
      <c r="BX1085" s="23"/>
      <c r="BY1085" s="23"/>
      <c r="BZ1085" s="23"/>
      <c r="CA1085" s="23"/>
      <c r="CB1085" s="23"/>
      <c r="CC1085" s="23"/>
      <c r="CD1085" s="23"/>
      <c r="CE1085" s="23"/>
      <c r="CF1085" s="23"/>
      <c r="CG1085" s="23"/>
      <c r="CH1085" s="23"/>
      <c r="CI1085" s="23"/>
      <c r="CJ1085" s="23"/>
      <c r="CK1085" s="23"/>
    </row>
    <row r="1086" spans="1:89">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c r="AV1086" s="23"/>
      <c r="AW1086" s="23"/>
      <c r="AX1086" s="23"/>
      <c r="AY1086" s="23"/>
      <c r="AZ1086" s="23"/>
      <c r="BA1086" s="23"/>
      <c r="BB1086" s="23"/>
      <c r="BC1086" s="23"/>
      <c r="BD1086" s="23"/>
      <c r="BE1086" s="23"/>
      <c r="BF1086" s="23"/>
      <c r="BG1086" s="23"/>
      <c r="BH1086" s="23"/>
      <c r="BI1086" s="23"/>
      <c r="BJ1086" s="23"/>
      <c r="BK1086" s="23"/>
      <c r="BL1086" s="23"/>
      <c r="BM1086" s="23"/>
      <c r="BN1086" s="23"/>
      <c r="BO1086" s="23"/>
      <c r="BP1086" s="23"/>
      <c r="BQ1086" s="23"/>
      <c r="BR1086" s="23"/>
      <c r="BS1086" s="23"/>
      <c r="BT1086" s="23"/>
      <c r="BU1086" s="23"/>
      <c r="BV1086" s="23"/>
      <c r="BW1086" s="23"/>
      <c r="BX1086" s="23"/>
      <c r="BY1086" s="23"/>
      <c r="BZ1086" s="23"/>
      <c r="CA1086" s="23"/>
      <c r="CB1086" s="23"/>
      <c r="CC1086" s="23"/>
      <c r="CD1086" s="23"/>
      <c r="CE1086" s="23"/>
      <c r="CF1086" s="23"/>
      <c r="CG1086" s="23"/>
      <c r="CH1086" s="23"/>
      <c r="CI1086" s="23"/>
      <c r="CJ1086" s="23"/>
      <c r="CK1086" s="23"/>
    </row>
    <row r="1087" spans="1:89">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c r="AV1087" s="23"/>
      <c r="AW1087" s="23"/>
      <c r="AX1087" s="23"/>
      <c r="AY1087" s="23"/>
      <c r="AZ1087" s="23"/>
      <c r="BA1087" s="23"/>
      <c r="BB1087" s="23"/>
      <c r="BC1087" s="23"/>
      <c r="BD1087" s="23"/>
      <c r="BE1087" s="23"/>
      <c r="BF1087" s="23"/>
      <c r="BG1087" s="23"/>
      <c r="BH1087" s="23"/>
      <c r="BI1087" s="23"/>
      <c r="BJ1087" s="23"/>
      <c r="BK1087" s="23"/>
      <c r="BL1087" s="23"/>
      <c r="BM1087" s="23"/>
      <c r="BN1087" s="23"/>
      <c r="BO1087" s="23"/>
      <c r="BP1087" s="23"/>
      <c r="BQ1087" s="23"/>
      <c r="BR1087" s="23"/>
      <c r="BS1087" s="23"/>
      <c r="BT1087" s="23"/>
      <c r="BU1087" s="23"/>
      <c r="BV1087" s="23"/>
      <c r="BW1087" s="23"/>
      <c r="BX1087" s="23"/>
      <c r="BY1087" s="23"/>
      <c r="BZ1087" s="23"/>
      <c r="CA1087" s="23"/>
      <c r="CB1087" s="23"/>
      <c r="CC1087" s="23"/>
      <c r="CD1087" s="23"/>
      <c r="CE1087" s="23"/>
      <c r="CF1087" s="23"/>
      <c r="CG1087" s="23"/>
      <c r="CH1087" s="23"/>
      <c r="CI1087" s="23"/>
      <c r="CJ1087" s="23"/>
      <c r="CK1087" s="23"/>
    </row>
    <row r="1088" spans="1:89">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c r="AV1088" s="23"/>
      <c r="AW1088" s="23"/>
      <c r="AX1088" s="23"/>
      <c r="AY1088" s="23"/>
      <c r="AZ1088" s="23"/>
      <c r="BA1088" s="23"/>
      <c r="BB1088" s="23"/>
      <c r="BC1088" s="23"/>
      <c r="BD1088" s="23"/>
      <c r="BE1088" s="23"/>
      <c r="BF1088" s="23"/>
      <c r="BG1088" s="23"/>
      <c r="BH1088" s="23"/>
      <c r="BI1088" s="23"/>
      <c r="BJ1088" s="23"/>
      <c r="BK1088" s="23"/>
      <c r="BL1088" s="23"/>
      <c r="BM1088" s="23"/>
      <c r="BN1088" s="23"/>
      <c r="BO1088" s="23"/>
      <c r="BP1088" s="23"/>
      <c r="BQ1088" s="23"/>
      <c r="BR1088" s="23"/>
      <c r="BS1088" s="23"/>
      <c r="BT1088" s="23"/>
      <c r="BU1088" s="23"/>
      <c r="BV1088" s="23"/>
      <c r="BW1088" s="23"/>
      <c r="BX1088" s="23"/>
      <c r="BY1088" s="23"/>
      <c r="BZ1088" s="23"/>
      <c r="CA1088" s="23"/>
      <c r="CB1088" s="23"/>
      <c r="CC1088" s="23"/>
      <c r="CD1088" s="23"/>
      <c r="CE1088" s="23"/>
      <c r="CF1088" s="23"/>
      <c r="CG1088" s="23"/>
      <c r="CH1088" s="23"/>
      <c r="CI1088" s="23"/>
      <c r="CJ1088" s="23"/>
      <c r="CK1088" s="23"/>
    </row>
    <row r="1089" spans="1: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c r="AV1089" s="23"/>
      <c r="AW1089" s="23"/>
      <c r="AX1089" s="23"/>
      <c r="AY1089" s="23"/>
      <c r="AZ1089" s="23"/>
      <c r="BA1089" s="23"/>
      <c r="BB1089" s="23"/>
      <c r="BC1089" s="23"/>
      <c r="BD1089" s="23"/>
      <c r="BE1089" s="23"/>
      <c r="BF1089" s="23"/>
      <c r="BG1089" s="23"/>
      <c r="BH1089" s="23"/>
      <c r="BI1089" s="23"/>
      <c r="BJ1089" s="23"/>
      <c r="BK1089" s="23"/>
      <c r="BL1089" s="23"/>
      <c r="BM1089" s="23"/>
      <c r="BN1089" s="23"/>
      <c r="BO1089" s="23"/>
      <c r="BP1089" s="23"/>
      <c r="BQ1089" s="23"/>
      <c r="BR1089" s="23"/>
      <c r="BS1089" s="23"/>
      <c r="BT1089" s="23"/>
      <c r="BU1089" s="23"/>
      <c r="BV1089" s="23"/>
      <c r="BW1089" s="23"/>
      <c r="BX1089" s="23"/>
      <c r="BY1089" s="23"/>
      <c r="BZ1089" s="23"/>
      <c r="CA1089" s="23"/>
      <c r="CB1089" s="23"/>
      <c r="CC1089" s="23"/>
      <c r="CD1089" s="23"/>
      <c r="CE1089" s="23"/>
      <c r="CF1089" s="23"/>
      <c r="CG1089" s="23"/>
      <c r="CH1089" s="23"/>
      <c r="CI1089" s="23"/>
      <c r="CJ1089" s="23"/>
      <c r="CK1089" s="23"/>
    </row>
    <row r="1090" spans="1:89">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c r="AV1090" s="23"/>
      <c r="AW1090" s="23"/>
      <c r="AX1090" s="23"/>
      <c r="AY1090" s="23"/>
      <c r="AZ1090" s="23"/>
      <c r="BA1090" s="23"/>
      <c r="BB1090" s="23"/>
      <c r="BC1090" s="23"/>
      <c r="BD1090" s="23"/>
      <c r="BE1090" s="23"/>
      <c r="BF1090" s="23"/>
      <c r="BG1090" s="23"/>
      <c r="BH1090" s="23"/>
      <c r="BI1090" s="23"/>
      <c r="BJ1090" s="23"/>
      <c r="BK1090" s="23"/>
      <c r="BL1090" s="23"/>
      <c r="BM1090" s="23"/>
      <c r="BN1090" s="23"/>
      <c r="BO1090" s="23"/>
      <c r="BP1090" s="23"/>
      <c r="BQ1090" s="23"/>
      <c r="BR1090" s="23"/>
      <c r="BS1090" s="23"/>
      <c r="BT1090" s="23"/>
      <c r="BU1090" s="23"/>
      <c r="BV1090" s="23"/>
      <c r="BW1090" s="23"/>
      <c r="BX1090" s="23"/>
      <c r="BY1090" s="23"/>
      <c r="BZ1090" s="23"/>
      <c r="CA1090" s="23"/>
      <c r="CB1090" s="23"/>
      <c r="CC1090" s="23"/>
      <c r="CD1090" s="23"/>
      <c r="CE1090" s="23"/>
      <c r="CF1090" s="23"/>
      <c r="CG1090" s="23"/>
      <c r="CH1090" s="23"/>
      <c r="CI1090" s="23"/>
      <c r="CJ1090" s="23"/>
      <c r="CK1090" s="23"/>
    </row>
    <row r="1091" spans="1:89">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c r="AV1091" s="23"/>
      <c r="AW1091" s="23"/>
      <c r="AX1091" s="23"/>
      <c r="AY1091" s="23"/>
      <c r="AZ1091" s="23"/>
      <c r="BA1091" s="23"/>
      <c r="BB1091" s="23"/>
      <c r="BC1091" s="23"/>
      <c r="BD1091" s="23"/>
      <c r="BE1091" s="23"/>
      <c r="BF1091" s="23"/>
      <c r="BG1091" s="23"/>
      <c r="BH1091" s="23"/>
      <c r="BI1091" s="23"/>
      <c r="BJ1091" s="23"/>
      <c r="BK1091" s="23"/>
      <c r="BL1091" s="23"/>
      <c r="BM1091" s="23"/>
      <c r="BN1091" s="23"/>
      <c r="BO1091" s="23"/>
      <c r="BP1091" s="23"/>
      <c r="BQ1091" s="23"/>
      <c r="BR1091" s="23"/>
      <c r="BS1091" s="23"/>
      <c r="BT1091" s="23"/>
      <c r="BU1091" s="23"/>
      <c r="BV1091" s="23"/>
      <c r="BW1091" s="23"/>
      <c r="BX1091" s="23"/>
      <c r="BY1091" s="23"/>
      <c r="BZ1091" s="23"/>
      <c r="CA1091" s="23"/>
      <c r="CB1091" s="23"/>
      <c r="CC1091" s="23"/>
      <c r="CD1091" s="23"/>
      <c r="CE1091" s="23"/>
      <c r="CF1091" s="23"/>
      <c r="CG1091" s="23"/>
      <c r="CH1091" s="23"/>
      <c r="CI1091" s="23"/>
      <c r="CJ1091" s="23"/>
      <c r="CK1091" s="23"/>
    </row>
    <row r="1092" spans="1:89">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c r="AV1092" s="23"/>
      <c r="AW1092" s="23"/>
      <c r="AX1092" s="23"/>
      <c r="AY1092" s="23"/>
      <c r="AZ1092" s="23"/>
      <c r="BA1092" s="23"/>
      <c r="BB1092" s="23"/>
      <c r="BC1092" s="23"/>
      <c r="BD1092" s="23"/>
      <c r="BE1092" s="23"/>
      <c r="BF1092" s="23"/>
      <c r="BG1092" s="23"/>
      <c r="BH1092" s="23"/>
      <c r="BI1092" s="23"/>
      <c r="BJ1092" s="23"/>
      <c r="BK1092" s="23"/>
      <c r="BL1092" s="23"/>
      <c r="BM1092" s="23"/>
      <c r="BN1092" s="23"/>
      <c r="BO1092" s="23"/>
      <c r="BP1092" s="23"/>
      <c r="BQ1092" s="23"/>
      <c r="BR1092" s="23"/>
      <c r="BS1092" s="23"/>
      <c r="BT1092" s="23"/>
      <c r="BU1092" s="23"/>
      <c r="BV1092" s="23"/>
      <c r="BW1092" s="23"/>
      <c r="BX1092" s="23"/>
      <c r="BY1092" s="23"/>
      <c r="BZ1092" s="23"/>
      <c r="CA1092" s="23"/>
      <c r="CB1092" s="23"/>
      <c r="CC1092" s="23"/>
      <c r="CD1092" s="23"/>
      <c r="CE1092" s="23"/>
      <c r="CF1092" s="23"/>
      <c r="CG1092" s="23"/>
      <c r="CH1092" s="23"/>
      <c r="CI1092" s="23"/>
      <c r="CJ1092" s="23"/>
      <c r="CK1092" s="23"/>
    </row>
    <row r="1093" spans="1:89">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c r="AV1093" s="23"/>
      <c r="AW1093" s="23"/>
      <c r="AX1093" s="23"/>
      <c r="AY1093" s="23"/>
      <c r="AZ1093" s="23"/>
      <c r="BA1093" s="23"/>
      <c r="BB1093" s="23"/>
      <c r="BC1093" s="23"/>
      <c r="BD1093" s="23"/>
      <c r="BE1093" s="23"/>
      <c r="BF1093" s="23"/>
      <c r="BG1093" s="23"/>
      <c r="BH1093" s="23"/>
      <c r="BI1093" s="23"/>
      <c r="BJ1093" s="23"/>
      <c r="BK1093" s="23"/>
      <c r="BL1093" s="23"/>
      <c r="BM1093" s="23"/>
      <c r="BN1093" s="23"/>
      <c r="BO1093" s="23"/>
      <c r="BP1093" s="23"/>
      <c r="BQ1093" s="23"/>
      <c r="BR1093" s="23"/>
      <c r="BS1093" s="23"/>
      <c r="BT1093" s="23"/>
      <c r="BU1093" s="23"/>
      <c r="BV1093" s="23"/>
      <c r="BW1093" s="23"/>
      <c r="BX1093" s="23"/>
      <c r="BY1093" s="23"/>
      <c r="BZ1093" s="23"/>
      <c r="CA1093" s="23"/>
      <c r="CB1093" s="23"/>
      <c r="CC1093" s="23"/>
      <c r="CD1093" s="23"/>
      <c r="CE1093" s="23"/>
      <c r="CF1093" s="23"/>
      <c r="CG1093" s="23"/>
      <c r="CH1093" s="23"/>
      <c r="CI1093" s="23"/>
      <c r="CJ1093" s="23"/>
      <c r="CK1093" s="23"/>
    </row>
    <row r="1094" spans="1:89">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c r="AV1094" s="23"/>
      <c r="AW1094" s="23"/>
      <c r="AX1094" s="23"/>
      <c r="AY1094" s="23"/>
      <c r="AZ1094" s="23"/>
      <c r="BA1094" s="23"/>
      <c r="BB1094" s="23"/>
      <c r="BC1094" s="23"/>
      <c r="BD1094" s="23"/>
      <c r="BE1094" s="23"/>
      <c r="BF1094" s="23"/>
      <c r="BG1094" s="23"/>
      <c r="BH1094" s="23"/>
      <c r="BI1094" s="23"/>
      <c r="BJ1094" s="23"/>
      <c r="BK1094" s="23"/>
      <c r="BL1094" s="23"/>
      <c r="BM1094" s="23"/>
      <c r="BN1094" s="23"/>
      <c r="BO1094" s="23"/>
      <c r="BP1094" s="23"/>
      <c r="BQ1094" s="23"/>
      <c r="BR1094" s="23"/>
      <c r="BS1094" s="23"/>
      <c r="BT1094" s="23"/>
      <c r="BU1094" s="23"/>
      <c r="BV1094" s="23"/>
      <c r="BW1094" s="23"/>
      <c r="BX1094" s="23"/>
      <c r="BY1094" s="23"/>
      <c r="BZ1094" s="23"/>
      <c r="CA1094" s="23"/>
      <c r="CB1094" s="23"/>
      <c r="CC1094" s="23"/>
      <c r="CD1094" s="23"/>
      <c r="CE1094" s="23"/>
      <c r="CF1094" s="23"/>
      <c r="CG1094" s="23"/>
      <c r="CH1094" s="23"/>
      <c r="CI1094" s="23"/>
      <c r="CJ1094" s="23"/>
      <c r="CK1094" s="23"/>
    </row>
    <row r="1095" spans="1:89">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c r="AV1095" s="23"/>
      <c r="AW1095" s="23"/>
      <c r="AX1095" s="23"/>
      <c r="AY1095" s="23"/>
      <c r="AZ1095" s="23"/>
      <c r="BA1095" s="23"/>
      <c r="BB1095" s="23"/>
      <c r="BC1095" s="23"/>
      <c r="BD1095" s="23"/>
      <c r="BE1095" s="23"/>
      <c r="BF1095" s="23"/>
      <c r="BG1095" s="23"/>
      <c r="BH1095" s="23"/>
      <c r="BI1095" s="23"/>
      <c r="BJ1095" s="23"/>
      <c r="BK1095" s="23"/>
      <c r="BL1095" s="23"/>
      <c r="BM1095" s="23"/>
      <c r="BN1095" s="23"/>
      <c r="BO1095" s="23"/>
      <c r="BP1095" s="23"/>
      <c r="BQ1095" s="23"/>
      <c r="BR1095" s="23"/>
      <c r="BS1095" s="23"/>
      <c r="BT1095" s="23"/>
      <c r="BU1095" s="23"/>
      <c r="BV1095" s="23"/>
      <c r="BW1095" s="23"/>
      <c r="BX1095" s="23"/>
      <c r="BY1095" s="23"/>
      <c r="BZ1095" s="23"/>
      <c r="CA1095" s="23"/>
      <c r="CB1095" s="23"/>
      <c r="CC1095" s="23"/>
      <c r="CD1095" s="23"/>
      <c r="CE1095" s="23"/>
      <c r="CF1095" s="23"/>
      <c r="CG1095" s="23"/>
      <c r="CH1095" s="23"/>
      <c r="CI1095" s="23"/>
      <c r="CJ1095" s="23"/>
      <c r="CK1095" s="23"/>
    </row>
    <row r="1096" spans="1:89">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c r="AV1096" s="23"/>
      <c r="AW1096" s="23"/>
      <c r="AX1096" s="23"/>
      <c r="AY1096" s="23"/>
      <c r="AZ1096" s="23"/>
      <c r="BA1096" s="23"/>
      <c r="BB1096" s="23"/>
      <c r="BC1096" s="23"/>
      <c r="BD1096" s="23"/>
      <c r="BE1096" s="23"/>
      <c r="BF1096" s="23"/>
      <c r="BG1096" s="23"/>
      <c r="BH1096" s="23"/>
      <c r="BI1096" s="23"/>
      <c r="BJ1096" s="23"/>
      <c r="BK1096" s="23"/>
      <c r="BL1096" s="23"/>
      <c r="BM1096" s="23"/>
      <c r="BN1096" s="23"/>
      <c r="BO1096" s="23"/>
      <c r="BP1096" s="23"/>
      <c r="BQ1096" s="23"/>
      <c r="BR1096" s="23"/>
      <c r="BS1096" s="23"/>
      <c r="BT1096" s="23"/>
      <c r="BU1096" s="23"/>
      <c r="BV1096" s="23"/>
      <c r="BW1096" s="23"/>
      <c r="BX1096" s="23"/>
      <c r="BY1096" s="23"/>
      <c r="BZ1096" s="23"/>
      <c r="CA1096" s="23"/>
      <c r="CB1096" s="23"/>
      <c r="CC1096" s="23"/>
      <c r="CD1096" s="23"/>
      <c r="CE1096" s="23"/>
      <c r="CF1096" s="23"/>
      <c r="CG1096" s="23"/>
      <c r="CH1096" s="23"/>
      <c r="CI1096" s="23"/>
      <c r="CJ1096" s="23"/>
      <c r="CK1096" s="23"/>
    </row>
    <row r="1097" spans="1:89">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c r="AV1097" s="23"/>
      <c r="AW1097" s="23"/>
      <c r="AX1097" s="23"/>
      <c r="AY1097" s="23"/>
      <c r="AZ1097" s="23"/>
      <c r="BA1097" s="23"/>
      <c r="BB1097" s="23"/>
      <c r="BC1097" s="23"/>
      <c r="BD1097" s="23"/>
      <c r="BE1097" s="23"/>
      <c r="BF1097" s="23"/>
      <c r="BG1097" s="23"/>
      <c r="BH1097" s="23"/>
      <c r="BI1097" s="23"/>
      <c r="BJ1097" s="23"/>
      <c r="BK1097" s="23"/>
      <c r="BL1097" s="23"/>
      <c r="BM1097" s="23"/>
      <c r="BN1097" s="23"/>
      <c r="BO1097" s="23"/>
      <c r="BP1097" s="23"/>
      <c r="BQ1097" s="23"/>
      <c r="BR1097" s="23"/>
      <c r="BS1097" s="23"/>
      <c r="BT1097" s="23"/>
      <c r="BU1097" s="23"/>
      <c r="BV1097" s="23"/>
      <c r="BW1097" s="23"/>
      <c r="BX1097" s="23"/>
      <c r="BY1097" s="23"/>
      <c r="BZ1097" s="23"/>
      <c r="CA1097" s="23"/>
      <c r="CB1097" s="23"/>
      <c r="CC1097" s="23"/>
      <c r="CD1097" s="23"/>
      <c r="CE1097" s="23"/>
      <c r="CF1097" s="23"/>
      <c r="CG1097" s="23"/>
      <c r="CH1097" s="23"/>
      <c r="CI1097" s="23"/>
      <c r="CJ1097" s="23"/>
      <c r="CK1097" s="23"/>
    </row>
    <row r="1098" spans="1:89">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c r="AV1098" s="23"/>
      <c r="AW1098" s="23"/>
      <c r="AX1098" s="23"/>
      <c r="AY1098" s="23"/>
      <c r="AZ1098" s="23"/>
      <c r="BA1098" s="23"/>
      <c r="BB1098" s="23"/>
      <c r="BC1098" s="23"/>
      <c r="BD1098" s="23"/>
      <c r="BE1098" s="23"/>
      <c r="BF1098" s="23"/>
      <c r="BG1098" s="23"/>
      <c r="BH1098" s="23"/>
      <c r="BI1098" s="23"/>
      <c r="BJ1098" s="23"/>
      <c r="BK1098" s="23"/>
      <c r="BL1098" s="23"/>
      <c r="BM1098" s="23"/>
      <c r="BN1098" s="23"/>
      <c r="BO1098" s="23"/>
      <c r="BP1098" s="23"/>
      <c r="BQ1098" s="23"/>
      <c r="BR1098" s="23"/>
      <c r="BS1098" s="23"/>
      <c r="BT1098" s="23"/>
      <c r="BU1098" s="23"/>
      <c r="BV1098" s="23"/>
      <c r="BW1098" s="23"/>
      <c r="BX1098" s="23"/>
      <c r="BY1098" s="23"/>
      <c r="BZ1098" s="23"/>
      <c r="CA1098" s="23"/>
      <c r="CB1098" s="23"/>
      <c r="CC1098" s="23"/>
      <c r="CD1098" s="23"/>
      <c r="CE1098" s="23"/>
      <c r="CF1098" s="23"/>
      <c r="CG1098" s="23"/>
      <c r="CH1098" s="23"/>
      <c r="CI1098" s="23"/>
      <c r="CJ1098" s="23"/>
      <c r="CK1098" s="23"/>
    </row>
    <row r="1099" spans="1:8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c r="AV1099" s="23"/>
      <c r="AW1099" s="23"/>
      <c r="AX1099" s="23"/>
      <c r="AY1099" s="23"/>
      <c r="AZ1099" s="23"/>
      <c r="BA1099" s="23"/>
      <c r="BB1099" s="23"/>
      <c r="BC1099" s="23"/>
      <c r="BD1099" s="23"/>
      <c r="BE1099" s="23"/>
      <c r="BF1099" s="23"/>
      <c r="BG1099" s="23"/>
      <c r="BH1099" s="23"/>
      <c r="BI1099" s="23"/>
      <c r="BJ1099" s="23"/>
      <c r="BK1099" s="23"/>
      <c r="BL1099" s="23"/>
      <c r="BM1099" s="23"/>
      <c r="BN1099" s="23"/>
      <c r="BO1099" s="23"/>
      <c r="BP1099" s="23"/>
      <c r="BQ1099" s="23"/>
      <c r="BR1099" s="23"/>
      <c r="BS1099" s="23"/>
      <c r="BT1099" s="23"/>
      <c r="BU1099" s="23"/>
      <c r="BV1099" s="23"/>
      <c r="BW1099" s="23"/>
      <c r="BX1099" s="23"/>
      <c r="BY1099" s="23"/>
      <c r="BZ1099" s="23"/>
      <c r="CA1099" s="23"/>
      <c r="CB1099" s="23"/>
      <c r="CC1099" s="23"/>
      <c r="CD1099" s="23"/>
      <c r="CE1099" s="23"/>
      <c r="CF1099" s="23"/>
      <c r="CG1099" s="23"/>
      <c r="CH1099" s="23"/>
      <c r="CI1099" s="23"/>
      <c r="CJ1099" s="23"/>
      <c r="CK1099" s="23"/>
    </row>
    <row r="1100" spans="1:89">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c r="AV1100" s="23"/>
      <c r="AW1100" s="23"/>
      <c r="AX1100" s="23"/>
      <c r="AY1100" s="23"/>
      <c r="AZ1100" s="23"/>
      <c r="BA1100" s="23"/>
      <c r="BB1100" s="23"/>
      <c r="BC1100" s="23"/>
      <c r="BD1100" s="23"/>
      <c r="BE1100" s="23"/>
      <c r="BF1100" s="23"/>
      <c r="BG1100" s="23"/>
      <c r="BH1100" s="23"/>
      <c r="BI1100" s="23"/>
      <c r="BJ1100" s="23"/>
      <c r="BK1100" s="23"/>
      <c r="BL1100" s="23"/>
      <c r="BM1100" s="23"/>
      <c r="BN1100" s="23"/>
      <c r="BO1100" s="23"/>
      <c r="BP1100" s="23"/>
      <c r="BQ1100" s="23"/>
      <c r="BR1100" s="23"/>
      <c r="BS1100" s="23"/>
      <c r="BT1100" s="23"/>
      <c r="BU1100" s="23"/>
      <c r="BV1100" s="23"/>
      <c r="BW1100" s="23"/>
      <c r="BX1100" s="23"/>
      <c r="BY1100" s="23"/>
      <c r="BZ1100" s="23"/>
      <c r="CA1100" s="23"/>
      <c r="CB1100" s="23"/>
      <c r="CC1100" s="23"/>
      <c r="CD1100" s="23"/>
      <c r="CE1100" s="23"/>
      <c r="CF1100" s="23"/>
      <c r="CG1100" s="23"/>
      <c r="CH1100" s="23"/>
      <c r="CI1100" s="23"/>
      <c r="CJ1100" s="23"/>
      <c r="CK1100" s="23"/>
    </row>
    <row r="1101" spans="1:89">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c r="AV1101" s="23"/>
      <c r="AW1101" s="23"/>
      <c r="AX1101" s="23"/>
      <c r="AY1101" s="23"/>
      <c r="AZ1101" s="23"/>
      <c r="BA1101" s="23"/>
      <c r="BB1101" s="23"/>
      <c r="BC1101" s="23"/>
      <c r="BD1101" s="23"/>
      <c r="BE1101" s="23"/>
      <c r="BF1101" s="23"/>
      <c r="BG1101" s="23"/>
      <c r="BH1101" s="23"/>
      <c r="BI1101" s="23"/>
      <c r="BJ1101" s="23"/>
      <c r="BK1101" s="23"/>
      <c r="BL1101" s="23"/>
      <c r="BM1101" s="23"/>
      <c r="BN1101" s="23"/>
      <c r="BO1101" s="23"/>
      <c r="BP1101" s="23"/>
      <c r="BQ1101" s="23"/>
      <c r="BR1101" s="23"/>
      <c r="BS1101" s="23"/>
      <c r="BT1101" s="23"/>
      <c r="BU1101" s="23"/>
      <c r="BV1101" s="23"/>
      <c r="BW1101" s="23"/>
      <c r="BX1101" s="23"/>
      <c r="BY1101" s="23"/>
      <c r="BZ1101" s="23"/>
      <c r="CA1101" s="23"/>
      <c r="CB1101" s="23"/>
      <c r="CC1101" s="23"/>
      <c r="CD1101" s="23"/>
      <c r="CE1101" s="23"/>
      <c r="CF1101" s="23"/>
      <c r="CG1101" s="23"/>
      <c r="CH1101" s="23"/>
      <c r="CI1101" s="23"/>
      <c r="CJ1101" s="23"/>
      <c r="CK1101" s="23"/>
    </row>
    <row r="1102" spans="1:89">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c r="AV1102" s="23"/>
      <c r="AW1102" s="23"/>
      <c r="AX1102" s="23"/>
      <c r="AY1102" s="23"/>
      <c r="AZ1102" s="23"/>
      <c r="BA1102" s="23"/>
      <c r="BB1102" s="23"/>
      <c r="BC1102" s="23"/>
      <c r="BD1102" s="23"/>
      <c r="BE1102" s="23"/>
      <c r="BF1102" s="23"/>
      <c r="BG1102" s="23"/>
      <c r="BH1102" s="23"/>
      <c r="BI1102" s="23"/>
      <c r="BJ1102" s="23"/>
      <c r="BK1102" s="23"/>
      <c r="BL1102" s="23"/>
      <c r="BM1102" s="23"/>
      <c r="BN1102" s="23"/>
      <c r="BO1102" s="23"/>
      <c r="BP1102" s="23"/>
      <c r="BQ1102" s="23"/>
      <c r="BR1102" s="23"/>
      <c r="BS1102" s="23"/>
      <c r="BT1102" s="23"/>
      <c r="BU1102" s="23"/>
      <c r="BV1102" s="23"/>
      <c r="BW1102" s="23"/>
      <c r="BX1102" s="23"/>
      <c r="BY1102" s="23"/>
      <c r="BZ1102" s="23"/>
      <c r="CA1102" s="23"/>
      <c r="CB1102" s="23"/>
      <c r="CC1102" s="23"/>
      <c r="CD1102" s="23"/>
      <c r="CE1102" s="23"/>
      <c r="CF1102" s="23"/>
      <c r="CG1102" s="23"/>
      <c r="CH1102" s="23"/>
      <c r="CI1102" s="23"/>
      <c r="CJ1102" s="23"/>
      <c r="CK1102" s="23"/>
    </row>
    <row r="1103" spans="1:89">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c r="AV1103" s="23"/>
      <c r="AW1103" s="23"/>
      <c r="AX1103" s="23"/>
      <c r="AY1103" s="23"/>
      <c r="AZ1103" s="23"/>
      <c r="BA1103" s="23"/>
      <c r="BB1103" s="23"/>
      <c r="BC1103" s="23"/>
      <c r="BD1103" s="23"/>
      <c r="BE1103" s="23"/>
      <c r="BF1103" s="23"/>
      <c r="BG1103" s="23"/>
      <c r="BH1103" s="23"/>
      <c r="BI1103" s="23"/>
      <c r="BJ1103" s="23"/>
      <c r="BK1103" s="23"/>
      <c r="BL1103" s="23"/>
      <c r="BM1103" s="23"/>
      <c r="BN1103" s="23"/>
      <c r="BO1103" s="23"/>
      <c r="BP1103" s="23"/>
      <c r="BQ1103" s="23"/>
      <c r="BR1103" s="23"/>
      <c r="BS1103" s="23"/>
      <c r="BT1103" s="23"/>
      <c r="BU1103" s="23"/>
      <c r="BV1103" s="23"/>
      <c r="BW1103" s="23"/>
      <c r="BX1103" s="23"/>
      <c r="BY1103" s="23"/>
      <c r="BZ1103" s="23"/>
      <c r="CA1103" s="23"/>
      <c r="CB1103" s="23"/>
      <c r="CC1103" s="23"/>
      <c r="CD1103" s="23"/>
      <c r="CE1103" s="23"/>
      <c r="CF1103" s="23"/>
      <c r="CG1103" s="23"/>
      <c r="CH1103" s="23"/>
      <c r="CI1103" s="23"/>
      <c r="CJ1103" s="23"/>
      <c r="CK1103" s="23"/>
    </row>
    <row r="1104" spans="1:89">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c r="AV1104" s="23"/>
      <c r="AW1104" s="23"/>
      <c r="AX1104" s="23"/>
      <c r="AY1104" s="23"/>
      <c r="AZ1104" s="23"/>
      <c r="BA1104" s="23"/>
      <c r="BB1104" s="23"/>
      <c r="BC1104" s="23"/>
      <c r="BD1104" s="23"/>
      <c r="BE1104" s="23"/>
      <c r="BF1104" s="23"/>
      <c r="BG1104" s="23"/>
      <c r="BH1104" s="23"/>
      <c r="BI1104" s="23"/>
      <c r="BJ1104" s="23"/>
      <c r="BK1104" s="23"/>
      <c r="BL1104" s="23"/>
      <c r="BM1104" s="23"/>
      <c r="BN1104" s="23"/>
      <c r="BO1104" s="23"/>
      <c r="BP1104" s="23"/>
      <c r="BQ1104" s="23"/>
      <c r="BR1104" s="23"/>
      <c r="BS1104" s="23"/>
      <c r="BT1104" s="23"/>
      <c r="BU1104" s="23"/>
      <c r="BV1104" s="23"/>
      <c r="BW1104" s="23"/>
      <c r="BX1104" s="23"/>
      <c r="BY1104" s="23"/>
      <c r="BZ1104" s="23"/>
      <c r="CA1104" s="23"/>
      <c r="CB1104" s="23"/>
      <c r="CC1104" s="23"/>
      <c r="CD1104" s="23"/>
      <c r="CE1104" s="23"/>
      <c r="CF1104" s="23"/>
      <c r="CG1104" s="23"/>
      <c r="CH1104" s="23"/>
      <c r="CI1104" s="23"/>
      <c r="CJ1104" s="23"/>
      <c r="CK1104" s="23"/>
    </row>
    <row r="1105" spans="1:89">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c r="AV1105" s="23"/>
      <c r="AW1105" s="23"/>
      <c r="AX1105" s="23"/>
      <c r="AY1105" s="23"/>
      <c r="AZ1105" s="23"/>
      <c r="BA1105" s="23"/>
      <c r="BB1105" s="23"/>
      <c r="BC1105" s="23"/>
      <c r="BD1105" s="23"/>
      <c r="BE1105" s="23"/>
      <c r="BF1105" s="23"/>
      <c r="BG1105" s="23"/>
      <c r="BH1105" s="23"/>
      <c r="BI1105" s="23"/>
      <c r="BJ1105" s="23"/>
      <c r="BK1105" s="23"/>
      <c r="BL1105" s="23"/>
      <c r="BM1105" s="23"/>
      <c r="BN1105" s="23"/>
      <c r="BO1105" s="23"/>
      <c r="BP1105" s="23"/>
      <c r="BQ1105" s="23"/>
      <c r="BR1105" s="23"/>
      <c r="BS1105" s="23"/>
      <c r="BT1105" s="23"/>
      <c r="BU1105" s="23"/>
      <c r="BV1105" s="23"/>
      <c r="BW1105" s="23"/>
      <c r="BX1105" s="23"/>
      <c r="BY1105" s="23"/>
      <c r="BZ1105" s="23"/>
      <c r="CA1105" s="23"/>
      <c r="CB1105" s="23"/>
      <c r="CC1105" s="23"/>
      <c r="CD1105" s="23"/>
      <c r="CE1105" s="23"/>
      <c r="CF1105" s="23"/>
      <c r="CG1105" s="23"/>
      <c r="CH1105" s="23"/>
      <c r="CI1105" s="23"/>
      <c r="CJ1105" s="23"/>
      <c r="CK1105" s="23"/>
    </row>
    <row r="1106" spans="1:89">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c r="AV1106" s="23"/>
      <c r="AW1106" s="23"/>
      <c r="AX1106" s="23"/>
      <c r="AY1106" s="23"/>
      <c r="AZ1106" s="23"/>
      <c r="BA1106" s="23"/>
      <c r="BB1106" s="23"/>
      <c r="BC1106" s="23"/>
      <c r="BD1106" s="23"/>
      <c r="BE1106" s="23"/>
      <c r="BF1106" s="23"/>
      <c r="BG1106" s="23"/>
      <c r="BH1106" s="23"/>
      <c r="BI1106" s="23"/>
      <c r="BJ1106" s="23"/>
      <c r="BK1106" s="23"/>
      <c r="BL1106" s="23"/>
      <c r="BM1106" s="23"/>
      <c r="BN1106" s="23"/>
      <c r="BO1106" s="23"/>
      <c r="BP1106" s="23"/>
      <c r="BQ1106" s="23"/>
      <c r="BR1106" s="23"/>
      <c r="BS1106" s="23"/>
      <c r="BT1106" s="23"/>
      <c r="BU1106" s="23"/>
      <c r="BV1106" s="23"/>
      <c r="BW1106" s="23"/>
      <c r="BX1106" s="23"/>
      <c r="BY1106" s="23"/>
      <c r="BZ1106" s="23"/>
      <c r="CA1106" s="23"/>
      <c r="CB1106" s="23"/>
      <c r="CC1106" s="23"/>
      <c r="CD1106" s="23"/>
      <c r="CE1106" s="23"/>
      <c r="CF1106" s="23"/>
      <c r="CG1106" s="23"/>
      <c r="CH1106" s="23"/>
      <c r="CI1106" s="23"/>
      <c r="CJ1106" s="23"/>
      <c r="CK1106" s="23"/>
    </row>
    <row r="1107" spans="1:89">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c r="AV1107" s="23"/>
      <c r="AW1107" s="23"/>
      <c r="AX1107" s="23"/>
      <c r="AY1107" s="23"/>
      <c r="AZ1107" s="23"/>
      <c r="BA1107" s="23"/>
      <c r="BB1107" s="23"/>
      <c r="BC1107" s="23"/>
      <c r="BD1107" s="23"/>
      <c r="BE1107" s="23"/>
      <c r="BF1107" s="23"/>
      <c r="BG1107" s="23"/>
      <c r="BH1107" s="23"/>
      <c r="BI1107" s="23"/>
      <c r="BJ1107" s="23"/>
      <c r="BK1107" s="23"/>
      <c r="BL1107" s="23"/>
      <c r="BM1107" s="23"/>
      <c r="BN1107" s="23"/>
      <c r="BO1107" s="23"/>
      <c r="BP1107" s="23"/>
      <c r="BQ1107" s="23"/>
      <c r="BR1107" s="23"/>
      <c r="BS1107" s="23"/>
      <c r="BT1107" s="23"/>
      <c r="BU1107" s="23"/>
      <c r="BV1107" s="23"/>
      <c r="BW1107" s="23"/>
      <c r="BX1107" s="23"/>
      <c r="BY1107" s="23"/>
      <c r="BZ1107" s="23"/>
      <c r="CA1107" s="23"/>
      <c r="CB1107" s="23"/>
      <c r="CC1107" s="23"/>
      <c r="CD1107" s="23"/>
      <c r="CE1107" s="23"/>
      <c r="CF1107" s="23"/>
      <c r="CG1107" s="23"/>
      <c r="CH1107" s="23"/>
      <c r="CI1107" s="23"/>
      <c r="CJ1107" s="23"/>
      <c r="CK1107" s="23"/>
    </row>
    <row r="1108" spans="1:89">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c r="AV1108" s="23"/>
      <c r="AW1108" s="23"/>
      <c r="AX1108" s="23"/>
      <c r="AY1108" s="23"/>
      <c r="AZ1108" s="23"/>
      <c r="BA1108" s="23"/>
      <c r="BB1108" s="23"/>
      <c r="BC1108" s="23"/>
      <c r="BD1108" s="23"/>
      <c r="BE1108" s="23"/>
      <c r="BF1108" s="23"/>
      <c r="BG1108" s="23"/>
      <c r="BH1108" s="23"/>
      <c r="BI1108" s="23"/>
      <c r="BJ1108" s="23"/>
      <c r="BK1108" s="23"/>
      <c r="BL1108" s="23"/>
      <c r="BM1108" s="23"/>
      <c r="BN1108" s="23"/>
      <c r="BO1108" s="23"/>
      <c r="BP1108" s="23"/>
      <c r="BQ1108" s="23"/>
      <c r="BR1108" s="23"/>
      <c r="BS1108" s="23"/>
      <c r="BT1108" s="23"/>
      <c r="BU1108" s="23"/>
      <c r="BV1108" s="23"/>
      <c r="BW1108" s="23"/>
      <c r="BX1108" s="23"/>
      <c r="BY1108" s="23"/>
      <c r="BZ1108" s="23"/>
      <c r="CA1108" s="23"/>
      <c r="CB1108" s="23"/>
      <c r="CC1108" s="23"/>
      <c r="CD1108" s="23"/>
      <c r="CE1108" s="23"/>
      <c r="CF1108" s="23"/>
      <c r="CG1108" s="23"/>
      <c r="CH1108" s="23"/>
      <c r="CI1108" s="23"/>
      <c r="CJ1108" s="23"/>
      <c r="CK1108" s="23"/>
    </row>
    <row r="1109" spans="1:8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c r="AV1109" s="23"/>
      <c r="AW1109" s="23"/>
      <c r="AX1109" s="23"/>
      <c r="AY1109" s="23"/>
      <c r="AZ1109" s="23"/>
      <c r="BA1109" s="23"/>
      <c r="BB1109" s="23"/>
      <c r="BC1109" s="23"/>
      <c r="BD1109" s="23"/>
      <c r="BE1109" s="23"/>
      <c r="BF1109" s="23"/>
      <c r="BG1109" s="23"/>
      <c r="BH1109" s="23"/>
      <c r="BI1109" s="23"/>
      <c r="BJ1109" s="23"/>
      <c r="BK1109" s="23"/>
      <c r="BL1109" s="23"/>
      <c r="BM1109" s="23"/>
      <c r="BN1109" s="23"/>
      <c r="BO1109" s="23"/>
      <c r="BP1109" s="23"/>
      <c r="BQ1109" s="23"/>
      <c r="BR1109" s="23"/>
      <c r="BS1109" s="23"/>
      <c r="BT1109" s="23"/>
      <c r="BU1109" s="23"/>
      <c r="BV1109" s="23"/>
      <c r="BW1109" s="23"/>
      <c r="BX1109" s="23"/>
      <c r="BY1109" s="23"/>
      <c r="BZ1109" s="23"/>
      <c r="CA1109" s="23"/>
      <c r="CB1109" s="23"/>
      <c r="CC1109" s="23"/>
      <c r="CD1109" s="23"/>
      <c r="CE1109" s="23"/>
      <c r="CF1109" s="23"/>
      <c r="CG1109" s="23"/>
      <c r="CH1109" s="23"/>
      <c r="CI1109" s="23"/>
      <c r="CJ1109" s="23"/>
      <c r="CK1109" s="23"/>
    </row>
    <row r="1110" spans="1:89">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c r="AV1110" s="23"/>
      <c r="AW1110" s="23"/>
      <c r="AX1110" s="23"/>
      <c r="AY1110" s="23"/>
      <c r="AZ1110" s="23"/>
      <c r="BA1110" s="23"/>
      <c r="BB1110" s="23"/>
      <c r="BC1110" s="23"/>
      <c r="BD1110" s="23"/>
      <c r="BE1110" s="23"/>
      <c r="BF1110" s="23"/>
      <c r="BG1110" s="23"/>
      <c r="BH1110" s="23"/>
      <c r="BI1110" s="23"/>
      <c r="BJ1110" s="23"/>
      <c r="BK1110" s="23"/>
      <c r="BL1110" s="23"/>
      <c r="BM1110" s="23"/>
      <c r="BN1110" s="23"/>
      <c r="BO1110" s="23"/>
      <c r="BP1110" s="23"/>
      <c r="BQ1110" s="23"/>
      <c r="BR1110" s="23"/>
      <c r="BS1110" s="23"/>
      <c r="BT1110" s="23"/>
      <c r="BU1110" s="23"/>
      <c r="BV1110" s="23"/>
      <c r="BW1110" s="23"/>
      <c r="BX1110" s="23"/>
      <c r="BY1110" s="23"/>
      <c r="BZ1110" s="23"/>
      <c r="CA1110" s="23"/>
      <c r="CB1110" s="23"/>
      <c r="CC1110" s="23"/>
      <c r="CD1110" s="23"/>
      <c r="CE1110" s="23"/>
      <c r="CF1110" s="23"/>
      <c r="CG1110" s="23"/>
      <c r="CH1110" s="23"/>
      <c r="CI1110" s="23"/>
      <c r="CJ1110" s="23"/>
      <c r="CK1110" s="23"/>
    </row>
    <row r="1111" spans="1:89">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c r="AV1111" s="23"/>
      <c r="AW1111" s="23"/>
      <c r="AX1111" s="23"/>
      <c r="AY1111" s="23"/>
      <c r="AZ1111" s="23"/>
      <c r="BA1111" s="23"/>
      <c r="BB1111" s="23"/>
      <c r="BC1111" s="23"/>
      <c r="BD1111" s="23"/>
      <c r="BE1111" s="23"/>
      <c r="BF1111" s="23"/>
      <c r="BG1111" s="23"/>
      <c r="BH1111" s="23"/>
      <c r="BI1111" s="23"/>
      <c r="BJ1111" s="23"/>
      <c r="BK1111" s="23"/>
      <c r="BL1111" s="23"/>
      <c r="BM1111" s="23"/>
      <c r="BN1111" s="23"/>
      <c r="BO1111" s="23"/>
      <c r="BP1111" s="23"/>
      <c r="BQ1111" s="23"/>
      <c r="BR1111" s="23"/>
      <c r="BS1111" s="23"/>
      <c r="BT1111" s="23"/>
      <c r="BU1111" s="23"/>
      <c r="BV1111" s="23"/>
      <c r="BW1111" s="23"/>
      <c r="BX1111" s="23"/>
      <c r="BY1111" s="23"/>
      <c r="BZ1111" s="23"/>
      <c r="CA1111" s="23"/>
      <c r="CB1111" s="23"/>
      <c r="CC1111" s="23"/>
      <c r="CD1111" s="23"/>
      <c r="CE1111" s="23"/>
      <c r="CF1111" s="23"/>
      <c r="CG1111" s="23"/>
      <c r="CH1111" s="23"/>
      <c r="CI1111" s="23"/>
      <c r="CJ1111" s="23"/>
      <c r="CK1111" s="23"/>
    </row>
    <row r="1112" spans="1:89">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c r="AV1112" s="23"/>
      <c r="AW1112" s="23"/>
      <c r="AX1112" s="23"/>
      <c r="AY1112" s="23"/>
      <c r="AZ1112" s="23"/>
      <c r="BA1112" s="23"/>
      <c r="BB1112" s="23"/>
      <c r="BC1112" s="23"/>
      <c r="BD1112" s="23"/>
      <c r="BE1112" s="23"/>
      <c r="BF1112" s="23"/>
      <c r="BG1112" s="23"/>
      <c r="BH1112" s="23"/>
      <c r="BI1112" s="23"/>
      <c r="BJ1112" s="23"/>
      <c r="BK1112" s="23"/>
      <c r="BL1112" s="23"/>
      <c r="BM1112" s="23"/>
      <c r="BN1112" s="23"/>
      <c r="BO1112" s="23"/>
      <c r="BP1112" s="23"/>
      <c r="BQ1112" s="23"/>
      <c r="BR1112" s="23"/>
      <c r="BS1112" s="23"/>
      <c r="BT1112" s="23"/>
      <c r="BU1112" s="23"/>
      <c r="BV1112" s="23"/>
      <c r="BW1112" s="23"/>
      <c r="BX1112" s="23"/>
      <c r="BY1112" s="23"/>
      <c r="BZ1112" s="23"/>
      <c r="CA1112" s="23"/>
      <c r="CB1112" s="23"/>
      <c r="CC1112" s="23"/>
      <c r="CD1112" s="23"/>
      <c r="CE1112" s="23"/>
      <c r="CF1112" s="23"/>
      <c r="CG1112" s="23"/>
      <c r="CH1112" s="23"/>
      <c r="CI1112" s="23"/>
      <c r="CJ1112" s="23"/>
      <c r="CK1112" s="23"/>
    </row>
    <row r="1113" spans="1:89">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c r="AV1113" s="23"/>
      <c r="AW1113" s="23"/>
      <c r="AX1113" s="23"/>
      <c r="AY1113" s="23"/>
      <c r="AZ1113" s="23"/>
      <c r="BA1113" s="23"/>
      <c r="BB1113" s="23"/>
      <c r="BC1113" s="23"/>
      <c r="BD1113" s="23"/>
      <c r="BE1113" s="23"/>
      <c r="BF1113" s="23"/>
      <c r="BG1113" s="23"/>
      <c r="BH1113" s="23"/>
      <c r="BI1113" s="23"/>
      <c r="BJ1113" s="23"/>
      <c r="BK1113" s="23"/>
      <c r="BL1113" s="23"/>
      <c r="BM1113" s="23"/>
      <c r="BN1113" s="23"/>
      <c r="BO1113" s="23"/>
      <c r="BP1113" s="23"/>
      <c r="BQ1113" s="23"/>
      <c r="BR1113" s="23"/>
      <c r="BS1113" s="23"/>
      <c r="BT1113" s="23"/>
      <c r="BU1113" s="23"/>
      <c r="BV1113" s="23"/>
      <c r="BW1113" s="23"/>
      <c r="BX1113" s="23"/>
      <c r="BY1113" s="23"/>
      <c r="BZ1113" s="23"/>
      <c r="CA1113" s="23"/>
      <c r="CB1113" s="23"/>
      <c r="CC1113" s="23"/>
      <c r="CD1113" s="23"/>
      <c r="CE1113" s="23"/>
      <c r="CF1113" s="23"/>
      <c r="CG1113" s="23"/>
      <c r="CH1113" s="23"/>
      <c r="CI1113" s="23"/>
      <c r="CJ1113" s="23"/>
      <c r="CK1113" s="23"/>
    </row>
    <row r="1114" spans="1:89">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c r="AV1114" s="23"/>
      <c r="AW1114" s="23"/>
      <c r="AX1114" s="23"/>
      <c r="AY1114" s="23"/>
      <c r="AZ1114" s="23"/>
      <c r="BA1114" s="23"/>
      <c r="BB1114" s="23"/>
      <c r="BC1114" s="23"/>
      <c r="BD1114" s="23"/>
      <c r="BE1114" s="23"/>
      <c r="BF1114" s="23"/>
      <c r="BG1114" s="23"/>
      <c r="BH1114" s="23"/>
      <c r="BI1114" s="23"/>
      <c r="BJ1114" s="23"/>
      <c r="BK1114" s="23"/>
      <c r="BL1114" s="23"/>
      <c r="BM1114" s="23"/>
      <c r="BN1114" s="23"/>
      <c r="BO1114" s="23"/>
      <c r="BP1114" s="23"/>
      <c r="BQ1114" s="23"/>
      <c r="BR1114" s="23"/>
      <c r="BS1114" s="23"/>
      <c r="BT1114" s="23"/>
      <c r="BU1114" s="23"/>
      <c r="BV1114" s="23"/>
      <c r="BW1114" s="23"/>
      <c r="BX1114" s="23"/>
      <c r="BY1114" s="23"/>
      <c r="BZ1114" s="23"/>
      <c r="CA1114" s="23"/>
      <c r="CB1114" s="23"/>
      <c r="CC1114" s="23"/>
      <c r="CD1114" s="23"/>
      <c r="CE1114" s="23"/>
      <c r="CF1114" s="23"/>
      <c r="CG1114" s="23"/>
      <c r="CH1114" s="23"/>
      <c r="CI1114" s="23"/>
      <c r="CJ1114" s="23"/>
      <c r="CK1114" s="23"/>
    </row>
    <row r="1115" spans="1:89">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c r="AV1115" s="23"/>
      <c r="AW1115" s="23"/>
      <c r="AX1115" s="23"/>
      <c r="AY1115" s="23"/>
      <c r="AZ1115" s="23"/>
      <c r="BA1115" s="23"/>
      <c r="BB1115" s="23"/>
      <c r="BC1115" s="23"/>
      <c r="BD1115" s="23"/>
      <c r="BE1115" s="23"/>
      <c r="BF1115" s="23"/>
      <c r="BG1115" s="23"/>
      <c r="BH1115" s="23"/>
      <c r="BI1115" s="23"/>
      <c r="BJ1115" s="23"/>
      <c r="BK1115" s="23"/>
      <c r="BL1115" s="23"/>
      <c r="BM1115" s="23"/>
      <c r="BN1115" s="23"/>
      <c r="BO1115" s="23"/>
      <c r="BP1115" s="23"/>
      <c r="BQ1115" s="23"/>
      <c r="BR1115" s="23"/>
      <c r="BS1115" s="23"/>
      <c r="BT1115" s="23"/>
      <c r="BU1115" s="23"/>
      <c r="BV1115" s="23"/>
      <c r="BW1115" s="23"/>
      <c r="BX1115" s="23"/>
      <c r="BY1115" s="23"/>
      <c r="BZ1115" s="23"/>
      <c r="CA1115" s="23"/>
      <c r="CB1115" s="23"/>
      <c r="CC1115" s="23"/>
      <c r="CD1115" s="23"/>
      <c r="CE1115" s="23"/>
      <c r="CF1115" s="23"/>
      <c r="CG1115" s="23"/>
      <c r="CH1115" s="23"/>
      <c r="CI1115" s="23"/>
      <c r="CJ1115" s="23"/>
      <c r="CK1115" s="23"/>
    </row>
    <row r="1116" spans="1:89">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c r="AV1116" s="23"/>
      <c r="AW1116" s="23"/>
      <c r="AX1116" s="23"/>
      <c r="AY1116" s="23"/>
      <c r="AZ1116" s="23"/>
      <c r="BA1116" s="23"/>
      <c r="BB1116" s="23"/>
      <c r="BC1116" s="23"/>
      <c r="BD1116" s="23"/>
      <c r="BE1116" s="23"/>
      <c r="BF1116" s="23"/>
      <c r="BG1116" s="23"/>
      <c r="BH1116" s="23"/>
      <c r="BI1116" s="23"/>
      <c r="BJ1116" s="23"/>
      <c r="BK1116" s="23"/>
      <c r="BL1116" s="23"/>
      <c r="BM1116" s="23"/>
      <c r="BN1116" s="23"/>
      <c r="BO1116" s="23"/>
      <c r="BP1116" s="23"/>
      <c r="BQ1116" s="23"/>
      <c r="BR1116" s="23"/>
      <c r="BS1116" s="23"/>
      <c r="BT1116" s="23"/>
      <c r="BU1116" s="23"/>
      <c r="BV1116" s="23"/>
      <c r="BW1116" s="23"/>
      <c r="BX1116" s="23"/>
      <c r="BY1116" s="23"/>
      <c r="BZ1116" s="23"/>
      <c r="CA1116" s="23"/>
      <c r="CB1116" s="23"/>
      <c r="CC1116" s="23"/>
      <c r="CD1116" s="23"/>
      <c r="CE1116" s="23"/>
      <c r="CF1116" s="23"/>
      <c r="CG1116" s="23"/>
      <c r="CH1116" s="23"/>
      <c r="CI1116" s="23"/>
      <c r="CJ1116" s="23"/>
      <c r="CK1116" s="23"/>
    </row>
    <row r="1117" spans="1:89">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c r="AV1117" s="23"/>
      <c r="AW1117" s="23"/>
      <c r="AX1117" s="23"/>
      <c r="AY1117" s="23"/>
      <c r="AZ1117" s="23"/>
      <c r="BA1117" s="23"/>
      <c r="BB1117" s="23"/>
      <c r="BC1117" s="23"/>
      <c r="BD1117" s="23"/>
      <c r="BE1117" s="23"/>
      <c r="BF1117" s="23"/>
      <c r="BG1117" s="23"/>
      <c r="BH1117" s="23"/>
      <c r="BI1117" s="23"/>
      <c r="BJ1117" s="23"/>
      <c r="BK1117" s="23"/>
      <c r="BL1117" s="23"/>
      <c r="BM1117" s="23"/>
      <c r="BN1117" s="23"/>
      <c r="BO1117" s="23"/>
      <c r="BP1117" s="23"/>
      <c r="BQ1117" s="23"/>
      <c r="BR1117" s="23"/>
      <c r="BS1117" s="23"/>
      <c r="BT1117" s="23"/>
      <c r="BU1117" s="23"/>
      <c r="BV1117" s="23"/>
      <c r="BW1117" s="23"/>
      <c r="BX1117" s="23"/>
      <c r="BY1117" s="23"/>
      <c r="BZ1117" s="23"/>
      <c r="CA1117" s="23"/>
      <c r="CB1117" s="23"/>
      <c r="CC1117" s="23"/>
      <c r="CD1117" s="23"/>
      <c r="CE1117" s="23"/>
      <c r="CF1117" s="23"/>
      <c r="CG1117" s="23"/>
      <c r="CH1117" s="23"/>
      <c r="CI1117" s="23"/>
      <c r="CJ1117" s="23"/>
      <c r="CK1117" s="23"/>
    </row>
    <row r="1118" spans="1:89">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c r="AV1118" s="23"/>
      <c r="AW1118" s="23"/>
      <c r="AX1118" s="23"/>
      <c r="AY1118" s="23"/>
      <c r="AZ1118" s="23"/>
      <c r="BA1118" s="23"/>
      <c r="BB1118" s="23"/>
      <c r="BC1118" s="23"/>
      <c r="BD1118" s="23"/>
      <c r="BE1118" s="23"/>
      <c r="BF1118" s="23"/>
      <c r="BG1118" s="23"/>
      <c r="BH1118" s="23"/>
      <c r="BI1118" s="23"/>
      <c r="BJ1118" s="23"/>
      <c r="BK1118" s="23"/>
      <c r="BL1118" s="23"/>
      <c r="BM1118" s="23"/>
      <c r="BN1118" s="23"/>
      <c r="BO1118" s="23"/>
      <c r="BP1118" s="23"/>
      <c r="BQ1118" s="23"/>
      <c r="BR1118" s="23"/>
      <c r="BS1118" s="23"/>
      <c r="BT1118" s="23"/>
      <c r="BU1118" s="23"/>
      <c r="BV1118" s="23"/>
      <c r="BW1118" s="23"/>
      <c r="BX1118" s="23"/>
      <c r="BY1118" s="23"/>
      <c r="BZ1118" s="23"/>
      <c r="CA1118" s="23"/>
      <c r="CB1118" s="23"/>
      <c r="CC1118" s="23"/>
      <c r="CD1118" s="23"/>
      <c r="CE1118" s="23"/>
      <c r="CF1118" s="23"/>
      <c r="CG1118" s="23"/>
      <c r="CH1118" s="23"/>
      <c r="CI1118" s="23"/>
      <c r="CJ1118" s="23"/>
      <c r="CK1118" s="23"/>
    </row>
    <row r="1119" spans="1:8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c r="AV1119" s="23"/>
      <c r="AW1119" s="23"/>
      <c r="AX1119" s="23"/>
      <c r="AY1119" s="23"/>
      <c r="AZ1119" s="23"/>
      <c r="BA1119" s="23"/>
      <c r="BB1119" s="23"/>
      <c r="BC1119" s="23"/>
      <c r="BD1119" s="23"/>
      <c r="BE1119" s="23"/>
      <c r="BF1119" s="23"/>
      <c r="BG1119" s="23"/>
      <c r="BH1119" s="23"/>
      <c r="BI1119" s="23"/>
      <c r="BJ1119" s="23"/>
      <c r="BK1119" s="23"/>
      <c r="BL1119" s="23"/>
      <c r="BM1119" s="23"/>
      <c r="BN1119" s="23"/>
      <c r="BO1119" s="23"/>
      <c r="BP1119" s="23"/>
      <c r="BQ1119" s="23"/>
      <c r="BR1119" s="23"/>
      <c r="BS1119" s="23"/>
      <c r="BT1119" s="23"/>
      <c r="BU1119" s="23"/>
      <c r="BV1119" s="23"/>
      <c r="BW1119" s="23"/>
      <c r="BX1119" s="23"/>
      <c r="BY1119" s="23"/>
      <c r="BZ1119" s="23"/>
      <c r="CA1119" s="23"/>
      <c r="CB1119" s="23"/>
      <c r="CC1119" s="23"/>
      <c r="CD1119" s="23"/>
      <c r="CE1119" s="23"/>
      <c r="CF1119" s="23"/>
      <c r="CG1119" s="23"/>
      <c r="CH1119" s="23"/>
      <c r="CI1119" s="23"/>
      <c r="CJ1119" s="23"/>
      <c r="CK1119" s="23"/>
    </row>
    <row r="1120" spans="1:89">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c r="AV1120" s="23"/>
      <c r="AW1120" s="23"/>
      <c r="AX1120" s="23"/>
      <c r="AY1120" s="23"/>
      <c r="AZ1120" s="23"/>
      <c r="BA1120" s="23"/>
      <c r="BB1120" s="23"/>
      <c r="BC1120" s="23"/>
      <c r="BD1120" s="23"/>
      <c r="BE1120" s="23"/>
      <c r="BF1120" s="23"/>
      <c r="BG1120" s="23"/>
      <c r="BH1120" s="23"/>
      <c r="BI1120" s="23"/>
      <c r="BJ1120" s="23"/>
      <c r="BK1120" s="23"/>
      <c r="BL1120" s="23"/>
      <c r="BM1120" s="23"/>
      <c r="BN1120" s="23"/>
      <c r="BO1120" s="23"/>
      <c r="BP1120" s="23"/>
      <c r="BQ1120" s="23"/>
      <c r="BR1120" s="23"/>
      <c r="BS1120" s="23"/>
      <c r="BT1120" s="23"/>
      <c r="BU1120" s="23"/>
      <c r="BV1120" s="23"/>
      <c r="BW1120" s="23"/>
      <c r="BX1120" s="23"/>
      <c r="BY1120" s="23"/>
      <c r="BZ1120" s="23"/>
      <c r="CA1120" s="23"/>
      <c r="CB1120" s="23"/>
      <c r="CC1120" s="23"/>
      <c r="CD1120" s="23"/>
      <c r="CE1120" s="23"/>
      <c r="CF1120" s="23"/>
      <c r="CG1120" s="23"/>
      <c r="CH1120" s="23"/>
      <c r="CI1120" s="23"/>
      <c r="CJ1120" s="23"/>
      <c r="CK1120" s="23"/>
    </row>
    <row r="1121" spans="1:89">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c r="AV1121" s="23"/>
      <c r="AW1121" s="23"/>
      <c r="AX1121" s="23"/>
      <c r="AY1121" s="23"/>
      <c r="AZ1121" s="23"/>
      <c r="BA1121" s="23"/>
      <c r="BB1121" s="23"/>
      <c r="BC1121" s="23"/>
      <c r="BD1121" s="23"/>
      <c r="BE1121" s="23"/>
      <c r="BF1121" s="23"/>
      <c r="BG1121" s="23"/>
      <c r="BH1121" s="23"/>
      <c r="BI1121" s="23"/>
      <c r="BJ1121" s="23"/>
      <c r="BK1121" s="23"/>
      <c r="BL1121" s="23"/>
      <c r="BM1121" s="23"/>
      <c r="BN1121" s="23"/>
      <c r="BO1121" s="23"/>
      <c r="BP1121" s="23"/>
      <c r="BQ1121" s="23"/>
      <c r="BR1121" s="23"/>
      <c r="BS1121" s="23"/>
      <c r="BT1121" s="23"/>
      <c r="BU1121" s="23"/>
      <c r="BV1121" s="23"/>
      <c r="BW1121" s="23"/>
      <c r="BX1121" s="23"/>
      <c r="BY1121" s="23"/>
      <c r="BZ1121" s="23"/>
      <c r="CA1121" s="23"/>
      <c r="CB1121" s="23"/>
      <c r="CC1121" s="23"/>
      <c r="CD1121" s="23"/>
      <c r="CE1121" s="23"/>
      <c r="CF1121" s="23"/>
      <c r="CG1121" s="23"/>
      <c r="CH1121" s="23"/>
      <c r="CI1121" s="23"/>
      <c r="CJ1121" s="23"/>
      <c r="CK1121" s="23"/>
    </row>
    <row r="1122" spans="1:89">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c r="AV1122" s="23"/>
      <c r="AW1122" s="23"/>
      <c r="AX1122" s="23"/>
      <c r="AY1122" s="23"/>
      <c r="AZ1122" s="23"/>
      <c r="BA1122" s="23"/>
      <c r="BB1122" s="23"/>
      <c r="BC1122" s="23"/>
      <c r="BD1122" s="23"/>
      <c r="BE1122" s="23"/>
      <c r="BF1122" s="23"/>
      <c r="BG1122" s="23"/>
      <c r="BH1122" s="23"/>
      <c r="BI1122" s="23"/>
      <c r="BJ1122" s="23"/>
      <c r="BK1122" s="23"/>
      <c r="BL1122" s="23"/>
      <c r="BM1122" s="23"/>
      <c r="BN1122" s="23"/>
      <c r="BO1122" s="23"/>
      <c r="BP1122" s="23"/>
      <c r="BQ1122" s="23"/>
      <c r="BR1122" s="23"/>
      <c r="BS1122" s="23"/>
      <c r="BT1122" s="23"/>
      <c r="BU1122" s="23"/>
      <c r="BV1122" s="23"/>
      <c r="BW1122" s="23"/>
      <c r="BX1122" s="23"/>
      <c r="BY1122" s="23"/>
      <c r="BZ1122" s="23"/>
      <c r="CA1122" s="23"/>
      <c r="CB1122" s="23"/>
      <c r="CC1122" s="23"/>
      <c r="CD1122" s="23"/>
      <c r="CE1122" s="23"/>
      <c r="CF1122" s="23"/>
      <c r="CG1122" s="23"/>
      <c r="CH1122" s="23"/>
      <c r="CI1122" s="23"/>
      <c r="CJ1122" s="23"/>
      <c r="CK1122" s="23"/>
    </row>
    <row r="1123" spans="1:89">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c r="AV1123" s="23"/>
      <c r="AW1123" s="23"/>
      <c r="AX1123" s="23"/>
      <c r="AY1123" s="23"/>
      <c r="AZ1123" s="23"/>
      <c r="BA1123" s="23"/>
      <c r="BB1123" s="23"/>
      <c r="BC1123" s="23"/>
      <c r="BD1123" s="23"/>
      <c r="BE1123" s="23"/>
      <c r="BF1123" s="23"/>
      <c r="BG1123" s="23"/>
      <c r="BH1123" s="23"/>
      <c r="BI1123" s="23"/>
      <c r="BJ1123" s="23"/>
      <c r="BK1123" s="23"/>
      <c r="BL1123" s="23"/>
      <c r="BM1123" s="23"/>
      <c r="BN1123" s="23"/>
      <c r="BO1123" s="23"/>
      <c r="BP1123" s="23"/>
      <c r="BQ1123" s="23"/>
      <c r="BR1123" s="23"/>
      <c r="BS1123" s="23"/>
      <c r="BT1123" s="23"/>
      <c r="BU1123" s="23"/>
      <c r="BV1123" s="23"/>
      <c r="BW1123" s="23"/>
      <c r="BX1123" s="23"/>
      <c r="BY1123" s="23"/>
      <c r="BZ1123" s="23"/>
      <c r="CA1123" s="23"/>
      <c r="CB1123" s="23"/>
      <c r="CC1123" s="23"/>
      <c r="CD1123" s="23"/>
      <c r="CE1123" s="23"/>
      <c r="CF1123" s="23"/>
      <c r="CG1123" s="23"/>
      <c r="CH1123" s="23"/>
      <c r="CI1123" s="23"/>
      <c r="CJ1123" s="23"/>
      <c r="CK1123" s="23"/>
    </row>
    <row r="1124" spans="1:89">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c r="AV1124" s="23"/>
      <c r="AW1124" s="23"/>
      <c r="AX1124" s="23"/>
      <c r="AY1124" s="23"/>
      <c r="AZ1124" s="23"/>
      <c r="BA1124" s="23"/>
      <c r="BB1124" s="23"/>
      <c r="BC1124" s="23"/>
      <c r="BD1124" s="23"/>
      <c r="BE1124" s="23"/>
      <c r="BF1124" s="23"/>
      <c r="BG1124" s="23"/>
      <c r="BH1124" s="23"/>
      <c r="BI1124" s="23"/>
      <c r="BJ1124" s="23"/>
      <c r="BK1124" s="23"/>
      <c r="BL1124" s="23"/>
      <c r="BM1124" s="23"/>
      <c r="BN1124" s="23"/>
      <c r="BO1124" s="23"/>
      <c r="BP1124" s="23"/>
      <c r="BQ1124" s="23"/>
      <c r="BR1124" s="23"/>
      <c r="BS1124" s="23"/>
      <c r="BT1124" s="23"/>
      <c r="BU1124" s="23"/>
      <c r="BV1124" s="23"/>
      <c r="BW1124" s="23"/>
      <c r="BX1124" s="23"/>
      <c r="BY1124" s="23"/>
      <c r="BZ1124" s="23"/>
      <c r="CA1124" s="23"/>
      <c r="CB1124" s="23"/>
      <c r="CC1124" s="23"/>
      <c r="CD1124" s="23"/>
      <c r="CE1124" s="23"/>
      <c r="CF1124" s="23"/>
      <c r="CG1124" s="23"/>
      <c r="CH1124" s="23"/>
      <c r="CI1124" s="23"/>
      <c r="CJ1124" s="23"/>
      <c r="CK1124" s="23"/>
    </row>
    <row r="1125" spans="1:89">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c r="AV1125" s="23"/>
      <c r="AW1125" s="23"/>
      <c r="AX1125" s="23"/>
      <c r="AY1125" s="23"/>
      <c r="AZ1125" s="23"/>
      <c r="BA1125" s="23"/>
      <c r="BB1125" s="23"/>
      <c r="BC1125" s="23"/>
      <c r="BD1125" s="23"/>
      <c r="BE1125" s="23"/>
      <c r="BF1125" s="23"/>
      <c r="BG1125" s="23"/>
      <c r="BH1125" s="23"/>
      <c r="BI1125" s="23"/>
      <c r="BJ1125" s="23"/>
      <c r="BK1125" s="23"/>
      <c r="BL1125" s="23"/>
      <c r="BM1125" s="23"/>
      <c r="BN1125" s="23"/>
      <c r="BO1125" s="23"/>
      <c r="BP1125" s="23"/>
      <c r="BQ1125" s="23"/>
      <c r="BR1125" s="23"/>
      <c r="BS1125" s="23"/>
      <c r="BT1125" s="23"/>
      <c r="BU1125" s="23"/>
      <c r="BV1125" s="23"/>
      <c r="BW1125" s="23"/>
      <c r="BX1125" s="23"/>
      <c r="BY1125" s="23"/>
      <c r="BZ1125" s="23"/>
      <c r="CA1125" s="23"/>
      <c r="CB1125" s="23"/>
      <c r="CC1125" s="23"/>
      <c r="CD1125" s="23"/>
      <c r="CE1125" s="23"/>
      <c r="CF1125" s="23"/>
      <c r="CG1125" s="23"/>
      <c r="CH1125" s="23"/>
      <c r="CI1125" s="23"/>
      <c r="CJ1125" s="23"/>
      <c r="CK1125" s="23"/>
    </row>
    <row r="1126" spans="1:89">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c r="AV1126" s="23"/>
      <c r="AW1126" s="23"/>
      <c r="AX1126" s="23"/>
      <c r="AY1126" s="23"/>
      <c r="AZ1126" s="23"/>
      <c r="BA1126" s="23"/>
      <c r="BB1126" s="23"/>
      <c r="BC1126" s="23"/>
      <c r="BD1126" s="23"/>
      <c r="BE1126" s="23"/>
      <c r="BF1126" s="23"/>
      <c r="BG1126" s="23"/>
      <c r="BH1126" s="23"/>
      <c r="BI1126" s="23"/>
      <c r="BJ1126" s="23"/>
      <c r="BK1126" s="23"/>
      <c r="BL1126" s="23"/>
      <c r="BM1126" s="23"/>
      <c r="BN1126" s="23"/>
      <c r="BO1126" s="23"/>
      <c r="BP1126" s="23"/>
      <c r="BQ1126" s="23"/>
      <c r="BR1126" s="23"/>
      <c r="BS1126" s="23"/>
      <c r="BT1126" s="23"/>
      <c r="BU1126" s="23"/>
      <c r="BV1126" s="23"/>
      <c r="BW1126" s="23"/>
      <c r="BX1126" s="23"/>
      <c r="BY1126" s="23"/>
      <c r="BZ1126" s="23"/>
      <c r="CA1126" s="23"/>
      <c r="CB1126" s="23"/>
      <c r="CC1126" s="23"/>
      <c r="CD1126" s="23"/>
      <c r="CE1126" s="23"/>
      <c r="CF1126" s="23"/>
      <c r="CG1126" s="23"/>
      <c r="CH1126" s="23"/>
      <c r="CI1126" s="23"/>
      <c r="CJ1126" s="23"/>
      <c r="CK1126" s="23"/>
    </row>
    <row r="1127" spans="1:89">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c r="AV1127" s="23"/>
      <c r="AW1127" s="23"/>
      <c r="AX1127" s="23"/>
      <c r="AY1127" s="23"/>
      <c r="AZ1127" s="23"/>
      <c r="BA1127" s="23"/>
      <c r="BB1127" s="23"/>
      <c r="BC1127" s="23"/>
      <c r="BD1127" s="23"/>
      <c r="BE1127" s="23"/>
      <c r="BF1127" s="23"/>
      <c r="BG1127" s="23"/>
      <c r="BH1127" s="23"/>
      <c r="BI1127" s="23"/>
      <c r="BJ1127" s="23"/>
      <c r="BK1127" s="23"/>
      <c r="BL1127" s="23"/>
      <c r="BM1127" s="23"/>
      <c r="BN1127" s="23"/>
      <c r="BO1127" s="23"/>
      <c r="BP1127" s="23"/>
      <c r="BQ1127" s="23"/>
      <c r="BR1127" s="23"/>
      <c r="BS1127" s="23"/>
      <c r="BT1127" s="23"/>
      <c r="BU1127" s="23"/>
      <c r="BV1127" s="23"/>
      <c r="BW1127" s="23"/>
      <c r="BX1127" s="23"/>
      <c r="BY1127" s="23"/>
      <c r="BZ1127" s="23"/>
      <c r="CA1127" s="23"/>
      <c r="CB1127" s="23"/>
      <c r="CC1127" s="23"/>
      <c r="CD1127" s="23"/>
      <c r="CE1127" s="23"/>
      <c r="CF1127" s="23"/>
      <c r="CG1127" s="23"/>
      <c r="CH1127" s="23"/>
      <c r="CI1127" s="23"/>
      <c r="CJ1127" s="23"/>
      <c r="CK1127" s="23"/>
    </row>
    <row r="1128" spans="1:89">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c r="AV1128" s="23"/>
      <c r="AW1128" s="23"/>
      <c r="AX1128" s="23"/>
      <c r="AY1128" s="23"/>
      <c r="AZ1128" s="23"/>
      <c r="BA1128" s="23"/>
      <c r="BB1128" s="23"/>
      <c r="BC1128" s="23"/>
      <c r="BD1128" s="23"/>
      <c r="BE1128" s="23"/>
      <c r="BF1128" s="23"/>
      <c r="BG1128" s="23"/>
      <c r="BH1128" s="23"/>
      <c r="BI1128" s="23"/>
      <c r="BJ1128" s="23"/>
      <c r="BK1128" s="23"/>
      <c r="BL1128" s="23"/>
      <c r="BM1128" s="23"/>
      <c r="BN1128" s="23"/>
      <c r="BO1128" s="23"/>
      <c r="BP1128" s="23"/>
      <c r="BQ1128" s="23"/>
      <c r="BR1128" s="23"/>
      <c r="BS1128" s="23"/>
      <c r="BT1128" s="23"/>
      <c r="BU1128" s="23"/>
      <c r="BV1128" s="23"/>
      <c r="BW1128" s="23"/>
      <c r="BX1128" s="23"/>
      <c r="BY1128" s="23"/>
      <c r="BZ1128" s="23"/>
      <c r="CA1128" s="23"/>
      <c r="CB1128" s="23"/>
      <c r="CC1128" s="23"/>
      <c r="CD1128" s="23"/>
      <c r="CE1128" s="23"/>
      <c r="CF1128" s="23"/>
      <c r="CG1128" s="23"/>
      <c r="CH1128" s="23"/>
      <c r="CI1128" s="23"/>
      <c r="CJ1128" s="23"/>
      <c r="CK1128" s="23"/>
    </row>
    <row r="1129" spans="1:8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c r="AV1129" s="23"/>
      <c r="AW1129" s="23"/>
      <c r="AX1129" s="23"/>
      <c r="AY1129" s="23"/>
      <c r="AZ1129" s="23"/>
      <c r="BA1129" s="23"/>
      <c r="BB1129" s="23"/>
      <c r="BC1129" s="23"/>
      <c r="BD1129" s="23"/>
      <c r="BE1129" s="23"/>
      <c r="BF1129" s="23"/>
      <c r="BG1129" s="23"/>
      <c r="BH1129" s="23"/>
      <c r="BI1129" s="23"/>
      <c r="BJ1129" s="23"/>
      <c r="BK1129" s="23"/>
      <c r="BL1129" s="23"/>
      <c r="BM1129" s="23"/>
      <c r="BN1129" s="23"/>
      <c r="BO1129" s="23"/>
      <c r="BP1129" s="23"/>
      <c r="BQ1129" s="23"/>
      <c r="BR1129" s="23"/>
      <c r="BS1129" s="23"/>
      <c r="BT1129" s="23"/>
      <c r="BU1129" s="23"/>
      <c r="BV1129" s="23"/>
      <c r="BW1129" s="23"/>
      <c r="BX1129" s="23"/>
      <c r="BY1129" s="23"/>
      <c r="BZ1129" s="23"/>
      <c r="CA1129" s="23"/>
      <c r="CB1129" s="23"/>
      <c r="CC1129" s="23"/>
      <c r="CD1129" s="23"/>
      <c r="CE1129" s="23"/>
      <c r="CF1129" s="23"/>
      <c r="CG1129" s="23"/>
      <c r="CH1129" s="23"/>
      <c r="CI1129" s="23"/>
      <c r="CJ1129" s="23"/>
      <c r="CK1129" s="23"/>
    </row>
    <row r="1130" spans="1:89">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c r="AV1130" s="23"/>
      <c r="AW1130" s="23"/>
      <c r="AX1130" s="23"/>
      <c r="AY1130" s="23"/>
      <c r="AZ1130" s="23"/>
      <c r="BA1130" s="23"/>
      <c r="BB1130" s="23"/>
      <c r="BC1130" s="23"/>
      <c r="BD1130" s="23"/>
      <c r="BE1130" s="23"/>
      <c r="BF1130" s="23"/>
      <c r="BG1130" s="23"/>
      <c r="BH1130" s="23"/>
      <c r="BI1130" s="23"/>
      <c r="BJ1130" s="23"/>
      <c r="BK1130" s="23"/>
      <c r="BL1130" s="23"/>
      <c r="BM1130" s="23"/>
      <c r="BN1130" s="23"/>
      <c r="BO1130" s="23"/>
      <c r="BP1130" s="23"/>
      <c r="BQ1130" s="23"/>
      <c r="BR1130" s="23"/>
      <c r="BS1130" s="23"/>
      <c r="BT1130" s="23"/>
      <c r="BU1130" s="23"/>
      <c r="BV1130" s="23"/>
      <c r="BW1130" s="23"/>
      <c r="BX1130" s="23"/>
      <c r="BY1130" s="23"/>
      <c r="BZ1130" s="23"/>
      <c r="CA1130" s="23"/>
      <c r="CB1130" s="23"/>
      <c r="CC1130" s="23"/>
      <c r="CD1130" s="23"/>
      <c r="CE1130" s="23"/>
      <c r="CF1130" s="23"/>
      <c r="CG1130" s="23"/>
      <c r="CH1130" s="23"/>
      <c r="CI1130" s="23"/>
      <c r="CJ1130" s="23"/>
      <c r="CK1130" s="23"/>
    </row>
    <row r="1131" spans="1:89">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c r="AV1131" s="23"/>
      <c r="AW1131" s="23"/>
      <c r="AX1131" s="23"/>
      <c r="AY1131" s="23"/>
      <c r="AZ1131" s="23"/>
      <c r="BA1131" s="23"/>
      <c r="BB1131" s="23"/>
      <c r="BC1131" s="23"/>
      <c r="BD1131" s="23"/>
      <c r="BE1131" s="23"/>
      <c r="BF1131" s="23"/>
      <c r="BG1131" s="23"/>
      <c r="BH1131" s="23"/>
      <c r="BI1131" s="23"/>
      <c r="BJ1131" s="23"/>
      <c r="BK1131" s="23"/>
      <c r="BL1131" s="23"/>
      <c r="BM1131" s="23"/>
      <c r="BN1131" s="23"/>
      <c r="BO1131" s="23"/>
      <c r="BP1131" s="23"/>
      <c r="BQ1131" s="23"/>
      <c r="BR1131" s="23"/>
      <c r="BS1131" s="23"/>
      <c r="BT1131" s="23"/>
      <c r="BU1131" s="23"/>
      <c r="BV1131" s="23"/>
      <c r="BW1131" s="23"/>
      <c r="BX1131" s="23"/>
      <c r="BY1131" s="23"/>
      <c r="BZ1131" s="23"/>
      <c r="CA1131" s="23"/>
      <c r="CB1131" s="23"/>
      <c r="CC1131" s="23"/>
      <c r="CD1131" s="23"/>
      <c r="CE1131" s="23"/>
      <c r="CF1131" s="23"/>
      <c r="CG1131" s="23"/>
      <c r="CH1131" s="23"/>
      <c r="CI1131" s="23"/>
      <c r="CJ1131" s="23"/>
      <c r="CK1131" s="23"/>
    </row>
    <row r="1132" spans="1:89">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c r="AV1132" s="23"/>
      <c r="AW1132" s="23"/>
      <c r="AX1132" s="23"/>
      <c r="AY1132" s="23"/>
      <c r="AZ1132" s="23"/>
      <c r="BA1132" s="23"/>
      <c r="BB1132" s="23"/>
      <c r="BC1132" s="23"/>
      <c r="BD1132" s="23"/>
      <c r="BE1132" s="23"/>
      <c r="BF1132" s="23"/>
      <c r="BG1132" s="23"/>
      <c r="BH1132" s="23"/>
      <c r="BI1132" s="23"/>
      <c r="BJ1132" s="23"/>
      <c r="BK1132" s="23"/>
      <c r="BL1132" s="23"/>
      <c r="BM1132" s="23"/>
      <c r="BN1132" s="23"/>
      <c r="BO1132" s="23"/>
      <c r="BP1132" s="23"/>
      <c r="BQ1132" s="23"/>
      <c r="BR1132" s="23"/>
      <c r="BS1132" s="23"/>
      <c r="BT1132" s="23"/>
      <c r="BU1132" s="23"/>
      <c r="BV1132" s="23"/>
      <c r="BW1132" s="23"/>
      <c r="BX1132" s="23"/>
      <c r="BY1132" s="23"/>
      <c r="BZ1132" s="23"/>
      <c r="CA1132" s="23"/>
      <c r="CB1132" s="23"/>
      <c r="CC1132" s="23"/>
      <c r="CD1132" s="23"/>
      <c r="CE1132" s="23"/>
      <c r="CF1132" s="23"/>
      <c r="CG1132" s="23"/>
      <c r="CH1132" s="23"/>
      <c r="CI1132" s="23"/>
      <c r="CJ1132" s="23"/>
      <c r="CK1132" s="23"/>
    </row>
    <row r="1133" spans="1:89">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c r="AV1133" s="23"/>
      <c r="AW1133" s="23"/>
      <c r="AX1133" s="23"/>
      <c r="AY1133" s="23"/>
      <c r="AZ1133" s="23"/>
      <c r="BA1133" s="23"/>
      <c r="BB1133" s="23"/>
      <c r="BC1133" s="23"/>
      <c r="BD1133" s="23"/>
      <c r="BE1133" s="23"/>
      <c r="BF1133" s="23"/>
      <c r="BG1133" s="23"/>
      <c r="BH1133" s="23"/>
      <c r="BI1133" s="23"/>
      <c r="BJ1133" s="23"/>
      <c r="BK1133" s="23"/>
      <c r="BL1133" s="23"/>
      <c r="BM1133" s="23"/>
      <c r="BN1133" s="23"/>
      <c r="BO1133" s="23"/>
      <c r="BP1133" s="23"/>
      <c r="BQ1133" s="23"/>
      <c r="BR1133" s="23"/>
      <c r="BS1133" s="23"/>
      <c r="BT1133" s="23"/>
      <c r="BU1133" s="23"/>
      <c r="BV1133" s="23"/>
      <c r="BW1133" s="23"/>
      <c r="BX1133" s="23"/>
      <c r="BY1133" s="23"/>
      <c r="BZ1133" s="23"/>
      <c r="CA1133" s="23"/>
      <c r="CB1133" s="23"/>
      <c r="CC1133" s="23"/>
      <c r="CD1133" s="23"/>
      <c r="CE1133" s="23"/>
      <c r="CF1133" s="23"/>
      <c r="CG1133" s="23"/>
      <c r="CH1133" s="23"/>
      <c r="CI1133" s="23"/>
      <c r="CJ1133" s="23"/>
      <c r="CK1133" s="23"/>
    </row>
    <row r="1134" spans="1:89">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c r="AV1134" s="23"/>
      <c r="AW1134" s="23"/>
      <c r="AX1134" s="23"/>
      <c r="AY1134" s="23"/>
      <c r="AZ1134" s="23"/>
      <c r="BA1134" s="23"/>
      <c r="BB1134" s="23"/>
      <c r="BC1134" s="23"/>
      <c r="BD1134" s="23"/>
      <c r="BE1134" s="23"/>
      <c r="BF1134" s="23"/>
      <c r="BG1134" s="23"/>
      <c r="BH1134" s="23"/>
      <c r="BI1134" s="23"/>
      <c r="BJ1134" s="23"/>
      <c r="BK1134" s="23"/>
      <c r="BL1134" s="23"/>
      <c r="BM1134" s="23"/>
      <c r="BN1134" s="23"/>
      <c r="BO1134" s="23"/>
      <c r="BP1134" s="23"/>
      <c r="BQ1134" s="23"/>
      <c r="BR1134" s="23"/>
      <c r="BS1134" s="23"/>
      <c r="BT1134" s="23"/>
      <c r="BU1134" s="23"/>
      <c r="BV1134" s="23"/>
      <c r="BW1134" s="23"/>
      <c r="BX1134" s="23"/>
      <c r="BY1134" s="23"/>
      <c r="BZ1134" s="23"/>
      <c r="CA1134" s="23"/>
      <c r="CB1134" s="23"/>
      <c r="CC1134" s="23"/>
      <c r="CD1134" s="23"/>
      <c r="CE1134" s="23"/>
      <c r="CF1134" s="23"/>
      <c r="CG1134" s="23"/>
      <c r="CH1134" s="23"/>
      <c r="CI1134" s="23"/>
      <c r="CJ1134" s="23"/>
      <c r="CK1134" s="23"/>
    </row>
    <row r="1135" spans="1:89">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c r="AV1135" s="23"/>
      <c r="AW1135" s="23"/>
      <c r="AX1135" s="23"/>
      <c r="AY1135" s="23"/>
      <c r="AZ1135" s="23"/>
      <c r="BA1135" s="23"/>
      <c r="BB1135" s="23"/>
      <c r="BC1135" s="23"/>
      <c r="BD1135" s="23"/>
      <c r="BE1135" s="23"/>
      <c r="BF1135" s="23"/>
      <c r="BG1135" s="23"/>
      <c r="BH1135" s="23"/>
      <c r="BI1135" s="23"/>
      <c r="BJ1135" s="23"/>
      <c r="BK1135" s="23"/>
      <c r="BL1135" s="23"/>
      <c r="BM1135" s="23"/>
      <c r="BN1135" s="23"/>
      <c r="BO1135" s="23"/>
      <c r="BP1135" s="23"/>
      <c r="BQ1135" s="23"/>
      <c r="BR1135" s="23"/>
      <c r="BS1135" s="23"/>
      <c r="BT1135" s="23"/>
      <c r="BU1135" s="23"/>
      <c r="BV1135" s="23"/>
      <c r="BW1135" s="23"/>
      <c r="BX1135" s="23"/>
      <c r="BY1135" s="23"/>
      <c r="BZ1135" s="23"/>
      <c r="CA1135" s="23"/>
      <c r="CB1135" s="23"/>
      <c r="CC1135" s="23"/>
      <c r="CD1135" s="23"/>
      <c r="CE1135" s="23"/>
      <c r="CF1135" s="23"/>
      <c r="CG1135" s="23"/>
      <c r="CH1135" s="23"/>
      <c r="CI1135" s="23"/>
      <c r="CJ1135" s="23"/>
      <c r="CK1135" s="23"/>
    </row>
    <row r="1136" spans="1:89">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c r="AV1136" s="23"/>
      <c r="AW1136" s="23"/>
      <c r="AX1136" s="23"/>
      <c r="AY1136" s="23"/>
      <c r="AZ1136" s="23"/>
      <c r="BA1136" s="23"/>
      <c r="BB1136" s="23"/>
      <c r="BC1136" s="23"/>
      <c r="BD1136" s="23"/>
      <c r="BE1136" s="23"/>
      <c r="BF1136" s="23"/>
      <c r="BG1136" s="23"/>
      <c r="BH1136" s="23"/>
      <c r="BI1136" s="23"/>
      <c r="BJ1136" s="23"/>
      <c r="BK1136" s="23"/>
      <c r="BL1136" s="23"/>
      <c r="BM1136" s="23"/>
      <c r="BN1136" s="23"/>
      <c r="BO1136" s="23"/>
      <c r="BP1136" s="23"/>
      <c r="BQ1136" s="23"/>
      <c r="BR1136" s="23"/>
      <c r="BS1136" s="23"/>
      <c r="BT1136" s="23"/>
      <c r="BU1136" s="23"/>
      <c r="BV1136" s="23"/>
      <c r="BW1136" s="23"/>
      <c r="BX1136" s="23"/>
      <c r="BY1136" s="23"/>
      <c r="BZ1136" s="23"/>
      <c r="CA1136" s="23"/>
      <c r="CB1136" s="23"/>
      <c r="CC1136" s="23"/>
      <c r="CD1136" s="23"/>
      <c r="CE1136" s="23"/>
      <c r="CF1136" s="23"/>
      <c r="CG1136" s="23"/>
      <c r="CH1136" s="23"/>
      <c r="CI1136" s="23"/>
      <c r="CJ1136" s="23"/>
      <c r="CK1136" s="23"/>
    </row>
    <row r="1137" spans="1:89">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c r="AV1137" s="23"/>
      <c r="AW1137" s="23"/>
      <c r="AX1137" s="23"/>
      <c r="AY1137" s="23"/>
      <c r="AZ1137" s="23"/>
      <c r="BA1137" s="23"/>
      <c r="BB1137" s="23"/>
      <c r="BC1137" s="23"/>
      <c r="BD1137" s="23"/>
      <c r="BE1137" s="23"/>
      <c r="BF1137" s="23"/>
      <c r="BG1137" s="23"/>
      <c r="BH1137" s="23"/>
      <c r="BI1137" s="23"/>
      <c r="BJ1137" s="23"/>
      <c r="BK1137" s="23"/>
      <c r="BL1137" s="23"/>
      <c r="BM1137" s="23"/>
      <c r="BN1137" s="23"/>
      <c r="BO1137" s="23"/>
      <c r="BP1137" s="23"/>
      <c r="BQ1137" s="23"/>
      <c r="BR1137" s="23"/>
      <c r="BS1137" s="23"/>
      <c r="BT1137" s="23"/>
      <c r="BU1137" s="23"/>
      <c r="BV1137" s="23"/>
      <c r="BW1137" s="23"/>
      <c r="BX1137" s="23"/>
      <c r="BY1137" s="23"/>
      <c r="BZ1137" s="23"/>
      <c r="CA1137" s="23"/>
      <c r="CB1137" s="23"/>
      <c r="CC1137" s="23"/>
      <c r="CD1137" s="23"/>
      <c r="CE1137" s="23"/>
      <c r="CF1137" s="23"/>
      <c r="CG1137" s="23"/>
      <c r="CH1137" s="23"/>
      <c r="CI1137" s="23"/>
      <c r="CJ1137" s="23"/>
      <c r="CK1137" s="23"/>
    </row>
    <row r="1138" spans="1:89">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c r="AV1138" s="23"/>
      <c r="AW1138" s="23"/>
      <c r="AX1138" s="23"/>
      <c r="AY1138" s="23"/>
      <c r="AZ1138" s="23"/>
      <c r="BA1138" s="23"/>
      <c r="BB1138" s="23"/>
      <c r="BC1138" s="23"/>
      <c r="BD1138" s="23"/>
      <c r="BE1138" s="23"/>
      <c r="BF1138" s="23"/>
      <c r="BG1138" s="23"/>
      <c r="BH1138" s="23"/>
      <c r="BI1138" s="23"/>
      <c r="BJ1138" s="23"/>
      <c r="BK1138" s="23"/>
      <c r="BL1138" s="23"/>
      <c r="BM1138" s="23"/>
      <c r="BN1138" s="23"/>
      <c r="BO1138" s="23"/>
      <c r="BP1138" s="23"/>
      <c r="BQ1138" s="23"/>
      <c r="BR1138" s="23"/>
      <c r="BS1138" s="23"/>
      <c r="BT1138" s="23"/>
      <c r="BU1138" s="23"/>
      <c r="BV1138" s="23"/>
      <c r="BW1138" s="23"/>
      <c r="BX1138" s="23"/>
      <c r="BY1138" s="23"/>
      <c r="BZ1138" s="23"/>
      <c r="CA1138" s="23"/>
      <c r="CB1138" s="23"/>
      <c r="CC1138" s="23"/>
      <c r="CD1138" s="23"/>
      <c r="CE1138" s="23"/>
      <c r="CF1138" s="23"/>
      <c r="CG1138" s="23"/>
      <c r="CH1138" s="23"/>
      <c r="CI1138" s="23"/>
      <c r="CJ1138" s="23"/>
      <c r="CK1138" s="23"/>
    </row>
    <row r="1139" spans="1:8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c r="AV1139" s="23"/>
      <c r="AW1139" s="23"/>
      <c r="AX1139" s="23"/>
      <c r="AY1139" s="23"/>
      <c r="AZ1139" s="23"/>
      <c r="BA1139" s="23"/>
      <c r="BB1139" s="23"/>
      <c r="BC1139" s="23"/>
      <c r="BD1139" s="23"/>
      <c r="BE1139" s="23"/>
      <c r="BF1139" s="23"/>
      <c r="BG1139" s="23"/>
      <c r="BH1139" s="23"/>
      <c r="BI1139" s="23"/>
      <c r="BJ1139" s="23"/>
      <c r="BK1139" s="23"/>
      <c r="BL1139" s="23"/>
      <c r="BM1139" s="23"/>
      <c r="BN1139" s="23"/>
      <c r="BO1139" s="23"/>
      <c r="BP1139" s="23"/>
      <c r="BQ1139" s="23"/>
      <c r="BR1139" s="23"/>
      <c r="BS1139" s="23"/>
      <c r="BT1139" s="23"/>
      <c r="BU1139" s="23"/>
      <c r="BV1139" s="23"/>
      <c r="BW1139" s="23"/>
      <c r="BX1139" s="23"/>
      <c r="BY1139" s="23"/>
      <c r="BZ1139" s="23"/>
      <c r="CA1139" s="23"/>
      <c r="CB1139" s="23"/>
      <c r="CC1139" s="23"/>
      <c r="CD1139" s="23"/>
      <c r="CE1139" s="23"/>
      <c r="CF1139" s="23"/>
      <c r="CG1139" s="23"/>
      <c r="CH1139" s="23"/>
      <c r="CI1139" s="23"/>
      <c r="CJ1139" s="23"/>
      <c r="CK1139" s="23"/>
    </row>
    <row r="1140" spans="1:89">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c r="AV1140" s="23"/>
      <c r="AW1140" s="23"/>
      <c r="AX1140" s="23"/>
      <c r="AY1140" s="23"/>
      <c r="AZ1140" s="23"/>
      <c r="BA1140" s="23"/>
      <c r="BB1140" s="23"/>
      <c r="BC1140" s="23"/>
      <c r="BD1140" s="23"/>
      <c r="BE1140" s="23"/>
      <c r="BF1140" s="23"/>
      <c r="BG1140" s="23"/>
      <c r="BH1140" s="23"/>
      <c r="BI1140" s="23"/>
      <c r="BJ1140" s="23"/>
      <c r="BK1140" s="23"/>
      <c r="BL1140" s="23"/>
      <c r="BM1140" s="23"/>
      <c r="BN1140" s="23"/>
      <c r="BO1140" s="23"/>
      <c r="BP1140" s="23"/>
      <c r="BQ1140" s="23"/>
      <c r="BR1140" s="23"/>
      <c r="BS1140" s="23"/>
      <c r="BT1140" s="23"/>
      <c r="BU1140" s="23"/>
      <c r="BV1140" s="23"/>
      <c r="BW1140" s="23"/>
      <c r="BX1140" s="23"/>
      <c r="BY1140" s="23"/>
      <c r="BZ1140" s="23"/>
      <c r="CA1140" s="23"/>
      <c r="CB1140" s="23"/>
      <c r="CC1140" s="23"/>
      <c r="CD1140" s="23"/>
      <c r="CE1140" s="23"/>
      <c r="CF1140" s="23"/>
      <c r="CG1140" s="23"/>
      <c r="CH1140" s="23"/>
      <c r="CI1140" s="23"/>
      <c r="CJ1140" s="23"/>
      <c r="CK1140" s="23"/>
    </row>
    <row r="1141" spans="1:89">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c r="AV1141" s="23"/>
      <c r="AW1141" s="23"/>
      <c r="AX1141" s="23"/>
      <c r="AY1141" s="23"/>
      <c r="AZ1141" s="23"/>
      <c r="BA1141" s="23"/>
      <c r="BB1141" s="23"/>
      <c r="BC1141" s="23"/>
      <c r="BD1141" s="23"/>
      <c r="BE1141" s="23"/>
      <c r="BF1141" s="23"/>
      <c r="BG1141" s="23"/>
      <c r="BH1141" s="23"/>
      <c r="BI1141" s="23"/>
      <c r="BJ1141" s="23"/>
      <c r="BK1141" s="23"/>
      <c r="BL1141" s="23"/>
      <c r="BM1141" s="23"/>
      <c r="BN1141" s="23"/>
      <c r="BO1141" s="23"/>
      <c r="BP1141" s="23"/>
      <c r="BQ1141" s="23"/>
      <c r="BR1141" s="23"/>
      <c r="BS1141" s="23"/>
      <c r="BT1141" s="23"/>
      <c r="BU1141" s="23"/>
      <c r="BV1141" s="23"/>
      <c r="BW1141" s="23"/>
      <c r="BX1141" s="23"/>
      <c r="BY1141" s="23"/>
      <c r="BZ1141" s="23"/>
      <c r="CA1141" s="23"/>
      <c r="CB1141" s="23"/>
      <c r="CC1141" s="23"/>
      <c r="CD1141" s="23"/>
      <c r="CE1141" s="23"/>
      <c r="CF1141" s="23"/>
      <c r="CG1141" s="23"/>
      <c r="CH1141" s="23"/>
      <c r="CI1141" s="23"/>
      <c r="CJ1141" s="23"/>
      <c r="CK1141" s="23"/>
    </row>
    <row r="1142" spans="1:89">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c r="AV1142" s="23"/>
      <c r="AW1142" s="23"/>
      <c r="AX1142" s="23"/>
      <c r="AY1142" s="23"/>
      <c r="AZ1142" s="23"/>
      <c r="BA1142" s="23"/>
      <c r="BB1142" s="23"/>
      <c r="BC1142" s="23"/>
      <c r="BD1142" s="23"/>
      <c r="BE1142" s="23"/>
      <c r="BF1142" s="23"/>
      <c r="BG1142" s="23"/>
      <c r="BH1142" s="23"/>
      <c r="BI1142" s="23"/>
      <c r="BJ1142" s="23"/>
      <c r="BK1142" s="23"/>
      <c r="BL1142" s="23"/>
      <c r="BM1142" s="23"/>
      <c r="BN1142" s="23"/>
      <c r="BO1142" s="23"/>
      <c r="BP1142" s="23"/>
      <c r="BQ1142" s="23"/>
      <c r="BR1142" s="23"/>
      <c r="BS1142" s="23"/>
      <c r="BT1142" s="23"/>
      <c r="BU1142" s="23"/>
      <c r="BV1142" s="23"/>
      <c r="BW1142" s="23"/>
      <c r="BX1142" s="23"/>
      <c r="BY1142" s="23"/>
      <c r="BZ1142" s="23"/>
      <c r="CA1142" s="23"/>
      <c r="CB1142" s="23"/>
      <c r="CC1142" s="23"/>
      <c r="CD1142" s="23"/>
      <c r="CE1142" s="23"/>
      <c r="CF1142" s="23"/>
      <c r="CG1142" s="23"/>
      <c r="CH1142" s="23"/>
      <c r="CI1142" s="23"/>
      <c r="CJ1142" s="23"/>
      <c r="CK1142" s="23"/>
    </row>
    <row r="1143" spans="1:89">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c r="AV1143" s="23"/>
      <c r="AW1143" s="23"/>
      <c r="AX1143" s="23"/>
      <c r="AY1143" s="23"/>
      <c r="AZ1143" s="23"/>
      <c r="BA1143" s="23"/>
      <c r="BB1143" s="23"/>
      <c r="BC1143" s="23"/>
      <c r="BD1143" s="23"/>
      <c r="BE1143" s="23"/>
      <c r="BF1143" s="23"/>
      <c r="BG1143" s="23"/>
      <c r="BH1143" s="23"/>
      <c r="BI1143" s="23"/>
      <c r="BJ1143" s="23"/>
      <c r="BK1143" s="23"/>
      <c r="BL1143" s="23"/>
      <c r="BM1143" s="23"/>
      <c r="BN1143" s="23"/>
      <c r="BO1143" s="23"/>
      <c r="BP1143" s="23"/>
      <c r="BQ1143" s="23"/>
      <c r="BR1143" s="23"/>
      <c r="BS1143" s="23"/>
      <c r="BT1143" s="23"/>
      <c r="BU1143" s="23"/>
      <c r="BV1143" s="23"/>
      <c r="BW1143" s="23"/>
      <c r="BX1143" s="23"/>
      <c r="BY1143" s="23"/>
      <c r="BZ1143" s="23"/>
      <c r="CA1143" s="23"/>
      <c r="CB1143" s="23"/>
      <c r="CC1143" s="23"/>
      <c r="CD1143" s="23"/>
      <c r="CE1143" s="23"/>
      <c r="CF1143" s="23"/>
      <c r="CG1143" s="23"/>
      <c r="CH1143" s="23"/>
      <c r="CI1143" s="23"/>
      <c r="CJ1143" s="23"/>
      <c r="CK1143" s="23"/>
    </row>
    <row r="1144" spans="1:89">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c r="AV1144" s="23"/>
      <c r="AW1144" s="23"/>
      <c r="AX1144" s="23"/>
      <c r="AY1144" s="23"/>
      <c r="AZ1144" s="23"/>
      <c r="BA1144" s="23"/>
      <c r="BB1144" s="23"/>
      <c r="BC1144" s="23"/>
      <c r="BD1144" s="23"/>
      <c r="BE1144" s="23"/>
      <c r="BF1144" s="23"/>
      <c r="BG1144" s="23"/>
      <c r="BH1144" s="23"/>
      <c r="BI1144" s="23"/>
      <c r="BJ1144" s="23"/>
      <c r="BK1144" s="23"/>
      <c r="BL1144" s="23"/>
      <c r="BM1144" s="23"/>
      <c r="BN1144" s="23"/>
      <c r="BO1144" s="23"/>
      <c r="BP1144" s="23"/>
      <c r="BQ1144" s="23"/>
      <c r="BR1144" s="23"/>
      <c r="BS1144" s="23"/>
      <c r="BT1144" s="23"/>
      <c r="BU1144" s="23"/>
      <c r="BV1144" s="23"/>
      <c r="BW1144" s="23"/>
      <c r="BX1144" s="23"/>
      <c r="BY1144" s="23"/>
      <c r="BZ1144" s="23"/>
      <c r="CA1144" s="23"/>
      <c r="CB1144" s="23"/>
      <c r="CC1144" s="23"/>
      <c r="CD1144" s="23"/>
      <c r="CE1144" s="23"/>
      <c r="CF1144" s="23"/>
      <c r="CG1144" s="23"/>
      <c r="CH1144" s="23"/>
      <c r="CI1144" s="23"/>
      <c r="CJ1144" s="23"/>
      <c r="CK1144" s="23"/>
    </row>
    <row r="1145" spans="1:89">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c r="AV1145" s="23"/>
      <c r="AW1145" s="23"/>
      <c r="AX1145" s="23"/>
      <c r="AY1145" s="23"/>
      <c r="AZ1145" s="23"/>
      <c r="BA1145" s="23"/>
      <c r="BB1145" s="23"/>
      <c r="BC1145" s="23"/>
      <c r="BD1145" s="23"/>
      <c r="BE1145" s="23"/>
      <c r="BF1145" s="23"/>
      <c r="BG1145" s="23"/>
      <c r="BH1145" s="23"/>
      <c r="BI1145" s="23"/>
      <c r="BJ1145" s="23"/>
      <c r="BK1145" s="23"/>
      <c r="BL1145" s="23"/>
      <c r="BM1145" s="23"/>
      <c r="BN1145" s="23"/>
      <c r="BO1145" s="23"/>
      <c r="BP1145" s="23"/>
      <c r="BQ1145" s="23"/>
      <c r="BR1145" s="23"/>
      <c r="BS1145" s="23"/>
      <c r="BT1145" s="23"/>
      <c r="BU1145" s="23"/>
      <c r="BV1145" s="23"/>
      <c r="BW1145" s="23"/>
      <c r="BX1145" s="23"/>
      <c r="BY1145" s="23"/>
      <c r="BZ1145" s="23"/>
      <c r="CA1145" s="23"/>
      <c r="CB1145" s="23"/>
      <c r="CC1145" s="23"/>
      <c r="CD1145" s="23"/>
      <c r="CE1145" s="23"/>
      <c r="CF1145" s="23"/>
      <c r="CG1145" s="23"/>
      <c r="CH1145" s="23"/>
      <c r="CI1145" s="23"/>
      <c r="CJ1145" s="23"/>
      <c r="CK1145" s="23"/>
    </row>
    <row r="1146" spans="1:89">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c r="AV1146" s="23"/>
      <c r="AW1146" s="23"/>
      <c r="AX1146" s="23"/>
      <c r="AY1146" s="23"/>
      <c r="AZ1146" s="23"/>
      <c r="BA1146" s="23"/>
      <c r="BB1146" s="23"/>
      <c r="BC1146" s="23"/>
      <c r="BD1146" s="23"/>
      <c r="BE1146" s="23"/>
      <c r="BF1146" s="23"/>
      <c r="BG1146" s="23"/>
      <c r="BH1146" s="23"/>
      <c r="BI1146" s="23"/>
      <c r="BJ1146" s="23"/>
      <c r="BK1146" s="23"/>
      <c r="BL1146" s="23"/>
      <c r="BM1146" s="23"/>
      <c r="BN1146" s="23"/>
      <c r="BO1146" s="23"/>
      <c r="BP1146" s="23"/>
      <c r="BQ1146" s="23"/>
      <c r="BR1146" s="23"/>
      <c r="BS1146" s="23"/>
      <c r="BT1146" s="23"/>
      <c r="BU1146" s="23"/>
      <c r="BV1146" s="23"/>
      <c r="BW1146" s="23"/>
      <c r="BX1146" s="23"/>
      <c r="BY1146" s="23"/>
      <c r="BZ1146" s="23"/>
      <c r="CA1146" s="23"/>
      <c r="CB1146" s="23"/>
      <c r="CC1146" s="23"/>
      <c r="CD1146" s="23"/>
      <c r="CE1146" s="23"/>
      <c r="CF1146" s="23"/>
      <c r="CG1146" s="23"/>
      <c r="CH1146" s="23"/>
      <c r="CI1146" s="23"/>
      <c r="CJ1146" s="23"/>
      <c r="CK1146" s="23"/>
    </row>
    <row r="1147" spans="1:89">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c r="AV1147" s="23"/>
      <c r="AW1147" s="23"/>
      <c r="AX1147" s="23"/>
      <c r="AY1147" s="23"/>
      <c r="AZ1147" s="23"/>
      <c r="BA1147" s="23"/>
      <c r="BB1147" s="23"/>
      <c r="BC1147" s="23"/>
      <c r="BD1147" s="23"/>
      <c r="BE1147" s="23"/>
      <c r="BF1147" s="23"/>
      <c r="BG1147" s="23"/>
      <c r="BH1147" s="23"/>
      <c r="BI1147" s="23"/>
      <c r="BJ1147" s="23"/>
      <c r="BK1147" s="23"/>
      <c r="BL1147" s="23"/>
      <c r="BM1147" s="23"/>
      <c r="BN1147" s="23"/>
      <c r="BO1147" s="23"/>
      <c r="BP1147" s="23"/>
      <c r="BQ1147" s="23"/>
      <c r="BR1147" s="23"/>
      <c r="BS1147" s="23"/>
      <c r="BT1147" s="23"/>
      <c r="BU1147" s="23"/>
      <c r="BV1147" s="23"/>
      <c r="BW1147" s="23"/>
      <c r="BX1147" s="23"/>
      <c r="BY1147" s="23"/>
      <c r="BZ1147" s="23"/>
      <c r="CA1147" s="23"/>
      <c r="CB1147" s="23"/>
      <c r="CC1147" s="23"/>
      <c r="CD1147" s="23"/>
      <c r="CE1147" s="23"/>
      <c r="CF1147" s="23"/>
      <c r="CG1147" s="23"/>
      <c r="CH1147" s="23"/>
      <c r="CI1147" s="23"/>
      <c r="CJ1147" s="23"/>
      <c r="CK1147" s="23"/>
    </row>
    <row r="1148" spans="1:89">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c r="AV1148" s="23"/>
      <c r="AW1148" s="23"/>
      <c r="AX1148" s="23"/>
      <c r="AY1148" s="23"/>
      <c r="AZ1148" s="23"/>
      <c r="BA1148" s="23"/>
      <c r="BB1148" s="23"/>
      <c r="BC1148" s="23"/>
      <c r="BD1148" s="23"/>
      <c r="BE1148" s="23"/>
      <c r="BF1148" s="23"/>
      <c r="BG1148" s="23"/>
      <c r="BH1148" s="23"/>
      <c r="BI1148" s="23"/>
      <c r="BJ1148" s="23"/>
      <c r="BK1148" s="23"/>
      <c r="BL1148" s="23"/>
      <c r="BM1148" s="23"/>
      <c r="BN1148" s="23"/>
      <c r="BO1148" s="23"/>
      <c r="BP1148" s="23"/>
      <c r="BQ1148" s="23"/>
      <c r="BR1148" s="23"/>
      <c r="BS1148" s="23"/>
      <c r="BT1148" s="23"/>
      <c r="BU1148" s="23"/>
      <c r="BV1148" s="23"/>
      <c r="BW1148" s="23"/>
      <c r="BX1148" s="23"/>
      <c r="BY1148" s="23"/>
      <c r="BZ1148" s="23"/>
      <c r="CA1148" s="23"/>
      <c r="CB1148" s="23"/>
      <c r="CC1148" s="23"/>
      <c r="CD1148" s="23"/>
      <c r="CE1148" s="23"/>
      <c r="CF1148" s="23"/>
      <c r="CG1148" s="23"/>
      <c r="CH1148" s="23"/>
      <c r="CI1148" s="23"/>
      <c r="CJ1148" s="23"/>
      <c r="CK1148" s="23"/>
    </row>
    <row r="1149" spans="1:8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c r="AV1149" s="23"/>
      <c r="AW1149" s="23"/>
      <c r="AX1149" s="23"/>
      <c r="AY1149" s="23"/>
      <c r="AZ1149" s="23"/>
      <c r="BA1149" s="23"/>
      <c r="BB1149" s="23"/>
      <c r="BC1149" s="23"/>
      <c r="BD1149" s="23"/>
      <c r="BE1149" s="23"/>
      <c r="BF1149" s="23"/>
      <c r="BG1149" s="23"/>
      <c r="BH1149" s="23"/>
      <c r="BI1149" s="23"/>
      <c r="BJ1149" s="23"/>
      <c r="BK1149" s="23"/>
      <c r="BL1149" s="23"/>
      <c r="BM1149" s="23"/>
      <c r="BN1149" s="23"/>
      <c r="BO1149" s="23"/>
      <c r="BP1149" s="23"/>
      <c r="BQ1149" s="23"/>
      <c r="BR1149" s="23"/>
      <c r="BS1149" s="23"/>
      <c r="BT1149" s="23"/>
      <c r="BU1149" s="23"/>
      <c r="BV1149" s="23"/>
      <c r="BW1149" s="23"/>
      <c r="BX1149" s="23"/>
      <c r="BY1149" s="23"/>
      <c r="BZ1149" s="23"/>
      <c r="CA1149" s="23"/>
      <c r="CB1149" s="23"/>
      <c r="CC1149" s="23"/>
      <c r="CD1149" s="23"/>
      <c r="CE1149" s="23"/>
      <c r="CF1149" s="23"/>
      <c r="CG1149" s="23"/>
      <c r="CH1149" s="23"/>
      <c r="CI1149" s="23"/>
      <c r="CJ1149" s="23"/>
      <c r="CK1149" s="23"/>
    </row>
    <row r="1150" spans="1:89">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c r="AV1150" s="23"/>
      <c r="AW1150" s="23"/>
      <c r="AX1150" s="23"/>
      <c r="AY1150" s="23"/>
      <c r="AZ1150" s="23"/>
      <c r="BA1150" s="23"/>
      <c r="BB1150" s="23"/>
      <c r="BC1150" s="23"/>
      <c r="BD1150" s="23"/>
      <c r="BE1150" s="23"/>
      <c r="BF1150" s="23"/>
      <c r="BG1150" s="23"/>
      <c r="BH1150" s="23"/>
      <c r="BI1150" s="23"/>
      <c r="BJ1150" s="23"/>
      <c r="BK1150" s="23"/>
      <c r="BL1150" s="23"/>
      <c r="BM1150" s="23"/>
      <c r="BN1150" s="23"/>
      <c r="BO1150" s="23"/>
      <c r="BP1150" s="23"/>
      <c r="BQ1150" s="23"/>
      <c r="BR1150" s="23"/>
      <c r="BS1150" s="23"/>
      <c r="BT1150" s="23"/>
      <c r="BU1150" s="23"/>
      <c r="BV1150" s="23"/>
      <c r="BW1150" s="23"/>
      <c r="BX1150" s="23"/>
      <c r="BY1150" s="23"/>
      <c r="BZ1150" s="23"/>
      <c r="CA1150" s="23"/>
      <c r="CB1150" s="23"/>
      <c r="CC1150" s="23"/>
      <c r="CD1150" s="23"/>
      <c r="CE1150" s="23"/>
      <c r="CF1150" s="23"/>
      <c r="CG1150" s="23"/>
      <c r="CH1150" s="23"/>
      <c r="CI1150" s="23"/>
      <c r="CJ1150" s="23"/>
      <c r="CK1150" s="23"/>
    </row>
    <row r="1151" spans="1:89">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c r="AV1151" s="23"/>
      <c r="AW1151" s="23"/>
      <c r="AX1151" s="23"/>
      <c r="AY1151" s="23"/>
      <c r="AZ1151" s="23"/>
      <c r="BA1151" s="23"/>
      <c r="BB1151" s="23"/>
      <c r="BC1151" s="23"/>
      <c r="BD1151" s="23"/>
      <c r="BE1151" s="23"/>
      <c r="BF1151" s="23"/>
      <c r="BG1151" s="23"/>
      <c r="BH1151" s="23"/>
      <c r="BI1151" s="23"/>
      <c r="BJ1151" s="23"/>
      <c r="BK1151" s="23"/>
      <c r="BL1151" s="23"/>
      <c r="BM1151" s="23"/>
      <c r="BN1151" s="23"/>
      <c r="BO1151" s="23"/>
      <c r="BP1151" s="23"/>
      <c r="BQ1151" s="23"/>
      <c r="BR1151" s="23"/>
      <c r="BS1151" s="23"/>
      <c r="BT1151" s="23"/>
      <c r="BU1151" s="23"/>
      <c r="BV1151" s="23"/>
      <c r="BW1151" s="23"/>
      <c r="BX1151" s="23"/>
      <c r="BY1151" s="23"/>
      <c r="BZ1151" s="23"/>
      <c r="CA1151" s="23"/>
      <c r="CB1151" s="23"/>
      <c r="CC1151" s="23"/>
      <c r="CD1151" s="23"/>
      <c r="CE1151" s="23"/>
      <c r="CF1151" s="23"/>
      <c r="CG1151" s="23"/>
      <c r="CH1151" s="23"/>
      <c r="CI1151" s="23"/>
      <c r="CJ1151" s="23"/>
      <c r="CK1151" s="23"/>
    </row>
    <row r="1152" spans="1:89">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c r="AV1152" s="23"/>
      <c r="AW1152" s="23"/>
      <c r="AX1152" s="23"/>
      <c r="AY1152" s="23"/>
      <c r="AZ1152" s="23"/>
      <c r="BA1152" s="23"/>
      <c r="BB1152" s="23"/>
      <c r="BC1152" s="23"/>
      <c r="BD1152" s="23"/>
      <c r="BE1152" s="23"/>
      <c r="BF1152" s="23"/>
      <c r="BG1152" s="23"/>
      <c r="BH1152" s="23"/>
      <c r="BI1152" s="23"/>
      <c r="BJ1152" s="23"/>
      <c r="BK1152" s="23"/>
      <c r="BL1152" s="23"/>
      <c r="BM1152" s="23"/>
      <c r="BN1152" s="23"/>
      <c r="BO1152" s="23"/>
      <c r="BP1152" s="23"/>
      <c r="BQ1152" s="23"/>
      <c r="BR1152" s="23"/>
      <c r="BS1152" s="23"/>
      <c r="BT1152" s="23"/>
      <c r="BU1152" s="23"/>
      <c r="BV1152" s="23"/>
      <c r="BW1152" s="23"/>
      <c r="BX1152" s="23"/>
      <c r="BY1152" s="23"/>
      <c r="BZ1152" s="23"/>
      <c r="CA1152" s="23"/>
      <c r="CB1152" s="23"/>
      <c r="CC1152" s="23"/>
      <c r="CD1152" s="23"/>
      <c r="CE1152" s="23"/>
      <c r="CF1152" s="23"/>
      <c r="CG1152" s="23"/>
      <c r="CH1152" s="23"/>
      <c r="CI1152" s="23"/>
      <c r="CJ1152" s="23"/>
      <c r="CK1152" s="23"/>
    </row>
    <row r="1153" spans="1:89">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c r="AV1153" s="23"/>
      <c r="AW1153" s="23"/>
      <c r="AX1153" s="23"/>
      <c r="AY1153" s="23"/>
      <c r="AZ1153" s="23"/>
      <c r="BA1153" s="23"/>
      <c r="BB1153" s="23"/>
      <c r="BC1153" s="23"/>
      <c r="BD1153" s="23"/>
      <c r="BE1153" s="23"/>
      <c r="BF1153" s="23"/>
      <c r="BG1153" s="23"/>
      <c r="BH1153" s="23"/>
      <c r="BI1153" s="23"/>
      <c r="BJ1153" s="23"/>
      <c r="BK1153" s="23"/>
      <c r="BL1153" s="23"/>
      <c r="BM1153" s="23"/>
      <c r="BN1153" s="23"/>
      <c r="BO1153" s="23"/>
      <c r="BP1153" s="23"/>
      <c r="BQ1153" s="23"/>
      <c r="BR1153" s="23"/>
      <c r="BS1153" s="23"/>
      <c r="BT1153" s="23"/>
      <c r="BU1153" s="23"/>
      <c r="BV1153" s="23"/>
      <c r="BW1153" s="23"/>
      <c r="BX1153" s="23"/>
      <c r="BY1153" s="23"/>
      <c r="BZ1153" s="23"/>
      <c r="CA1153" s="23"/>
      <c r="CB1153" s="23"/>
      <c r="CC1153" s="23"/>
      <c r="CD1153" s="23"/>
      <c r="CE1153" s="23"/>
      <c r="CF1153" s="23"/>
      <c r="CG1153" s="23"/>
      <c r="CH1153" s="23"/>
      <c r="CI1153" s="23"/>
      <c r="CJ1153" s="23"/>
      <c r="CK1153" s="23"/>
    </row>
    <row r="1154" spans="1:89">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c r="AV1154" s="23"/>
      <c r="AW1154" s="23"/>
      <c r="AX1154" s="23"/>
      <c r="AY1154" s="23"/>
      <c r="AZ1154" s="23"/>
      <c r="BA1154" s="23"/>
      <c r="BB1154" s="23"/>
      <c r="BC1154" s="23"/>
      <c r="BD1154" s="23"/>
      <c r="BE1154" s="23"/>
      <c r="BF1154" s="23"/>
      <c r="BG1154" s="23"/>
      <c r="BH1154" s="23"/>
      <c r="BI1154" s="23"/>
      <c r="BJ1154" s="23"/>
      <c r="BK1154" s="23"/>
      <c r="BL1154" s="23"/>
      <c r="BM1154" s="23"/>
      <c r="BN1154" s="23"/>
      <c r="BO1154" s="23"/>
      <c r="BP1154" s="23"/>
      <c r="BQ1154" s="23"/>
      <c r="BR1154" s="23"/>
      <c r="BS1154" s="23"/>
      <c r="BT1154" s="23"/>
      <c r="BU1154" s="23"/>
      <c r="BV1154" s="23"/>
      <c r="BW1154" s="23"/>
      <c r="BX1154" s="23"/>
      <c r="BY1154" s="23"/>
      <c r="BZ1154" s="23"/>
      <c r="CA1154" s="23"/>
      <c r="CB1154" s="23"/>
      <c r="CC1154" s="23"/>
      <c r="CD1154" s="23"/>
      <c r="CE1154" s="23"/>
      <c r="CF1154" s="23"/>
      <c r="CG1154" s="23"/>
      <c r="CH1154" s="23"/>
      <c r="CI1154" s="23"/>
      <c r="CJ1154" s="23"/>
      <c r="CK1154" s="23"/>
    </row>
    <row r="1155" spans="1:89">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c r="AV1155" s="23"/>
      <c r="AW1155" s="23"/>
      <c r="AX1155" s="23"/>
      <c r="AY1155" s="23"/>
      <c r="AZ1155" s="23"/>
      <c r="BA1155" s="23"/>
      <c r="BB1155" s="23"/>
      <c r="BC1155" s="23"/>
      <c r="BD1155" s="23"/>
      <c r="BE1155" s="23"/>
      <c r="BF1155" s="23"/>
      <c r="BG1155" s="23"/>
      <c r="BH1155" s="23"/>
      <c r="BI1155" s="23"/>
      <c r="BJ1155" s="23"/>
      <c r="BK1155" s="23"/>
      <c r="BL1155" s="23"/>
      <c r="BM1155" s="23"/>
      <c r="BN1155" s="23"/>
      <c r="BO1155" s="23"/>
      <c r="BP1155" s="23"/>
      <c r="BQ1155" s="23"/>
      <c r="BR1155" s="23"/>
      <c r="BS1155" s="23"/>
      <c r="BT1155" s="23"/>
      <c r="BU1155" s="23"/>
      <c r="BV1155" s="23"/>
      <c r="BW1155" s="23"/>
      <c r="BX1155" s="23"/>
      <c r="BY1155" s="23"/>
      <c r="BZ1155" s="23"/>
      <c r="CA1155" s="23"/>
      <c r="CB1155" s="23"/>
      <c r="CC1155" s="23"/>
      <c r="CD1155" s="23"/>
      <c r="CE1155" s="23"/>
      <c r="CF1155" s="23"/>
      <c r="CG1155" s="23"/>
      <c r="CH1155" s="23"/>
      <c r="CI1155" s="23"/>
      <c r="CJ1155" s="23"/>
      <c r="CK1155" s="23"/>
    </row>
    <row r="1156" spans="1:89">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c r="AV1156" s="23"/>
      <c r="AW1156" s="23"/>
      <c r="AX1156" s="23"/>
      <c r="AY1156" s="23"/>
      <c r="AZ1156" s="23"/>
      <c r="BA1156" s="23"/>
      <c r="BB1156" s="23"/>
      <c r="BC1156" s="23"/>
      <c r="BD1156" s="23"/>
      <c r="BE1156" s="23"/>
      <c r="BF1156" s="23"/>
      <c r="BG1156" s="23"/>
      <c r="BH1156" s="23"/>
      <c r="BI1156" s="23"/>
      <c r="BJ1156" s="23"/>
      <c r="BK1156" s="23"/>
      <c r="BL1156" s="23"/>
      <c r="BM1156" s="23"/>
      <c r="BN1156" s="23"/>
      <c r="BO1156" s="23"/>
      <c r="BP1156" s="23"/>
      <c r="BQ1156" s="23"/>
      <c r="BR1156" s="23"/>
      <c r="BS1156" s="23"/>
      <c r="BT1156" s="23"/>
      <c r="BU1156" s="23"/>
      <c r="BV1156" s="23"/>
      <c r="BW1156" s="23"/>
      <c r="BX1156" s="23"/>
      <c r="BY1156" s="23"/>
      <c r="BZ1156" s="23"/>
      <c r="CA1156" s="23"/>
      <c r="CB1156" s="23"/>
      <c r="CC1156" s="23"/>
      <c r="CD1156" s="23"/>
      <c r="CE1156" s="23"/>
      <c r="CF1156" s="23"/>
      <c r="CG1156" s="23"/>
      <c r="CH1156" s="23"/>
      <c r="CI1156" s="23"/>
      <c r="CJ1156" s="23"/>
      <c r="CK1156" s="23"/>
    </row>
    <row r="1157" spans="1:89">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c r="AV1157" s="23"/>
      <c r="AW1157" s="23"/>
      <c r="AX1157" s="23"/>
      <c r="AY1157" s="23"/>
      <c r="AZ1157" s="23"/>
      <c r="BA1157" s="23"/>
      <c r="BB1157" s="23"/>
      <c r="BC1157" s="23"/>
      <c r="BD1157" s="23"/>
      <c r="BE1157" s="23"/>
      <c r="BF1157" s="23"/>
      <c r="BG1157" s="23"/>
      <c r="BH1157" s="23"/>
      <c r="BI1157" s="23"/>
      <c r="BJ1157" s="23"/>
      <c r="BK1157" s="23"/>
      <c r="BL1157" s="23"/>
      <c r="BM1157" s="23"/>
      <c r="BN1157" s="23"/>
      <c r="BO1157" s="23"/>
      <c r="BP1157" s="23"/>
      <c r="BQ1157" s="23"/>
      <c r="BR1157" s="23"/>
      <c r="BS1157" s="23"/>
      <c r="BT1157" s="23"/>
      <c r="BU1157" s="23"/>
      <c r="BV1157" s="23"/>
      <c r="BW1157" s="23"/>
      <c r="BX1157" s="23"/>
      <c r="BY1157" s="23"/>
      <c r="BZ1157" s="23"/>
      <c r="CA1157" s="23"/>
      <c r="CB1157" s="23"/>
      <c r="CC1157" s="23"/>
      <c r="CD1157" s="23"/>
      <c r="CE1157" s="23"/>
      <c r="CF1157" s="23"/>
      <c r="CG1157" s="23"/>
      <c r="CH1157" s="23"/>
      <c r="CI1157" s="23"/>
      <c r="CJ1157" s="23"/>
      <c r="CK1157" s="23"/>
    </row>
    <row r="1158" spans="1:89">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c r="AV1158" s="23"/>
      <c r="AW1158" s="23"/>
      <c r="AX1158" s="23"/>
      <c r="AY1158" s="23"/>
      <c r="AZ1158" s="23"/>
      <c r="BA1158" s="23"/>
      <c r="BB1158" s="23"/>
      <c r="BC1158" s="23"/>
      <c r="BD1158" s="23"/>
      <c r="BE1158" s="23"/>
      <c r="BF1158" s="23"/>
      <c r="BG1158" s="23"/>
      <c r="BH1158" s="23"/>
      <c r="BI1158" s="23"/>
      <c r="BJ1158" s="23"/>
      <c r="BK1158" s="23"/>
      <c r="BL1158" s="23"/>
      <c r="BM1158" s="23"/>
      <c r="BN1158" s="23"/>
      <c r="BO1158" s="23"/>
      <c r="BP1158" s="23"/>
      <c r="BQ1158" s="23"/>
      <c r="BR1158" s="23"/>
      <c r="BS1158" s="23"/>
      <c r="BT1158" s="23"/>
      <c r="BU1158" s="23"/>
      <c r="BV1158" s="23"/>
      <c r="BW1158" s="23"/>
      <c r="BX1158" s="23"/>
      <c r="BY1158" s="23"/>
      <c r="BZ1158" s="23"/>
      <c r="CA1158" s="23"/>
      <c r="CB1158" s="23"/>
      <c r="CC1158" s="23"/>
      <c r="CD1158" s="23"/>
      <c r="CE1158" s="23"/>
      <c r="CF1158" s="23"/>
      <c r="CG1158" s="23"/>
      <c r="CH1158" s="23"/>
      <c r="CI1158" s="23"/>
      <c r="CJ1158" s="23"/>
      <c r="CK1158" s="23"/>
    </row>
    <row r="1159" spans="1:8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c r="AV1159" s="23"/>
      <c r="AW1159" s="23"/>
      <c r="AX1159" s="23"/>
      <c r="AY1159" s="23"/>
      <c r="AZ1159" s="23"/>
      <c r="BA1159" s="23"/>
      <c r="BB1159" s="23"/>
      <c r="BC1159" s="23"/>
      <c r="BD1159" s="23"/>
      <c r="BE1159" s="23"/>
      <c r="BF1159" s="23"/>
      <c r="BG1159" s="23"/>
      <c r="BH1159" s="23"/>
      <c r="BI1159" s="23"/>
      <c r="BJ1159" s="23"/>
      <c r="BK1159" s="23"/>
      <c r="BL1159" s="23"/>
      <c r="BM1159" s="23"/>
      <c r="BN1159" s="23"/>
      <c r="BO1159" s="23"/>
      <c r="BP1159" s="23"/>
      <c r="BQ1159" s="23"/>
      <c r="BR1159" s="23"/>
      <c r="BS1159" s="23"/>
      <c r="BT1159" s="23"/>
      <c r="BU1159" s="23"/>
      <c r="BV1159" s="23"/>
      <c r="BW1159" s="23"/>
      <c r="BX1159" s="23"/>
      <c r="BY1159" s="23"/>
      <c r="BZ1159" s="23"/>
      <c r="CA1159" s="23"/>
      <c r="CB1159" s="23"/>
      <c r="CC1159" s="23"/>
      <c r="CD1159" s="23"/>
      <c r="CE1159" s="23"/>
      <c r="CF1159" s="23"/>
      <c r="CG1159" s="23"/>
      <c r="CH1159" s="23"/>
      <c r="CI1159" s="23"/>
      <c r="CJ1159" s="23"/>
      <c r="CK1159" s="23"/>
    </row>
    <row r="1160" spans="1:89">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c r="AV1160" s="23"/>
      <c r="AW1160" s="23"/>
      <c r="AX1160" s="23"/>
      <c r="AY1160" s="23"/>
      <c r="AZ1160" s="23"/>
      <c r="BA1160" s="23"/>
      <c r="BB1160" s="23"/>
      <c r="BC1160" s="23"/>
      <c r="BD1160" s="23"/>
      <c r="BE1160" s="23"/>
      <c r="BF1160" s="23"/>
      <c r="BG1160" s="23"/>
      <c r="BH1160" s="23"/>
      <c r="BI1160" s="23"/>
      <c r="BJ1160" s="23"/>
      <c r="BK1160" s="23"/>
      <c r="BL1160" s="23"/>
      <c r="BM1160" s="23"/>
      <c r="BN1160" s="23"/>
      <c r="BO1160" s="23"/>
      <c r="BP1160" s="23"/>
      <c r="BQ1160" s="23"/>
      <c r="BR1160" s="23"/>
      <c r="BS1160" s="23"/>
      <c r="BT1160" s="23"/>
      <c r="BU1160" s="23"/>
      <c r="BV1160" s="23"/>
      <c r="BW1160" s="23"/>
      <c r="BX1160" s="23"/>
      <c r="BY1160" s="23"/>
      <c r="BZ1160" s="23"/>
      <c r="CA1160" s="23"/>
      <c r="CB1160" s="23"/>
      <c r="CC1160" s="23"/>
      <c r="CD1160" s="23"/>
      <c r="CE1160" s="23"/>
      <c r="CF1160" s="23"/>
      <c r="CG1160" s="23"/>
      <c r="CH1160" s="23"/>
      <c r="CI1160" s="23"/>
      <c r="CJ1160" s="23"/>
      <c r="CK1160" s="23"/>
    </row>
    <row r="1161" spans="1:89">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c r="AV1161" s="23"/>
      <c r="AW1161" s="23"/>
      <c r="AX1161" s="23"/>
      <c r="AY1161" s="23"/>
      <c r="AZ1161" s="23"/>
      <c r="BA1161" s="23"/>
      <c r="BB1161" s="23"/>
      <c r="BC1161" s="23"/>
      <c r="BD1161" s="23"/>
      <c r="BE1161" s="23"/>
      <c r="BF1161" s="23"/>
      <c r="BG1161" s="23"/>
      <c r="BH1161" s="23"/>
      <c r="BI1161" s="23"/>
      <c r="BJ1161" s="23"/>
      <c r="BK1161" s="23"/>
      <c r="BL1161" s="23"/>
      <c r="BM1161" s="23"/>
      <c r="BN1161" s="23"/>
      <c r="BO1161" s="23"/>
      <c r="BP1161" s="23"/>
      <c r="BQ1161" s="23"/>
      <c r="BR1161" s="23"/>
      <c r="BS1161" s="23"/>
      <c r="BT1161" s="23"/>
      <c r="BU1161" s="23"/>
      <c r="BV1161" s="23"/>
      <c r="BW1161" s="23"/>
      <c r="BX1161" s="23"/>
      <c r="BY1161" s="23"/>
      <c r="BZ1161" s="23"/>
      <c r="CA1161" s="23"/>
      <c r="CB1161" s="23"/>
      <c r="CC1161" s="23"/>
      <c r="CD1161" s="23"/>
      <c r="CE1161" s="23"/>
      <c r="CF1161" s="23"/>
      <c r="CG1161" s="23"/>
      <c r="CH1161" s="23"/>
      <c r="CI1161" s="23"/>
      <c r="CJ1161" s="23"/>
      <c r="CK1161" s="23"/>
    </row>
    <row r="1162" spans="1:89">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c r="AV1162" s="23"/>
      <c r="AW1162" s="23"/>
      <c r="AX1162" s="23"/>
      <c r="AY1162" s="23"/>
      <c r="AZ1162" s="23"/>
      <c r="BA1162" s="23"/>
      <c r="BB1162" s="23"/>
      <c r="BC1162" s="23"/>
      <c r="BD1162" s="23"/>
      <c r="BE1162" s="23"/>
      <c r="BF1162" s="23"/>
      <c r="BG1162" s="23"/>
      <c r="BH1162" s="23"/>
      <c r="BI1162" s="23"/>
      <c r="BJ1162" s="23"/>
      <c r="BK1162" s="23"/>
      <c r="BL1162" s="23"/>
      <c r="BM1162" s="23"/>
      <c r="BN1162" s="23"/>
      <c r="BO1162" s="23"/>
      <c r="BP1162" s="23"/>
      <c r="BQ1162" s="23"/>
      <c r="BR1162" s="23"/>
      <c r="BS1162" s="23"/>
      <c r="BT1162" s="23"/>
      <c r="BU1162" s="23"/>
      <c r="BV1162" s="23"/>
      <c r="BW1162" s="23"/>
      <c r="BX1162" s="23"/>
      <c r="BY1162" s="23"/>
      <c r="BZ1162" s="23"/>
      <c r="CA1162" s="23"/>
      <c r="CB1162" s="23"/>
      <c r="CC1162" s="23"/>
      <c r="CD1162" s="23"/>
      <c r="CE1162" s="23"/>
      <c r="CF1162" s="23"/>
      <c r="CG1162" s="23"/>
      <c r="CH1162" s="23"/>
      <c r="CI1162" s="23"/>
      <c r="CJ1162" s="23"/>
      <c r="CK1162" s="23"/>
    </row>
    <row r="1163" spans="1:89">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c r="AV1163" s="23"/>
      <c r="AW1163" s="23"/>
      <c r="AX1163" s="23"/>
      <c r="AY1163" s="23"/>
      <c r="AZ1163" s="23"/>
      <c r="BA1163" s="23"/>
      <c r="BB1163" s="23"/>
      <c r="BC1163" s="23"/>
      <c r="BD1163" s="23"/>
      <c r="BE1163" s="23"/>
      <c r="BF1163" s="23"/>
      <c r="BG1163" s="23"/>
      <c r="BH1163" s="23"/>
      <c r="BI1163" s="23"/>
      <c r="BJ1163" s="23"/>
      <c r="BK1163" s="23"/>
      <c r="BL1163" s="23"/>
      <c r="BM1163" s="23"/>
      <c r="BN1163" s="23"/>
      <c r="BO1163" s="23"/>
      <c r="BP1163" s="23"/>
      <c r="BQ1163" s="23"/>
      <c r="BR1163" s="23"/>
      <c r="BS1163" s="23"/>
      <c r="BT1163" s="23"/>
      <c r="BU1163" s="23"/>
      <c r="BV1163" s="23"/>
      <c r="BW1163" s="23"/>
      <c r="BX1163" s="23"/>
      <c r="BY1163" s="23"/>
      <c r="BZ1163" s="23"/>
      <c r="CA1163" s="23"/>
      <c r="CB1163" s="23"/>
      <c r="CC1163" s="23"/>
      <c r="CD1163" s="23"/>
      <c r="CE1163" s="23"/>
      <c r="CF1163" s="23"/>
      <c r="CG1163" s="23"/>
      <c r="CH1163" s="23"/>
      <c r="CI1163" s="23"/>
      <c r="CJ1163" s="23"/>
      <c r="CK1163" s="23"/>
    </row>
    <row r="1164" spans="1:89">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c r="AV1164" s="23"/>
      <c r="AW1164" s="23"/>
      <c r="AX1164" s="23"/>
      <c r="AY1164" s="23"/>
      <c r="AZ1164" s="23"/>
      <c r="BA1164" s="23"/>
      <c r="BB1164" s="23"/>
      <c r="BC1164" s="23"/>
      <c r="BD1164" s="23"/>
      <c r="BE1164" s="23"/>
      <c r="BF1164" s="23"/>
      <c r="BG1164" s="23"/>
      <c r="BH1164" s="23"/>
      <c r="BI1164" s="23"/>
      <c r="BJ1164" s="23"/>
      <c r="BK1164" s="23"/>
      <c r="BL1164" s="23"/>
      <c r="BM1164" s="23"/>
      <c r="BN1164" s="23"/>
      <c r="BO1164" s="23"/>
      <c r="BP1164" s="23"/>
      <c r="BQ1164" s="23"/>
      <c r="BR1164" s="23"/>
      <c r="BS1164" s="23"/>
      <c r="BT1164" s="23"/>
      <c r="BU1164" s="23"/>
      <c r="BV1164" s="23"/>
      <c r="BW1164" s="23"/>
      <c r="BX1164" s="23"/>
      <c r="BY1164" s="23"/>
      <c r="BZ1164" s="23"/>
      <c r="CA1164" s="23"/>
      <c r="CB1164" s="23"/>
      <c r="CC1164" s="23"/>
      <c r="CD1164" s="23"/>
      <c r="CE1164" s="23"/>
      <c r="CF1164" s="23"/>
      <c r="CG1164" s="23"/>
      <c r="CH1164" s="23"/>
      <c r="CI1164" s="23"/>
      <c r="CJ1164" s="23"/>
      <c r="CK1164" s="23"/>
    </row>
    <row r="1165" spans="1:89">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c r="AV1165" s="23"/>
      <c r="AW1165" s="23"/>
      <c r="AX1165" s="23"/>
      <c r="AY1165" s="23"/>
      <c r="AZ1165" s="23"/>
      <c r="BA1165" s="23"/>
      <c r="BB1165" s="23"/>
      <c r="BC1165" s="23"/>
      <c r="BD1165" s="23"/>
      <c r="BE1165" s="23"/>
      <c r="BF1165" s="23"/>
      <c r="BG1165" s="23"/>
      <c r="BH1165" s="23"/>
      <c r="BI1165" s="23"/>
      <c r="BJ1165" s="23"/>
      <c r="BK1165" s="23"/>
      <c r="BL1165" s="23"/>
      <c r="BM1165" s="23"/>
      <c r="BN1165" s="23"/>
      <c r="BO1165" s="23"/>
      <c r="BP1165" s="23"/>
      <c r="BQ1165" s="23"/>
      <c r="BR1165" s="23"/>
      <c r="BS1165" s="23"/>
      <c r="BT1165" s="23"/>
      <c r="BU1165" s="23"/>
      <c r="BV1165" s="23"/>
      <c r="BW1165" s="23"/>
      <c r="BX1165" s="23"/>
      <c r="BY1165" s="23"/>
      <c r="BZ1165" s="23"/>
      <c r="CA1165" s="23"/>
      <c r="CB1165" s="23"/>
      <c r="CC1165" s="23"/>
      <c r="CD1165" s="23"/>
      <c r="CE1165" s="23"/>
      <c r="CF1165" s="23"/>
      <c r="CG1165" s="23"/>
      <c r="CH1165" s="23"/>
      <c r="CI1165" s="23"/>
      <c r="CJ1165" s="23"/>
      <c r="CK1165" s="23"/>
    </row>
    <row r="1166" spans="1:89">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c r="AV1166" s="23"/>
      <c r="AW1166" s="23"/>
      <c r="AX1166" s="23"/>
      <c r="AY1166" s="23"/>
      <c r="AZ1166" s="23"/>
      <c r="BA1166" s="23"/>
      <c r="BB1166" s="23"/>
      <c r="BC1166" s="23"/>
      <c r="BD1166" s="23"/>
      <c r="BE1166" s="23"/>
      <c r="BF1166" s="23"/>
      <c r="BG1166" s="23"/>
      <c r="BH1166" s="23"/>
      <c r="BI1166" s="23"/>
      <c r="BJ1166" s="23"/>
      <c r="BK1166" s="23"/>
      <c r="BL1166" s="23"/>
      <c r="BM1166" s="23"/>
      <c r="BN1166" s="23"/>
      <c r="BO1166" s="23"/>
      <c r="BP1166" s="23"/>
      <c r="BQ1166" s="23"/>
      <c r="BR1166" s="23"/>
      <c r="BS1166" s="23"/>
      <c r="BT1166" s="23"/>
      <c r="BU1166" s="23"/>
      <c r="BV1166" s="23"/>
      <c r="BW1166" s="23"/>
      <c r="BX1166" s="23"/>
      <c r="BY1166" s="23"/>
      <c r="BZ1166" s="23"/>
      <c r="CA1166" s="23"/>
      <c r="CB1166" s="23"/>
      <c r="CC1166" s="23"/>
      <c r="CD1166" s="23"/>
      <c r="CE1166" s="23"/>
      <c r="CF1166" s="23"/>
      <c r="CG1166" s="23"/>
      <c r="CH1166" s="23"/>
      <c r="CI1166" s="23"/>
      <c r="CJ1166" s="23"/>
      <c r="CK1166" s="23"/>
    </row>
    <row r="1167" spans="1:89">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c r="AV1167" s="23"/>
      <c r="AW1167" s="23"/>
      <c r="AX1167" s="23"/>
      <c r="AY1167" s="23"/>
      <c r="AZ1167" s="23"/>
      <c r="BA1167" s="23"/>
      <c r="BB1167" s="23"/>
      <c r="BC1167" s="23"/>
      <c r="BD1167" s="23"/>
      <c r="BE1167" s="23"/>
      <c r="BF1167" s="23"/>
      <c r="BG1167" s="23"/>
      <c r="BH1167" s="23"/>
      <c r="BI1167" s="23"/>
      <c r="BJ1167" s="23"/>
      <c r="BK1167" s="23"/>
      <c r="BL1167" s="23"/>
      <c r="BM1167" s="23"/>
      <c r="BN1167" s="23"/>
      <c r="BO1167" s="23"/>
      <c r="BP1167" s="23"/>
      <c r="BQ1167" s="23"/>
      <c r="BR1167" s="23"/>
      <c r="BS1167" s="23"/>
      <c r="BT1167" s="23"/>
      <c r="BU1167" s="23"/>
      <c r="BV1167" s="23"/>
      <c r="BW1167" s="23"/>
      <c r="BX1167" s="23"/>
      <c r="BY1167" s="23"/>
      <c r="BZ1167" s="23"/>
      <c r="CA1167" s="23"/>
      <c r="CB1167" s="23"/>
      <c r="CC1167" s="23"/>
      <c r="CD1167" s="23"/>
      <c r="CE1167" s="23"/>
      <c r="CF1167" s="23"/>
      <c r="CG1167" s="23"/>
      <c r="CH1167" s="23"/>
      <c r="CI1167" s="23"/>
      <c r="CJ1167" s="23"/>
      <c r="CK1167" s="23"/>
    </row>
    <row r="1168" spans="1:89">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c r="AV1168" s="23"/>
      <c r="AW1168" s="23"/>
      <c r="AX1168" s="23"/>
      <c r="AY1168" s="23"/>
      <c r="AZ1168" s="23"/>
      <c r="BA1168" s="23"/>
      <c r="BB1168" s="23"/>
      <c r="BC1168" s="23"/>
      <c r="BD1168" s="23"/>
      <c r="BE1168" s="23"/>
      <c r="BF1168" s="23"/>
      <c r="BG1168" s="23"/>
      <c r="BH1168" s="23"/>
      <c r="BI1168" s="23"/>
      <c r="BJ1168" s="23"/>
      <c r="BK1168" s="23"/>
      <c r="BL1168" s="23"/>
      <c r="BM1168" s="23"/>
      <c r="BN1168" s="23"/>
      <c r="BO1168" s="23"/>
      <c r="BP1168" s="23"/>
      <c r="BQ1168" s="23"/>
      <c r="BR1168" s="23"/>
      <c r="BS1168" s="23"/>
      <c r="BT1168" s="23"/>
      <c r="BU1168" s="23"/>
      <c r="BV1168" s="23"/>
      <c r="BW1168" s="23"/>
      <c r="BX1168" s="23"/>
      <c r="BY1168" s="23"/>
      <c r="BZ1168" s="23"/>
      <c r="CA1168" s="23"/>
      <c r="CB1168" s="23"/>
      <c r="CC1168" s="23"/>
      <c r="CD1168" s="23"/>
      <c r="CE1168" s="23"/>
      <c r="CF1168" s="23"/>
      <c r="CG1168" s="23"/>
      <c r="CH1168" s="23"/>
      <c r="CI1168" s="23"/>
      <c r="CJ1168" s="23"/>
      <c r="CK1168" s="23"/>
    </row>
    <row r="1169" spans="1:8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c r="AV1169" s="23"/>
      <c r="AW1169" s="23"/>
      <c r="AX1169" s="23"/>
      <c r="AY1169" s="23"/>
      <c r="AZ1169" s="23"/>
      <c r="BA1169" s="23"/>
      <c r="BB1169" s="23"/>
      <c r="BC1169" s="23"/>
      <c r="BD1169" s="23"/>
      <c r="BE1169" s="23"/>
      <c r="BF1169" s="23"/>
      <c r="BG1169" s="23"/>
      <c r="BH1169" s="23"/>
      <c r="BI1169" s="23"/>
      <c r="BJ1169" s="23"/>
      <c r="BK1169" s="23"/>
      <c r="BL1169" s="23"/>
      <c r="BM1169" s="23"/>
      <c r="BN1169" s="23"/>
      <c r="BO1169" s="23"/>
      <c r="BP1169" s="23"/>
      <c r="BQ1169" s="23"/>
      <c r="BR1169" s="23"/>
      <c r="BS1169" s="23"/>
      <c r="BT1169" s="23"/>
      <c r="BU1169" s="23"/>
      <c r="BV1169" s="23"/>
      <c r="BW1169" s="23"/>
      <c r="BX1169" s="23"/>
      <c r="BY1169" s="23"/>
      <c r="BZ1169" s="23"/>
      <c r="CA1169" s="23"/>
      <c r="CB1169" s="23"/>
      <c r="CC1169" s="23"/>
      <c r="CD1169" s="23"/>
      <c r="CE1169" s="23"/>
      <c r="CF1169" s="23"/>
      <c r="CG1169" s="23"/>
      <c r="CH1169" s="23"/>
      <c r="CI1169" s="23"/>
      <c r="CJ1169" s="23"/>
      <c r="CK1169" s="23"/>
    </row>
    <row r="1170" spans="1:89">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c r="AV1170" s="23"/>
      <c r="AW1170" s="23"/>
      <c r="AX1170" s="23"/>
      <c r="AY1170" s="23"/>
      <c r="AZ1170" s="23"/>
      <c r="BA1170" s="23"/>
      <c r="BB1170" s="23"/>
      <c r="BC1170" s="23"/>
      <c r="BD1170" s="23"/>
      <c r="BE1170" s="23"/>
      <c r="BF1170" s="23"/>
      <c r="BG1170" s="23"/>
      <c r="BH1170" s="23"/>
      <c r="BI1170" s="23"/>
      <c r="BJ1170" s="23"/>
      <c r="BK1170" s="23"/>
      <c r="BL1170" s="23"/>
      <c r="BM1170" s="23"/>
      <c r="BN1170" s="23"/>
      <c r="BO1170" s="23"/>
      <c r="BP1170" s="23"/>
      <c r="BQ1170" s="23"/>
      <c r="BR1170" s="23"/>
      <c r="BS1170" s="23"/>
      <c r="BT1170" s="23"/>
      <c r="BU1170" s="23"/>
      <c r="BV1170" s="23"/>
      <c r="BW1170" s="23"/>
      <c r="BX1170" s="23"/>
      <c r="BY1170" s="23"/>
      <c r="BZ1170" s="23"/>
      <c r="CA1170" s="23"/>
      <c r="CB1170" s="23"/>
      <c r="CC1170" s="23"/>
      <c r="CD1170" s="23"/>
      <c r="CE1170" s="23"/>
      <c r="CF1170" s="23"/>
      <c r="CG1170" s="23"/>
      <c r="CH1170" s="23"/>
      <c r="CI1170" s="23"/>
      <c r="CJ1170" s="23"/>
      <c r="CK1170" s="23"/>
    </row>
    <row r="1171" spans="1:89">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c r="AV1171" s="23"/>
      <c r="AW1171" s="23"/>
      <c r="AX1171" s="23"/>
      <c r="AY1171" s="23"/>
      <c r="AZ1171" s="23"/>
      <c r="BA1171" s="23"/>
      <c r="BB1171" s="23"/>
      <c r="BC1171" s="23"/>
      <c r="BD1171" s="23"/>
      <c r="BE1171" s="23"/>
      <c r="BF1171" s="23"/>
      <c r="BG1171" s="23"/>
      <c r="BH1171" s="23"/>
      <c r="BI1171" s="23"/>
      <c r="BJ1171" s="23"/>
      <c r="BK1171" s="23"/>
      <c r="BL1171" s="23"/>
      <c r="BM1171" s="23"/>
      <c r="BN1171" s="23"/>
      <c r="BO1171" s="23"/>
      <c r="BP1171" s="23"/>
      <c r="BQ1171" s="23"/>
      <c r="BR1171" s="23"/>
      <c r="BS1171" s="23"/>
      <c r="BT1171" s="23"/>
      <c r="BU1171" s="23"/>
      <c r="BV1171" s="23"/>
      <c r="BW1171" s="23"/>
      <c r="BX1171" s="23"/>
      <c r="BY1171" s="23"/>
      <c r="BZ1171" s="23"/>
      <c r="CA1171" s="23"/>
      <c r="CB1171" s="23"/>
      <c r="CC1171" s="23"/>
      <c r="CD1171" s="23"/>
      <c r="CE1171" s="23"/>
      <c r="CF1171" s="23"/>
      <c r="CG1171" s="23"/>
      <c r="CH1171" s="23"/>
      <c r="CI1171" s="23"/>
      <c r="CJ1171" s="23"/>
      <c r="CK1171" s="23"/>
    </row>
    <row r="1172" spans="1:89">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c r="AV1172" s="23"/>
      <c r="AW1172" s="23"/>
      <c r="AX1172" s="23"/>
      <c r="AY1172" s="23"/>
      <c r="AZ1172" s="23"/>
      <c r="BA1172" s="23"/>
      <c r="BB1172" s="23"/>
      <c r="BC1172" s="23"/>
      <c r="BD1172" s="23"/>
      <c r="BE1172" s="23"/>
      <c r="BF1172" s="23"/>
      <c r="BG1172" s="23"/>
      <c r="BH1172" s="23"/>
      <c r="BI1172" s="23"/>
      <c r="BJ1172" s="23"/>
      <c r="BK1172" s="23"/>
      <c r="BL1172" s="23"/>
      <c r="BM1172" s="23"/>
      <c r="BN1172" s="23"/>
      <c r="BO1172" s="23"/>
      <c r="BP1172" s="23"/>
      <c r="BQ1172" s="23"/>
      <c r="BR1172" s="23"/>
      <c r="BS1172" s="23"/>
      <c r="BT1172" s="23"/>
      <c r="BU1172" s="23"/>
      <c r="BV1172" s="23"/>
      <c r="BW1172" s="23"/>
      <c r="BX1172" s="23"/>
      <c r="BY1172" s="23"/>
      <c r="BZ1172" s="23"/>
      <c r="CA1172" s="23"/>
      <c r="CB1172" s="23"/>
      <c r="CC1172" s="23"/>
      <c r="CD1172" s="23"/>
      <c r="CE1172" s="23"/>
      <c r="CF1172" s="23"/>
      <c r="CG1172" s="23"/>
      <c r="CH1172" s="23"/>
      <c r="CI1172" s="23"/>
      <c r="CJ1172" s="23"/>
      <c r="CK1172" s="23"/>
    </row>
    <row r="1173" spans="1:89">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c r="AV1173" s="23"/>
      <c r="AW1173" s="23"/>
      <c r="AX1173" s="23"/>
      <c r="AY1173" s="23"/>
      <c r="AZ1173" s="23"/>
      <c r="BA1173" s="23"/>
      <c r="BB1173" s="23"/>
      <c r="BC1173" s="23"/>
      <c r="BD1173" s="23"/>
      <c r="BE1173" s="23"/>
      <c r="BF1173" s="23"/>
      <c r="BG1173" s="23"/>
      <c r="BH1173" s="23"/>
      <c r="BI1173" s="23"/>
      <c r="BJ1173" s="23"/>
      <c r="BK1173" s="23"/>
      <c r="BL1173" s="23"/>
      <c r="BM1173" s="23"/>
      <c r="BN1173" s="23"/>
      <c r="BO1173" s="23"/>
      <c r="BP1173" s="23"/>
      <c r="BQ1173" s="23"/>
      <c r="BR1173" s="23"/>
      <c r="BS1173" s="23"/>
      <c r="BT1173" s="23"/>
      <c r="BU1173" s="23"/>
      <c r="BV1173" s="23"/>
      <c r="BW1173" s="23"/>
      <c r="BX1173" s="23"/>
      <c r="BY1173" s="23"/>
      <c r="BZ1173" s="23"/>
      <c r="CA1173" s="23"/>
      <c r="CB1173" s="23"/>
      <c r="CC1173" s="23"/>
      <c r="CD1173" s="23"/>
      <c r="CE1173" s="23"/>
      <c r="CF1173" s="23"/>
      <c r="CG1173" s="23"/>
      <c r="CH1173" s="23"/>
      <c r="CI1173" s="23"/>
      <c r="CJ1173" s="23"/>
      <c r="CK1173" s="23"/>
    </row>
    <row r="1174" spans="1:89">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c r="AV1174" s="23"/>
      <c r="AW1174" s="23"/>
      <c r="AX1174" s="23"/>
      <c r="AY1174" s="23"/>
      <c r="AZ1174" s="23"/>
      <c r="BA1174" s="23"/>
      <c r="BB1174" s="23"/>
      <c r="BC1174" s="23"/>
      <c r="BD1174" s="23"/>
      <c r="BE1174" s="23"/>
      <c r="BF1174" s="23"/>
      <c r="BG1174" s="23"/>
      <c r="BH1174" s="23"/>
      <c r="BI1174" s="23"/>
      <c r="BJ1174" s="23"/>
      <c r="BK1174" s="23"/>
      <c r="BL1174" s="23"/>
      <c r="BM1174" s="23"/>
      <c r="BN1174" s="23"/>
      <c r="BO1174" s="23"/>
      <c r="BP1174" s="23"/>
      <c r="BQ1174" s="23"/>
      <c r="BR1174" s="23"/>
      <c r="BS1174" s="23"/>
      <c r="BT1174" s="23"/>
      <c r="BU1174" s="23"/>
      <c r="BV1174" s="23"/>
      <c r="BW1174" s="23"/>
      <c r="BX1174" s="23"/>
      <c r="BY1174" s="23"/>
      <c r="BZ1174" s="23"/>
      <c r="CA1174" s="23"/>
      <c r="CB1174" s="23"/>
      <c r="CC1174" s="23"/>
      <c r="CD1174" s="23"/>
      <c r="CE1174" s="23"/>
      <c r="CF1174" s="23"/>
      <c r="CG1174" s="23"/>
      <c r="CH1174" s="23"/>
      <c r="CI1174" s="23"/>
      <c r="CJ1174" s="23"/>
      <c r="CK1174" s="23"/>
    </row>
    <row r="1175" spans="1:89">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c r="AV1175" s="23"/>
      <c r="AW1175" s="23"/>
      <c r="AX1175" s="23"/>
      <c r="AY1175" s="23"/>
      <c r="AZ1175" s="23"/>
      <c r="BA1175" s="23"/>
      <c r="BB1175" s="23"/>
      <c r="BC1175" s="23"/>
      <c r="BD1175" s="23"/>
      <c r="BE1175" s="23"/>
      <c r="BF1175" s="23"/>
      <c r="BG1175" s="23"/>
      <c r="BH1175" s="23"/>
      <c r="BI1175" s="23"/>
      <c r="BJ1175" s="23"/>
      <c r="BK1175" s="23"/>
      <c r="BL1175" s="23"/>
      <c r="BM1175" s="23"/>
      <c r="BN1175" s="23"/>
      <c r="BO1175" s="23"/>
      <c r="BP1175" s="23"/>
      <c r="BQ1175" s="23"/>
      <c r="BR1175" s="23"/>
      <c r="BS1175" s="23"/>
      <c r="BT1175" s="23"/>
      <c r="BU1175" s="23"/>
      <c r="BV1175" s="23"/>
      <c r="BW1175" s="23"/>
      <c r="BX1175" s="23"/>
      <c r="BY1175" s="23"/>
      <c r="BZ1175" s="23"/>
      <c r="CA1175" s="23"/>
      <c r="CB1175" s="23"/>
      <c r="CC1175" s="23"/>
      <c r="CD1175" s="23"/>
      <c r="CE1175" s="23"/>
      <c r="CF1175" s="23"/>
      <c r="CG1175" s="23"/>
      <c r="CH1175" s="23"/>
      <c r="CI1175" s="23"/>
      <c r="CJ1175" s="23"/>
      <c r="CK1175" s="23"/>
    </row>
    <row r="1176" spans="1:89">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c r="AV1176" s="23"/>
      <c r="AW1176" s="23"/>
      <c r="AX1176" s="23"/>
      <c r="AY1176" s="23"/>
      <c r="AZ1176" s="23"/>
      <c r="BA1176" s="23"/>
      <c r="BB1176" s="23"/>
      <c r="BC1176" s="23"/>
      <c r="BD1176" s="23"/>
      <c r="BE1176" s="23"/>
      <c r="BF1176" s="23"/>
      <c r="BG1176" s="23"/>
      <c r="BH1176" s="23"/>
      <c r="BI1176" s="23"/>
      <c r="BJ1176" s="23"/>
      <c r="BK1176" s="23"/>
      <c r="BL1176" s="23"/>
      <c r="BM1176" s="23"/>
      <c r="BN1176" s="23"/>
      <c r="BO1176" s="23"/>
      <c r="BP1176" s="23"/>
      <c r="BQ1176" s="23"/>
      <c r="BR1176" s="23"/>
      <c r="BS1176" s="23"/>
      <c r="BT1176" s="23"/>
      <c r="BU1176" s="23"/>
      <c r="BV1176" s="23"/>
      <c r="BW1176" s="23"/>
      <c r="BX1176" s="23"/>
      <c r="BY1176" s="23"/>
      <c r="BZ1176" s="23"/>
      <c r="CA1176" s="23"/>
      <c r="CB1176" s="23"/>
      <c r="CC1176" s="23"/>
      <c r="CD1176" s="23"/>
      <c r="CE1176" s="23"/>
      <c r="CF1176" s="23"/>
      <c r="CG1176" s="23"/>
      <c r="CH1176" s="23"/>
      <c r="CI1176" s="23"/>
      <c r="CJ1176" s="23"/>
      <c r="CK1176" s="23"/>
    </row>
    <row r="1177" spans="1:89">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c r="AV1177" s="23"/>
      <c r="AW1177" s="23"/>
      <c r="AX1177" s="23"/>
      <c r="AY1177" s="23"/>
      <c r="AZ1177" s="23"/>
      <c r="BA1177" s="23"/>
      <c r="BB1177" s="23"/>
      <c r="BC1177" s="23"/>
      <c r="BD1177" s="23"/>
      <c r="BE1177" s="23"/>
      <c r="BF1177" s="23"/>
      <c r="BG1177" s="23"/>
      <c r="BH1177" s="23"/>
      <c r="BI1177" s="23"/>
      <c r="BJ1177" s="23"/>
      <c r="BK1177" s="23"/>
      <c r="BL1177" s="23"/>
      <c r="BM1177" s="23"/>
      <c r="BN1177" s="23"/>
      <c r="BO1177" s="23"/>
      <c r="BP1177" s="23"/>
      <c r="BQ1177" s="23"/>
      <c r="BR1177" s="23"/>
      <c r="BS1177" s="23"/>
      <c r="BT1177" s="23"/>
      <c r="BU1177" s="23"/>
      <c r="BV1177" s="23"/>
      <c r="BW1177" s="23"/>
      <c r="BX1177" s="23"/>
      <c r="BY1177" s="23"/>
      <c r="BZ1177" s="23"/>
      <c r="CA1177" s="23"/>
      <c r="CB1177" s="23"/>
      <c r="CC1177" s="23"/>
      <c r="CD1177" s="23"/>
      <c r="CE1177" s="23"/>
      <c r="CF1177" s="23"/>
      <c r="CG1177" s="23"/>
      <c r="CH1177" s="23"/>
      <c r="CI1177" s="23"/>
      <c r="CJ1177" s="23"/>
      <c r="CK1177" s="23"/>
    </row>
    <row r="1178" spans="1:89">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c r="AV1178" s="23"/>
      <c r="AW1178" s="23"/>
      <c r="AX1178" s="23"/>
      <c r="AY1178" s="23"/>
      <c r="AZ1178" s="23"/>
      <c r="BA1178" s="23"/>
      <c r="BB1178" s="23"/>
      <c r="BC1178" s="23"/>
      <c r="BD1178" s="23"/>
      <c r="BE1178" s="23"/>
      <c r="BF1178" s="23"/>
      <c r="BG1178" s="23"/>
      <c r="BH1178" s="23"/>
      <c r="BI1178" s="23"/>
      <c r="BJ1178" s="23"/>
      <c r="BK1178" s="23"/>
      <c r="BL1178" s="23"/>
      <c r="BM1178" s="23"/>
      <c r="BN1178" s="23"/>
      <c r="BO1178" s="23"/>
      <c r="BP1178" s="23"/>
      <c r="BQ1178" s="23"/>
      <c r="BR1178" s="23"/>
      <c r="BS1178" s="23"/>
      <c r="BT1178" s="23"/>
      <c r="BU1178" s="23"/>
      <c r="BV1178" s="23"/>
      <c r="BW1178" s="23"/>
      <c r="BX1178" s="23"/>
      <c r="BY1178" s="23"/>
      <c r="BZ1178" s="23"/>
      <c r="CA1178" s="23"/>
      <c r="CB1178" s="23"/>
      <c r="CC1178" s="23"/>
      <c r="CD1178" s="23"/>
      <c r="CE1178" s="23"/>
      <c r="CF1178" s="23"/>
      <c r="CG1178" s="23"/>
      <c r="CH1178" s="23"/>
      <c r="CI1178" s="23"/>
      <c r="CJ1178" s="23"/>
      <c r="CK1178" s="23"/>
    </row>
    <row r="1179" spans="1:8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c r="AV1179" s="23"/>
      <c r="AW1179" s="23"/>
      <c r="AX1179" s="23"/>
      <c r="AY1179" s="23"/>
      <c r="AZ1179" s="23"/>
      <c r="BA1179" s="23"/>
      <c r="BB1179" s="23"/>
      <c r="BC1179" s="23"/>
      <c r="BD1179" s="23"/>
      <c r="BE1179" s="23"/>
      <c r="BF1179" s="23"/>
      <c r="BG1179" s="23"/>
      <c r="BH1179" s="23"/>
      <c r="BI1179" s="23"/>
      <c r="BJ1179" s="23"/>
      <c r="BK1179" s="23"/>
      <c r="BL1179" s="23"/>
      <c r="BM1179" s="23"/>
      <c r="BN1179" s="23"/>
      <c r="BO1179" s="23"/>
      <c r="BP1179" s="23"/>
      <c r="BQ1179" s="23"/>
      <c r="BR1179" s="23"/>
      <c r="BS1179" s="23"/>
      <c r="BT1179" s="23"/>
      <c r="BU1179" s="23"/>
      <c r="BV1179" s="23"/>
      <c r="BW1179" s="23"/>
      <c r="BX1179" s="23"/>
      <c r="BY1179" s="23"/>
      <c r="BZ1179" s="23"/>
      <c r="CA1179" s="23"/>
      <c r="CB1179" s="23"/>
      <c r="CC1179" s="23"/>
      <c r="CD1179" s="23"/>
      <c r="CE1179" s="23"/>
      <c r="CF1179" s="23"/>
      <c r="CG1179" s="23"/>
      <c r="CH1179" s="23"/>
      <c r="CI1179" s="23"/>
      <c r="CJ1179" s="23"/>
      <c r="CK1179" s="23"/>
    </row>
    <row r="1180" spans="1:89">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c r="AV1180" s="23"/>
      <c r="AW1180" s="23"/>
      <c r="AX1180" s="23"/>
      <c r="AY1180" s="23"/>
      <c r="AZ1180" s="23"/>
      <c r="BA1180" s="23"/>
      <c r="BB1180" s="23"/>
      <c r="BC1180" s="23"/>
      <c r="BD1180" s="23"/>
      <c r="BE1180" s="23"/>
      <c r="BF1180" s="23"/>
      <c r="BG1180" s="23"/>
      <c r="BH1180" s="23"/>
      <c r="BI1180" s="23"/>
      <c r="BJ1180" s="23"/>
      <c r="BK1180" s="23"/>
      <c r="BL1180" s="23"/>
      <c r="BM1180" s="23"/>
      <c r="BN1180" s="23"/>
      <c r="BO1180" s="23"/>
      <c r="BP1180" s="23"/>
      <c r="BQ1180" s="23"/>
      <c r="BR1180" s="23"/>
      <c r="BS1180" s="23"/>
      <c r="BT1180" s="23"/>
      <c r="BU1180" s="23"/>
      <c r="BV1180" s="23"/>
      <c r="BW1180" s="23"/>
      <c r="BX1180" s="23"/>
      <c r="BY1180" s="23"/>
      <c r="BZ1180" s="23"/>
      <c r="CA1180" s="23"/>
      <c r="CB1180" s="23"/>
      <c r="CC1180" s="23"/>
      <c r="CD1180" s="23"/>
      <c r="CE1180" s="23"/>
      <c r="CF1180" s="23"/>
      <c r="CG1180" s="23"/>
      <c r="CH1180" s="23"/>
      <c r="CI1180" s="23"/>
      <c r="CJ1180" s="23"/>
      <c r="CK1180" s="23"/>
    </row>
    <row r="1181" spans="1:89">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c r="AV1181" s="23"/>
      <c r="AW1181" s="23"/>
      <c r="AX1181" s="23"/>
      <c r="AY1181" s="23"/>
      <c r="AZ1181" s="23"/>
      <c r="BA1181" s="23"/>
      <c r="BB1181" s="23"/>
      <c r="BC1181" s="23"/>
      <c r="BD1181" s="23"/>
      <c r="BE1181" s="23"/>
      <c r="BF1181" s="23"/>
      <c r="BG1181" s="23"/>
      <c r="BH1181" s="23"/>
      <c r="BI1181" s="23"/>
      <c r="BJ1181" s="23"/>
      <c r="BK1181" s="23"/>
      <c r="BL1181" s="23"/>
      <c r="BM1181" s="23"/>
      <c r="BN1181" s="23"/>
      <c r="BO1181" s="23"/>
      <c r="BP1181" s="23"/>
      <c r="BQ1181" s="23"/>
      <c r="BR1181" s="23"/>
      <c r="BS1181" s="23"/>
      <c r="BT1181" s="23"/>
      <c r="BU1181" s="23"/>
      <c r="BV1181" s="23"/>
      <c r="BW1181" s="23"/>
      <c r="BX1181" s="23"/>
      <c r="BY1181" s="23"/>
      <c r="BZ1181" s="23"/>
      <c r="CA1181" s="23"/>
      <c r="CB1181" s="23"/>
      <c r="CC1181" s="23"/>
      <c r="CD1181" s="23"/>
      <c r="CE1181" s="23"/>
      <c r="CF1181" s="23"/>
      <c r="CG1181" s="23"/>
      <c r="CH1181" s="23"/>
      <c r="CI1181" s="23"/>
      <c r="CJ1181" s="23"/>
      <c r="CK1181" s="23"/>
    </row>
    <row r="1182" spans="1:89">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c r="AV1182" s="23"/>
      <c r="AW1182" s="23"/>
      <c r="AX1182" s="23"/>
      <c r="AY1182" s="23"/>
      <c r="AZ1182" s="23"/>
      <c r="BA1182" s="23"/>
      <c r="BB1182" s="23"/>
      <c r="BC1182" s="23"/>
      <c r="BD1182" s="23"/>
      <c r="BE1182" s="23"/>
      <c r="BF1182" s="23"/>
      <c r="BG1182" s="23"/>
      <c r="BH1182" s="23"/>
      <c r="BI1182" s="23"/>
      <c r="BJ1182" s="23"/>
      <c r="BK1182" s="23"/>
      <c r="BL1182" s="23"/>
      <c r="BM1182" s="23"/>
      <c r="BN1182" s="23"/>
      <c r="BO1182" s="23"/>
      <c r="BP1182" s="23"/>
      <c r="BQ1182" s="23"/>
      <c r="BR1182" s="23"/>
      <c r="BS1182" s="23"/>
      <c r="BT1182" s="23"/>
      <c r="BU1182" s="23"/>
      <c r="BV1182" s="23"/>
      <c r="BW1182" s="23"/>
      <c r="BX1182" s="23"/>
      <c r="BY1182" s="23"/>
      <c r="BZ1182" s="23"/>
      <c r="CA1182" s="23"/>
      <c r="CB1182" s="23"/>
      <c r="CC1182" s="23"/>
      <c r="CD1182" s="23"/>
      <c r="CE1182" s="23"/>
      <c r="CF1182" s="23"/>
      <c r="CG1182" s="23"/>
      <c r="CH1182" s="23"/>
      <c r="CI1182" s="23"/>
      <c r="CJ1182" s="23"/>
      <c r="CK1182" s="23"/>
    </row>
    <row r="1183" spans="1:89">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c r="AV1183" s="23"/>
      <c r="AW1183" s="23"/>
      <c r="AX1183" s="23"/>
      <c r="AY1183" s="23"/>
      <c r="AZ1183" s="23"/>
      <c r="BA1183" s="23"/>
      <c r="BB1183" s="23"/>
      <c r="BC1183" s="23"/>
      <c r="BD1183" s="23"/>
      <c r="BE1183" s="23"/>
      <c r="BF1183" s="23"/>
      <c r="BG1183" s="23"/>
      <c r="BH1183" s="23"/>
      <c r="BI1183" s="23"/>
      <c r="BJ1183" s="23"/>
      <c r="BK1183" s="23"/>
      <c r="BL1183" s="23"/>
      <c r="BM1183" s="23"/>
      <c r="BN1183" s="23"/>
      <c r="BO1183" s="23"/>
      <c r="BP1183" s="23"/>
      <c r="BQ1183" s="23"/>
      <c r="BR1183" s="23"/>
      <c r="BS1183" s="23"/>
      <c r="BT1183" s="23"/>
      <c r="BU1183" s="23"/>
      <c r="BV1183" s="23"/>
      <c r="BW1183" s="23"/>
      <c r="BX1183" s="23"/>
      <c r="BY1183" s="23"/>
      <c r="BZ1183" s="23"/>
      <c r="CA1183" s="23"/>
      <c r="CB1183" s="23"/>
      <c r="CC1183" s="23"/>
      <c r="CD1183" s="23"/>
      <c r="CE1183" s="23"/>
      <c r="CF1183" s="23"/>
      <c r="CG1183" s="23"/>
      <c r="CH1183" s="23"/>
      <c r="CI1183" s="23"/>
      <c r="CJ1183" s="23"/>
      <c r="CK1183" s="23"/>
    </row>
    <row r="1184" spans="1:89">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c r="AV1184" s="23"/>
      <c r="AW1184" s="23"/>
      <c r="AX1184" s="23"/>
      <c r="AY1184" s="23"/>
      <c r="AZ1184" s="23"/>
      <c r="BA1184" s="23"/>
      <c r="BB1184" s="23"/>
      <c r="BC1184" s="23"/>
      <c r="BD1184" s="23"/>
      <c r="BE1184" s="23"/>
      <c r="BF1184" s="23"/>
      <c r="BG1184" s="23"/>
      <c r="BH1184" s="23"/>
      <c r="BI1184" s="23"/>
      <c r="BJ1184" s="23"/>
      <c r="BK1184" s="23"/>
      <c r="BL1184" s="23"/>
      <c r="BM1184" s="23"/>
      <c r="BN1184" s="23"/>
      <c r="BO1184" s="23"/>
      <c r="BP1184" s="23"/>
      <c r="BQ1184" s="23"/>
      <c r="BR1184" s="23"/>
      <c r="BS1184" s="23"/>
      <c r="BT1184" s="23"/>
      <c r="BU1184" s="23"/>
      <c r="BV1184" s="23"/>
      <c r="BW1184" s="23"/>
      <c r="BX1184" s="23"/>
      <c r="BY1184" s="23"/>
      <c r="BZ1184" s="23"/>
      <c r="CA1184" s="23"/>
      <c r="CB1184" s="23"/>
      <c r="CC1184" s="23"/>
      <c r="CD1184" s="23"/>
      <c r="CE1184" s="23"/>
      <c r="CF1184" s="23"/>
      <c r="CG1184" s="23"/>
      <c r="CH1184" s="23"/>
      <c r="CI1184" s="23"/>
      <c r="CJ1184" s="23"/>
      <c r="CK1184" s="23"/>
    </row>
    <row r="1185" spans="1:89">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c r="AV1185" s="23"/>
      <c r="AW1185" s="23"/>
      <c r="AX1185" s="23"/>
      <c r="AY1185" s="23"/>
      <c r="AZ1185" s="23"/>
      <c r="BA1185" s="23"/>
      <c r="BB1185" s="23"/>
      <c r="BC1185" s="23"/>
      <c r="BD1185" s="23"/>
      <c r="BE1185" s="23"/>
      <c r="BF1185" s="23"/>
      <c r="BG1185" s="23"/>
      <c r="BH1185" s="23"/>
      <c r="BI1185" s="23"/>
      <c r="BJ1185" s="23"/>
      <c r="BK1185" s="23"/>
      <c r="BL1185" s="23"/>
      <c r="BM1185" s="23"/>
      <c r="BN1185" s="23"/>
      <c r="BO1185" s="23"/>
      <c r="BP1185" s="23"/>
      <c r="BQ1185" s="23"/>
      <c r="BR1185" s="23"/>
      <c r="BS1185" s="23"/>
      <c r="BT1185" s="23"/>
      <c r="BU1185" s="23"/>
      <c r="BV1185" s="23"/>
      <c r="BW1185" s="23"/>
      <c r="BX1185" s="23"/>
      <c r="BY1185" s="23"/>
      <c r="BZ1185" s="23"/>
      <c r="CA1185" s="23"/>
      <c r="CB1185" s="23"/>
      <c r="CC1185" s="23"/>
      <c r="CD1185" s="23"/>
      <c r="CE1185" s="23"/>
      <c r="CF1185" s="23"/>
      <c r="CG1185" s="23"/>
      <c r="CH1185" s="23"/>
      <c r="CI1185" s="23"/>
      <c r="CJ1185" s="23"/>
      <c r="CK1185" s="23"/>
    </row>
    <row r="1186" spans="1:89">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c r="AV1186" s="23"/>
      <c r="AW1186" s="23"/>
      <c r="AX1186" s="23"/>
      <c r="AY1186" s="23"/>
      <c r="AZ1186" s="23"/>
      <c r="BA1186" s="23"/>
      <c r="BB1186" s="23"/>
      <c r="BC1186" s="23"/>
      <c r="BD1186" s="23"/>
      <c r="BE1186" s="23"/>
      <c r="BF1186" s="23"/>
      <c r="BG1186" s="23"/>
      <c r="BH1186" s="23"/>
      <c r="BI1186" s="23"/>
      <c r="BJ1186" s="23"/>
      <c r="BK1186" s="23"/>
      <c r="BL1186" s="23"/>
      <c r="BM1186" s="23"/>
      <c r="BN1186" s="23"/>
      <c r="BO1186" s="23"/>
      <c r="BP1186" s="23"/>
      <c r="BQ1186" s="23"/>
      <c r="BR1186" s="23"/>
      <c r="BS1186" s="23"/>
      <c r="BT1186" s="23"/>
      <c r="BU1186" s="23"/>
      <c r="BV1186" s="23"/>
      <c r="BW1186" s="23"/>
      <c r="BX1186" s="23"/>
      <c r="BY1186" s="23"/>
      <c r="BZ1186" s="23"/>
      <c r="CA1186" s="23"/>
      <c r="CB1186" s="23"/>
      <c r="CC1186" s="23"/>
      <c r="CD1186" s="23"/>
      <c r="CE1186" s="23"/>
      <c r="CF1186" s="23"/>
      <c r="CG1186" s="23"/>
      <c r="CH1186" s="23"/>
      <c r="CI1186" s="23"/>
      <c r="CJ1186" s="23"/>
      <c r="CK1186" s="23"/>
    </row>
    <row r="1187" spans="1:89">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c r="AV1187" s="23"/>
      <c r="AW1187" s="23"/>
      <c r="AX1187" s="23"/>
      <c r="AY1187" s="23"/>
      <c r="AZ1187" s="23"/>
      <c r="BA1187" s="23"/>
      <c r="BB1187" s="23"/>
      <c r="BC1187" s="23"/>
      <c r="BD1187" s="23"/>
      <c r="BE1187" s="23"/>
      <c r="BF1187" s="23"/>
      <c r="BG1187" s="23"/>
      <c r="BH1187" s="23"/>
      <c r="BI1187" s="23"/>
      <c r="BJ1187" s="23"/>
      <c r="BK1187" s="23"/>
      <c r="BL1187" s="23"/>
      <c r="BM1187" s="23"/>
      <c r="BN1187" s="23"/>
      <c r="BO1187" s="23"/>
      <c r="BP1187" s="23"/>
      <c r="BQ1187" s="23"/>
      <c r="BR1187" s="23"/>
      <c r="BS1187" s="23"/>
      <c r="BT1187" s="23"/>
      <c r="BU1187" s="23"/>
      <c r="BV1187" s="23"/>
      <c r="BW1187" s="23"/>
      <c r="BX1187" s="23"/>
      <c r="BY1187" s="23"/>
      <c r="BZ1187" s="23"/>
      <c r="CA1187" s="23"/>
      <c r="CB1187" s="23"/>
      <c r="CC1187" s="23"/>
      <c r="CD1187" s="23"/>
      <c r="CE1187" s="23"/>
      <c r="CF1187" s="23"/>
      <c r="CG1187" s="23"/>
      <c r="CH1187" s="23"/>
      <c r="CI1187" s="23"/>
      <c r="CJ1187" s="23"/>
      <c r="CK1187" s="23"/>
    </row>
    <row r="1188" spans="1:89">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c r="AV1188" s="23"/>
      <c r="AW1188" s="23"/>
      <c r="AX1188" s="23"/>
      <c r="AY1188" s="23"/>
      <c r="AZ1188" s="23"/>
      <c r="BA1188" s="23"/>
      <c r="BB1188" s="23"/>
      <c r="BC1188" s="23"/>
      <c r="BD1188" s="23"/>
      <c r="BE1188" s="23"/>
      <c r="BF1188" s="23"/>
      <c r="BG1188" s="23"/>
      <c r="BH1188" s="23"/>
      <c r="BI1188" s="23"/>
      <c r="BJ1188" s="23"/>
      <c r="BK1188" s="23"/>
      <c r="BL1188" s="23"/>
      <c r="BM1188" s="23"/>
      <c r="BN1188" s="23"/>
      <c r="BO1188" s="23"/>
      <c r="BP1188" s="23"/>
      <c r="BQ1188" s="23"/>
      <c r="BR1188" s="23"/>
      <c r="BS1188" s="23"/>
      <c r="BT1188" s="23"/>
      <c r="BU1188" s="23"/>
      <c r="BV1188" s="23"/>
      <c r="BW1188" s="23"/>
      <c r="BX1188" s="23"/>
      <c r="BY1188" s="23"/>
      <c r="BZ1188" s="23"/>
      <c r="CA1188" s="23"/>
      <c r="CB1188" s="23"/>
      <c r="CC1188" s="23"/>
      <c r="CD1188" s="23"/>
      <c r="CE1188" s="23"/>
      <c r="CF1188" s="23"/>
      <c r="CG1188" s="23"/>
      <c r="CH1188" s="23"/>
      <c r="CI1188" s="23"/>
      <c r="CJ1188" s="23"/>
      <c r="CK1188" s="23"/>
    </row>
    <row r="1189" spans="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c r="AV1189" s="23"/>
      <c r="AW1189" s="23"/>
      <c r="AX1189" s="23"/>
      <c r="AY1189" s="23"/>
      <c r="AZ1189" s="23"/>
      <c r="BA1189" s="23"/>
      <c r="BB1189" s="23"/>
      <c r="BC1189" s="23"/>
      <c r="BD1189" s="23"/>
      <c r="BE1189" s="23"/>
      <c r="BF1189" s="23"/>
      <c r="BG1189" s="23"/>
      <c r="BH1189" s="23"/>
      <c r="BI1189" s="23"/>
      <c r="BJ1189" s="23"/>
      <c r="BK1189" s="23"/>
      <c r="BL1189" s="23"/>
      <c r="BM1189" s="23"/>
      <c r="BN1189" s="23"/>
      <c r="BO1189" s="23"/>
      <c r="BP1189" s="23"/>
      <c r="BQ1189" s="23"/>
      <c r="BR1189" s="23"/>
      <c r="BS1189" s="23"/>
      <c r="BT1189" s="23"/>
      <c r="BU1189" s="23"/>
      <c r="BV1189" s="23"/>
      <c r="BW1189" s="23"/>
      <c r="BX1189" s="23"/>
      <c r="BY1189" s="23"/>
      <c r="BZ1189" s="23"/>
      <c r="CA1189" s="23"/>
      <c r="CB1189" s="23"/>
      <c r="CC1189" s="23"/>
      <c r="CD1189" s="23"/>
      <c r="CE1189" s="23"/>
      <c r="CF1189" s="23"/>
      <c r="CG1189" s="23"/>
      <c r="CH1189" s="23"/>
      <c r="CI1189" s="23"/>
      <c r="CJ1189" s="23"/>
      <c r="CK1189" s="23"/>
    </row>
    <row r="1190" spans="1:89">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c r="AV1190" s="23"/>
      <c r="AW1190" s="23"/>
      <c r="AX1190" s="23"/>
      <c r="AY1190" s="23"/>
      <c r="AZ1190" s="23"/>
      <c r="BA1190" s="23"/>
      <c r="BB1190" s="23"/>
      <c r="BC1190" s="23"/>
      <c r="BD1190" s="23"/>
      <c r="BE1190" s="23"/>
      <c r="BF1190" s="23"/>
      <c r="BG1190" s="23"/>
      <c r="BH1190" s="23"/>
      <c r="BI1190" s="23"/>
      <c r="BJ1190" s="23"/>
      <c r="BK1190" s="23"/>
      <c r="BL1190" s="23"/>
      <c r="BM1190" s="23"/>
      <c r="BN1190" s="23"/>
      <c r="BO1190" s="23"/>
      <c r="BP1190" s="23"/>
      <c r="BQ1190" s="23"/>
      <c r="BR1190" s="23"/>
      <c r="BS1190" s="23"/>
      <c r="BT1190" s="23"/>
      <c r="BU1190" s="23"/>
      <c r="BV1190" s="23"/>
      <c r="BW1190" s="23"/>
      <c r="BX1190" s="23"/>
      <c r="BY1190" s="23"/>
      <c r="BZ1190" s="23"/>
      <c r="CA1190" s="23"/>
      <c r="CB1190" s="23"/>
      <c r="CC1190" s="23"/>
      <c r="CD1190" s="23"/>
      <c r="CE1190" s="23"/>
      <c r="CF1190" s="23"/>
      <c r="CG1190" s="23"/>
      <c r="CH1190" s="23"/>
      <c r="CI1190" s="23"/>
      <c r="CJ1190" s="23"/>
      <c r="CK1190" s="23"/>
    </row>
    <row r="1191" spans="1:89">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c r="AV1191" s="23"/>
      <c r="AW1191" s="23"/>
      <c r="AX1191" s="23"/>
      <c r="AY1191" s="23"/>
      <c r="AZ1191" s="23"/>
      <c r="BA1191" s="23"/>
      <c r="BB1191" s="23"/>
      <c r="BC1191" s="23"/>
      <c r="BD1191" s="23"/>
      <c r="BE1191" s="23"/>
      <c r="BF1191" s="23"/>
      <c r="BG1191" s="23"/>
      <c r="BH1191" s="23"/>
      <c r="BI1191" s="23"/>
      <c r="BJ1191" s="23"/>
      <c r="BK1191" s="23"/>
      <c r="BL1191" s="23"/>
      <c r="BM1191" s="23"/>
      <c r="BN1191" s="23"/>
      <c r="BO1191" s="23"/>
      <c r="BP1191" s="23"/>
      <c r="BQ1191" s="23"/>
      <c r="BR1191" s="23"/>
      <c r="BS1191" s="23"/>
      <c r="BT1191" s="23"/>
      <c r="BU1191" s="23"/>
      <c r="BV1191" s="23"/>
      <c r="BW1191" s="23"/>
      <c r="BX1191" s="23"/>
      <c r="BY1191" s="23"/>
      <c r="BZ1191" s="23"/>
      <c r="CA1191" s="23"/>
      <c r="CB1191" s="23"/>
      <c r="CC1191" s="23"/>
      <c r="CD1191" s="23"/>
      <c r="CE1191" s="23"/>
      <c r="CF1191" s="23"/>
      <c r="CG1191" s="23"/>
      <c r="CH1191" s="23"/>
      <c r="CI1191" s="23"/>
      <c r="CJ1191" s="23"/>
      <c r="CK1191" s="23"/>
    </row>
    <row r="1192" spans="1:89">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c r="AV1192" s="23"/>
      <c r="AW1192" s="23"/>
      <c r="AX1192" s="23"/>
      <c r="AY1192" s="23"/>
      <c r="AZ1192" s="23"/>
      <c r="BA1192" s="23"/>
      <c r="BB1192" s="23"/>
      <c r="BC1192" s="23"/>
      <c r="BD1192" s="23"/>
      <c r="BE1192" s="23"/>
      <c r="BF1192" s="23"/>
      <c r="BG1192" s="23"/>
      <c r="BH1192" s="23"/>
      <c r="BI1192" s="23"/>
      <c r="BJ1192" s="23"/>
      <c r="BK1192" s="23"/>
      <c r="BL1192" s="23"/>
      <c r="BM1192" s="23"/>
      <c r="BN1192" s="23"/>
      <c r="BO1192" s="23"/>
      <c r="BP1192" s="23"/>
      <c r="BQ1192" s="23"/>
      <c r="BR1192" s="23"/>
      <c r="BS1192" s="23"/>
      <c r="BT1192" s="23"/>
      <c r="BU1192" s="23"/>
      <c r="BV1192" s="23"/>
      <c r="BW1192" s="23"/>
      <c r="BX1192" s="23"/>
      <c r="BY1192" s="23"/>
      <c r="BZ1192" s="23"/>
      <c r="CA1192" s="23"/>
      <c r="CB1192" s="23"/>
      <c r="CC1192" s="23"/>
      <c r="CD1192" s="23"/>
      <c r="CE1192" s="23"/>
      <c r="CF1192" s="23"/>
      <c r="CG1192" s="23"/>
      <c r="CH1192" s="23"/>
      <c r="CI1192" s="23"/>
      <c r="CJ1192" s="23"/>
      <c r="CK1192" s="23"/>
    </row>
    <row r="1193" spans="1:89">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c r="AV1193" s="23"/>
      <c r="AW1193" s="23"/>
      <c r="AX1193" s="23"/>
      <c r="AY1193" s="23"/>
      <c r="AZ1193" s="23"/>
      <c r="BA1193" s="23"/>
      <c r="BB1193" s="23"/>
      <c r="BC1193" s="23"/>
      <c r="BD1193" s="23"/>
      <c r="BE1193" s="23"/>
      <c r="BF1193" s="23"/>
      <c r="BG1193" s="23"/>
      <c r="BH1193" s="23"/>
      <c r="BI1193" s="23"/>
      <c r="BJ1193" s="23"/>
      <c r="BK1193" s="23"/>
      <c r="BL1193" s="23"/>
      <c r="BM1193" s="23"/>
      <c r="BN1193" s="23"/>
      <c r="BO1193" s="23"/>
      <c r="BP1193" s="23"/>
      <c r="BQ1193" s="23"/>
      <c r="BR1193" s="23"/>
      <c r="BS1193" s="23"/>
      <c r="BT1193" s="23"/>
      <c r="BU1193" s="23"/>
      <c r="BV1193" s="23"/>
      <c r="BW1193" s="23"/>
      <c r="BX1193" s="23"/>
      <c r="BY1193" s="23"/>
      <c r="BZ1193" s="23"/>
      <c r="CA1193" s="23"/>
      <c r="CB1193" s="23"/>
      <c r="CC1193" s="23"/>
      <c r="CD1193" s="23"/>
      <c r="CE1193" s="23"/>
      <c r="CF1193" s="23"/>
      <c r="CG1193" s="23"/>
      <c r="CH1193" s="23"/>
      <c r="CI1193" s="23"/>
      <c r="CJ1193" s="23"/>
      <c r="CK1193" s="23"/>
    </row>
    <row r="1194" spans="1:89">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c r="AV1194" s="23"/>
      <c r="AW1194" s="23"/>
      <c r="AX1194" s="23"/>
      <c r="AY1194" s="23"/>
      <c r="AZ1194" s="23"/>
      <c r="BA1194" s="23"/>
      <c r="BB1194" s="23"/>
      <c r="BC1194" s="23"/>
      <c r="BD1194" s="23"/>
      <c r="BE1194" s="23"/>
      <c r="BF1194" s="23"/>
      <c r="BG1194" s="23"/>
      <c r="BH1194" s="23"/>
      <c r="BI1194" s="23"/>
      <c r="BJ1194" s="23"/>
      <c r="BK1194" s="23"/>
      <c r="BL1194" s="23"/>
      <c r="BM1194" s="23"/>
      <c r="BN1194" s="23"/>
      <c r="BO1194" s="23"/>
      <c r="BP1194" s="23"/>
      <c r="BQ1194" s="23"/>
      <c r="BR1194" s="23"/>
      <c r="BS1194" s="23"/>
      <c r="BT1194" s="23"/>
      <c r="BU1194" s="23"/>
      <c r="BV1194" s="23"/>
      <c r="BW1194" s="23"/>
      <c r="BX1194" s="23"/>
      <c r="BY1194" s="23"/>
      <c r="BZ1194" s="23"/>
      <c r="CA1194" s="23"/>
      <c r="CB1194" s="23"/>
      <c r="CC1194" s="23"/>
      <c r="CD1194" s="23"/>
      <c r="CE1194" s="23"/>
      <c r="CF1194" s="23"/>
      <c r="CG1194" s="23"/>
      <c r="CH1194" s="23"/>
      <c r="CI1194" s="23"/>
      <c r="CJ1194" s="23"/>
      <c r="CK1194" s="23"/>
    </row>
    <row r="1195" spans="1:89">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c r="AV1195" s="23"/>
      <c r="AW1195" s="23"/>
      <c r="AX1195" s="23"/>
      <c r="AY1195" s="23"/>
      <c r="AZ1195" s="23"/>
      <c r="BA1195" s="23"/>
      <c r="BB1195" s="23"/>
      <c r="BC1195" s="23"/>
      <c r="BD1195" s="23"/>
      <c r="BE1195" s="23"/>
      <c r="BF1195" s="23"/>
      <c r="BG1195" s="23"/>
      <c r="BH1195" s="23"/>
      <c r="BI1195" s="23"/>
      <c r="BJ1195" s="23"/>
      <c r="BK1195" s="23"/>
      <c r="BL1195" s="23"/>
      <c r="BM1195" s="23"/>
      <c r="BN1195" s="23"/>
      <c r="BO1195" s="23"/>
      <c r="BP1195" s="23"/>
      <c r="BQ1195" s="23"/>
      <c r="BR1195" s="23"/>
      <c r="BS1195" s="23"/>
      <c r="BT1195" s="23"/>
      <c r="BU1195" s="23"/>
      <c r="BV1195" s="23"/>
      <c r="BW1195" s="23"/>
      <c r="BX1195" s="23"/>
      <c r="BY1195" s="23"/>
      <c r="BZ1195" s="23"/>
      <c r="CA1195" s="23"/>
      <c r="CB1195" s="23"/>
      <c r="CC1195" s="23"/>
      <c r="CD1195" s="23"/>
      <c r="CE1195" s="23"/>
      <c r="CF1195" s="23"/>
      <c r="CG1195" s="23"/>
      <c r="CH1195" s="23"/>
      <c r="CI1195" s="23"/>
      <c r="CJ1195" s="23"/>
      <c r="CK1195" s="23"/>
    </row>
    <row r="1196" spans="1:89">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c r="AV1196" s="23"/>
      <c r="AW1196" s="23"/>
      <c r="AX1196" s="23"/>
      <c r="AY1196" s="23"/>
      <c r="AZ1196" s="23"/>
      <c r="BA1196" s="23"/>
      <c r="BB1196" s="23"/>
      <c r="BC1196" s="23"/>
      <c r="BD1196" s="23"/>
      <c r="BE1196" s="23"/>
      <c r="BF1196" s="23"/>
      <c r="BG1196" s="23"/>
      <c r="BH1196" s="23"/>
      <c r="BI1196" s="23"/>
      <c r="BJ1196" s="23"/>
      <c r="BK1196" s="23"/>
      <c r="BL1196" s="23"/>
      <c r="BM1196" s="23"/>
      <c r="BN1196" s="23"/>
      <c r="BO1196" s="23"/>
      <c r="BP1196" s="23"/>
      <c r="BQ1196" s="23"/>
      <c r="BR1196" s="23"/>
      <c r="BS1196" s="23"/>
      <c r="BT1196" s="23"/>
      <c r="BU1196" s="23"/>
      <c r="BV1196" s="23"/>
      <c r="BW1196" s="23"/>
      <c r="BX1196" s="23"/>
      <c r="BY1196" s="23"/>
      <c r="BZ1196" s="23"/>
      <c r="CA1196" s="23"/>
      <c r="CB1196" s="23"/>
      <c r="CC1196" s="23"/>
      <c r="CD1196" s="23"/>
      <c r="CE1196" s="23"/>
      <c r="CF1196" s="23"/>
      <c r="CG1196" s="23"/>
      <c r="CH1196" s="23"/>
      <c r="CI1196" s="23"/>
      <c r="CJ1196" s="23"/>
      <c r="CK1196" s="23"/>
    </row>
    <row r="1197" spans="1:89">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c r="AV1197" s="23"/>
      <c r="AW1197" s="23"/>
      <c r="AX1197" s="23"/>
      <c r="AY1197" s="23"/>
      <c r="AZ1197" s="23"/>
      <c r="BA1197" s="23"/>
      <c r="BB1197" s="23"/>
      <c r="BC1197" s="23"/>
      <c r="BD1197" s="23"/>
      <c r="BE1197" s="23"/>
      <c r="BF1197" s="23"/>
      <c r="BG1197" s="23"/>
      <c r="BH1197" s="23"/>
      <c r="BI1197" s="23"/>
      <c r="BJ1197" s="23"/>
      <c r="BK1197" s="23"/>
      <c r="BL1197" s="23"/>
      <c r="BM1197" s="23"/>
      <c r="BN1197" s="23"/>
      <c r="BO1197" s="23"/>
      <c r="BP1197" s="23"/>
      <c r="BQ1197" s="23"/>
      <c r="BR1197" s="23"/>
      <c r="BS1197" s="23"/>
      <c r="BT1197" s="23"/>
      <c r="BU1197" s="23"/>
      <c r="BV1197" s="23"/>
      <c r="BW1197" s="23"/>
      <c r="BX1197" s="23"/>
      <c r="BY1197" s="23"/>
      <c r="BZ1197" s="23"/>
      <c r="CA1197" s="23"/>
      <c r="CB1197" s="23"/>
      <c r="CC1197" s="23"/>
      <c r="CD1197" s="23"/>
      <c r="CE1197" s="23"/>
      <c r="CF1197" s="23"/>
      <c r="CG1197" s="23"/>
      <c r="CH1197" s="23"/>
      <c r="CI1197" s="23"/>
      <c r="CJ1197" s="23"/>
      <c r="CK1197" s="23"/>
    </row>
    <row r="1198" spans="1:89">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c r="AV1198" s="23"/>
      <c r="AW1198" s="23"/>
      <c r="AX1198" s="23"/>
      <c r="AY1198" s="23"/>
      <c r="AZ1198" s="23"/>
      <c r="BA1198" s="23"/>
      <c r="BB1198" s="23"/>
      <c r="BC1198" s="23"/>
      <c r="BD1198" s="23"/>
      <c r="BE1198" s="23"/>
      <c r="BF1198" s="23"/>
      <c r="BG1198" s="23"/>
      <c r="BH1198" s="23"/>
      <c r="BI1198" s="23"/>
      <c r="BJ1198" s="23"/>
      <c r="BK1198" s="23"/>
      <c r="BL1198" s="23"/>
      <c r="BM1198" s="23"/>
      <c r="BN1198" s="23"/>
      <c r="BO1198" s="23"/>
      <c r="BP1198" s="23"/>
      <c r="BQ1198" s="23"/>
      <c r="BR1198" s="23"/>
      <c r="BS1198" s="23"/>
      <c r="BT1198" s="23"/>
      <c r="BU1198" s="23"/>
      <c r="BV1198" s="23"/>
      <c r="BW1198" s="23"/>
      <c r="BX1198" s="23"/>
      <c r="BY1198" s="23"/>
      <c r="BZ1198" s="23"/>
      <c r="CA1198" s="23"/>
      <c r="CB1198" s="23"/>
      <c r="CC1198" s="23"/>
      <c r="CD1198" s="23"/>
      <c r="CE1198" s="23"/>
      <c r="CF1198" s="23"/>
      <c r="CG1198" s="23"/>
      <c r="CH1198" s="23"/>
      <c r="CI1198" s="23"/>
      <c r="CJ1198" s="23"/>
      <c r="CK1198" s="23"/>
    </row>
    <row r="1199" spans="1:8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c r="AV1199" s="23"/>
      <c r="AW1199" s="23"/>
      <c r="AX1199" s="23"/>
      <c r="AY1199" s="23"/>
      <c r="AZ1199" s="23"/>
      <c r="BA1199" s="23"/>
      <c r="BB1199" s="23"/>
      <c r="BC1199" s="23"/>
      <c r="BD1199" s="23"/>
      <c r="BE1199" s="23"/>
      <c r="BF1199" s="23"/>
      <c r="BG1199" s="23"/>
      <c r="BH1199" s="23"/>
      <c r="BI1199" s="23"/>
      <c r="BJ1199" s="23"/>
      <c r="BK1199" s="23"/>
      <c r="BL1199" s="23"/>
      <c r="BM1199" s="23"/>
      <c r="BN1199" s="23"/>
      <c r="BO1199" s="23"/>
      <c r="BP1199" s="23"/>
      <c r="BQ1199" s="23"/>
      <c r="BR1199" s="23"/>
      <c r="BS1199" s="23"/>
      <c r="BT1199" s="23"/>
      <c r="BU1199" s="23"/>
      <c r="BV1199" s="23"/>
      <c r="BW1199" s="23"/>
      <c r="BX1199" s="23"/>
      <c r="BY1199" s="23"/>
      <c r="BZ1199" s="23"/>
      <c r="CA1199" s="23"/>
      <c r="CB1199" s="23"/>
      <c r="CC1199" s="23"/>
      <c r="CD1199" s="23"/>
      <c r="CE1199" s="23"/>
      <c r="CF1199" s="23"/>
      <c r="CG1199" s="23"/>
      <c r="CH1199" s="23"/>
      <c r="CI1199" s="23"/>
      <c r="CJ1199" s="23"/>
      <c r="CK1199" s="23"/>
    </row>
    <row r="1200" spans="1:89">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c r="AV1200" s="23"/>
      <c r="AW1200" s="23"/>
      <c r="AX1200" s="23"/>
      <c r="AY1200" s="23"/>
      <c r="AZ1200" s="23"/>
      <c r="BA1200" s="23"/>
      <c r="BB1200" s="23"/>
      <c r="BC1200" s="23"/>
      <c r="BD1200" s="23"/>
      <c r="BE1200" s="23"/>
      <c r="BF1200" s="23"/>
      <c r="BG1200" s="23"/>
      <c r="BH1200" s="23"/>
      <c r="BI1200" s="23"/>
      <c r="BJ1200" s="23"/>
      <c r="BK1200" s="23"/>
      <c r="BL1200" s="23"/>
      <c r="BM1200" s="23"/>
      <c r="BN1200" s="23"/>
      <c r="BO1200" s="23"/>
      <c r="BP1200" s="23"/>
      <c r="BQ1200" s="23"/>
      <c r="BR1200" s="23"/>
      <c r="BS1200" s="23"/>
      <c r="BT1200" s="23"/>
      <c r="BU1200" s="23"/>
      <c r="BV1200" s="23"/>
      <c r="BW1200" s="23"/>
      <c r="BX1200" s="23"/>
      <c r="BY1200" s="23"/>
      <c r="BZ1200" s="23"/>
      <c r="CA1200" s="23"/>
      <c r="CB1200" s="23"/>
      <c r="CC1200" s="23"/>
      <c r="CD1200" s="23"/>
      <c r="CE1200" s="23"/>
      <c r="CF1200" s="23"/>
      <c r="CG1200" s="23"/>
      <c r="CH1200" s="23"/>
      <c r="CI1200" s="23"/>
      <c r="CJ1200" s="23"/>
      <c r="CK1200" s="23"/>
    </row>
    <row r="1201" spans="1:89">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c r="AV1201" s="23"/>
      <c r="AW1201" s="23"/>
      <c r="AX1201" s="23"/>
      <c r="AY1201" s="23"/>
      <c r="AZ1201" s="23"/>
      <c r="BA1201" s="23"/>
      <c r="BB1201" s="23"/>
      <c r="BC1201" s="23"/>
      <c r="BD1201" s="23"/>
      <c r="BE1201" s="23"/>
      <c r="BF1201" s="23"/>
      <c r="BG1201" s="23"/>
      <c r="BH1201" s="23"/>
      <c r="BI1201" s="23"/>
      <c r="BJ1201" s="23"/>
      <c r="BK1201" s="23"/>
      <c r="BL1201" s="23"/>
      <c r="BM1201" s="23"/>
      <c r="BN1201" s="23"/>
      <c r="BO1201" s="23"/>
      <c r="BP1201" s="23"/>
      <c r="BQ1201" s="23"/>
      <c r="BR1201" s="23"/>
      <c r="BS1201" s="23"/>
      <c r="BT1201" s="23"/>
      <c r="BU1201" s="23"/>
      <c r="BV1201" s="23"/>
      <c r="BW1201" s="23"/>
      <c r="BX1201" s="23"/>
      <c r="BY1201" s="23"/>
      <c r="BZ1201" s="23"/>
      <c r="CA1201" s="23"/>
      <c r="CB1201" s="23"/>
      <c r="CC1201" s="23"/>
      <c r="CD1201" s="23"/>
      <c r="CE1201" s="23"/>
      <c r="CF1201" s="23"/>
      <c r="CG1201" s="23"/>
      <c r="CH1201" s="23"/>
      <c r="CI1201" s="23"/>
      <c r="CJ1201" s="23"/>
      <c r="CK1201" s="23"/>
    </row>
    <row r="1202" spans="1:89">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c r="AV1202" s="23"/>
      <c r="AW1202" s="23"/>
      <c r="AX1202" s="23"/>
      <c r="AY1202" s="23"/>
      <c r="AZ1202" s="23"/>
      <c r="BA1202" s="23"/>
      <c r="BB1202" s="23"/>
      <c r="BC1202" s="23"/>
      <c r="BD1202" s="23"/>
      <c r="BE1202" s="23"/>
      <c r="BF1202" s="23"/>
      <c r="BG1202" s="23"/>
      <c r="BH1202" s="23"/>
      <c r="BI1202" s="23"/>
      <c r="BJ1202" s="23"/>
      <c r="BK1202" s="23"/>
      <c r="BL1202" s="23"/>
      <c r="BM1202" s="23"/>
      <c r="BN1202" s="23"/>
      <c r="BO1202" s="23"/>
      <c r="BP1202" s="23"/>
      <c r="BQ1202" s="23"/>
      <c r="BR1202" s="23"/>
      <c r="BS1202" s="23"/>
      <c r="BT1202" s="23"/>
      <c r="BU1202" s="23"/>
      <c r="BV1202" s="23"/>
      <c r="BW1202" s="23"/>
      <c r="BX1202" s="23"/>
      <c r="BY1202" s="23"/>
      <c r="BZ1202" s="23"/>
      <c r="CA1202" s="23"/>
      <c r="CB1202" s="23"/>
      <c r="CC1202" s="23"/>
      <c r="CD1202" s="23"/>
      <c r="CE1202" s="23"/>
      <c r="CF1202" s="23"/>
      <c r="CG1202" s="23"/>
      <c r="CH1202" s="23"/>
      <c r="CI1202" s="23"/>
      <c r="CJ1202" s="23"/>
      <c r="CK1202" s="23"/>
    </row>
    <row r="1203" spans="1:89">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c r="AV1203" s="23"/>
      <c r="AW1203" s="23"/>
      <c r="AX1203" s="23"/>
      <c r="AY1203" s="23"/>
      <c r="AZ1203" s="23"/>
      <c r="BA1203" s="23"/>
      <c r="BB1203" s="23"/>
      <c r="BC1203" s="23"/>
      <c r="BD1203" s="23"/>
      <c r="BE1203" s="23"/>
      <c r="BF1203" s="23"/>
      <c r="BG1203" s="23"/>
      <c r="BH1203" s="23"/>
      <c r="BI1203" s="23"/>
      <c r="BJ1203" s="23"/>
      <c r="BK1203" s="23"/>
      <c r="BL1203" s="23"/>
      <c r="BM1203" s="23"/>
      <c r="BN1203" s="23"/>
      <c r="BO1203" s="23"/>
      <c r="BP1203" s="23"/>
      <c r="BQ1203" s="23"/>
      <c r="BR1203" s="23"/>
      <c r="BS1203" s="23"/>
      <c r="BT1203" s="23"/>
      <c r="BU1203" s="23"/>
      <c r="BV1203" s="23"/>
      <c r="BW1203" s="23"/>
      <c r="BX1203" s="23"/>
      <c r="BY1203" s="23"/>
      <c r="BZ1203" s="23"/>
      <c r="CA1203" s="23"/>
      <c r="CB1203" s="23"/>
      <c r="CC1203" s="23"/>
      <c r="CD1203" s="23"/>
      <c r="CE1203" s="23"/>
      <c r="CF1203" s="23"/>
      <c r="CG1203" s="23"/>
      <c r="CH1203" s="23"/>
      <c r="CI1203" s="23"/>
      <c r="CJ1203" s="23"/>
      <c r="CK1203" s="23"/>
    </row>
    <row r="1204" spans="1:89">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c r="AV1204" s="23"/>
      <c r="AW1204" s="23"/>
      <c r="AX1204" s="23"/>
      <c r="AY1204" s="23"/>
      <c r="AZ1204" s="23"/>
      <c r="BA1204" s="23"/>
      <c r="BB1204" s="23"/>
      <c r="BC1204" s="23"/>
      <c r="BD1204" s="23"/>
      <c r="BE1204" s="23"/>
      <c r="BF1204" s="23"/>
      <c r="BG1204" s="23"/>
      <c r="BH1204" s="23"/>
      <c r="BI1204" s="23"/>
      <c r="BJ1204" s="23"/>
      <c r="BK1204" s="23"/>
      <c r="BL1204" s="23"/>
      <c r="BM1204" s="23"/>
      <c r="BN1204" s="23"/>
      <c r="BO1204" s="23"/>
      <c r="BP1204" s="23"/>
      <c r="BQ1204" s="23"/>
      <c r="BR1204" s="23"/>
      <c r="BS1204" s="23"/>
      <c r="BT1204" s="23"/>
      <c r="BU1204" s="23"/>
      <c r="BV1204" s="23"/>
      <c r="BW1204" s="23"/>
      <c r="BX1204" s="23"/>
      <c r="BY1204" s="23"/>
      <c r="BZ1204" s="23"/>
      <c r="CA1204" s="23"/>
      <c r="CB1204" s="23"/>
      <c r="CC1204" s="23"/>
      <c r="CD1204" s="23"/>
      <c r="CE1204" s="23"/>
      <c r="CF1204" s="23"/>
      <c r="CG1204" s="23"/>
      <c r="CH1204" s="23"/>
      <c r="CI1204" s="23"/>
      <c r="CJ1204" s="23"/>
      <c r="CK1204" s="23"/>
    </row>
    <row r="1205" spans="1:89">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c r="AV1205" s="23"/>
      <c r="AW1205" s="23"/>
      <c r="AX1205" s="23"/>
      <c r="AY1205" s="23"/>
      <c r="AZ1205" s="23"/>
      <c r="BA1205" s="23"/>
      <c r="BB1205" s="23"/>
      <c r="BC1205" s="23"/>
      <c r="BD1205" s="23"/>
      <c r="BE1205" s="23"/>
      <c r="BF1205" s="23"/>
      <c r="BG1205" s="23"/>
      <c r="BH1205" s="23"/>
      <c r="BI1205" s="23"/>
      <c r="BJ1205" s="23"/>
      <c r="BK1205" s="23"/>
      <c r="BL1205" s="23"/>
      <c r="BM1205" s="23"/>
      <c r="BN1205" s="23"/>
      <c r="BO1205" s="23"/>
      <c r="BP1205" s="23"/>
      <c r="BQ1205" s="23"/>
      <c r="BR1205" s="23"/>
      <c r="BS1205" s="23"/>
      <c r="BT1205" s="23"/>
      <c r="BU1205" s="23"/>
      <c r="BV1205" s="23"/>
      <c r="BW1205" s="23"/>
      <c r="BX1205" s="23"/>
      <c r="BY1205" s="23"/>
      <c r="BZ1205" s="23"/>
      <c r="CA1205" s="23"/>
      <c r="CB1205" s="23"/>
      <c r="CC1205" s="23"/>
      <c r="CD1205" s="23"/>
      <c r="CE1205" s="23"/>
      <c r="CF1205" s="23"/>
      <c r="CG1205" s="23"/>
      <c r="CH1205" s="23"/>
      <c r="CI1205" s="23"/>
      <c r="CJ1205" s="23"/>
      <c r="CK1205" s="23"/>
    </row>
    <row r="1206" spans="1:89">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c r="AV1206" s="23"/>
      <c r="AW1206" s="23"/>
      <c r="AX1206" s="23"/>
      <c r="AY1206" s="23"/>
      <c r="AZ1206" s="23"/>
      <c r="BA1206" s="23"/>
      <c r="BB1206" s="23"/>
      <c r="BC1206" s="23"/>
      <c r="BD1206" s="23"/>
      <c r="BE1206" s="23"/>
      <c r="BF1206" s="23"/>
      <c r="BG1206" s="23"/>
      <c r="BH1206" s="23"/>
      <c r="BI1206" s="23"/>
      <c r="BJ1206" s="23"/>
      <c r="BK1206" s="23"/>
      <c r="BL1206" s="23"/>
      <c r="BM1206" s="23"/>
      <c r="BN1206" s="23"/>
      <c r="BO1206" s="23"/>
      <c r="BP1206" s="23"/>
      <c r="BQ1206" s="23"/>
      <c r="BR1206" s="23"/>
      <c r="BS1206" s="23"/>
      <c r="BT1206" s="23"/>
      <c r="BU1206" s="23"/>
      <c r="BV1206" s="23"/>
      <c r="BW1206" s="23"/>
      <c r="BX1206" s="23"/>
      <c r="BY1206" s="23"/>
      <c r="BZ1206" s="23"/>
      <c r="CA1206" s="23"/>
      <c r="CB1206" s="23"/>
      <c r="CC1206" s="23"/>
      <c r="CD1206" s="23"/>
      <c r="CE1206" s="23"/>
      <c r="CF1206" s="23"/>
      <c r="CG1206" s="23"/>
      <c r="CH1206" s="23"/>
      <c r="CI1206" s="23"/>
      <c r="CJ1206" s="23"/>
      <c r="CK1206" s="23"/>
    </row>
    <row r="1207" spans="1:89">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c r="AV1207" s="23"/>
      <c r="AW1207" s="23"/>
      <c r="AX1207" s="23"/>
      <c r="AY1207" s="23"/>
      <c r="AZ1207" s="23"/>
      <c r="BA1207" s="23"/>
      <c r="BB1207" s="23"/>
      <c r="BC1207" s="23"/>
      <c r="BD1207" s="23"/>
      <c r="BE1207" s="23"/>
      <c r="BF1207" s="23"/>
      <c r="BG1207" s="23"/>
      <c r="BH1207" s="23"/>
      <c r="BI1207" s="23"/>
      <c r="BJ1207" s="23"/>
      <c r="BK1207" s="23"/>
      <c r="BL1207" s="23"/>
      <c r="BM1207" s="23"/>
      <c r="BN1207" s="23"/>
      <c r="BO1207" s="23"/>
      <c r="BP1207" s="23"/>
      <c r="BQ1207" s="23"/>
      <c r="BR1207" s="23"/>
      <c r="BS1207" s="23"/>
      <c r="BT1207" s="23"/>
      <c r="BU1207" s="23"/>
      <c r="BV1207" s="23"/>
      <c r="BW1207" s="23"/>
      <c r="BX1207" s="23"/>
      <c r="BY1207" s="23"/>
      <c r="BZ1207" s="23"/>
      <c r="CA1207" s="23"/>
      <c r="CB1207" s="23"/>
      <c r="CC1207" s="23"/>
      <c r="CD1207" s="23"/>
      <c r="CE1207" s="23"/>
      <c r="CF1207" s="23"/>
      <c r="CG1207" s="23"/>
      <c r="CH1207" s="23"/>
      <c r="CI1207" s="23"/>
      <c r="CJ1207" s="23"/>
      <c r="CK1207" s="23"/>
    </row>
    <row r="1208" spans="1:89">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c r="AV1208" s="23"/>
      <c r="AW1208" s="23"/>
      <c r="AX1208" s="23"/>
      <c r="AY1208" s="23"/>
      <c r="AZ1208" s="23"/>
      <c r="BA1208" s="23"/>
      <c r="BB1208" s="23"/>
      <c r="BC1208" s="23"/>
      <c r="BD1208" s="23"/>
      <c r="BE1208" s="23"/>
      <c r="BF1208" s="23"/>
      <c r="BG1208" s="23"/>
      <c r="BH1208" s="23"/>
      <c r="BI1208" s="23"/>
      <c r="BJ1208" s="23"/>
      <c r="BK1208" s="23"/>
      <c r="BL1208" s="23"/>
      <c r="BM1208" s="23"/>
      <c r="BN1208" s="23"/>
      <c r="BO1208" s="23"/>
      <c r="BP1208" s="23"/>
      <c r="BQ1208" s="23"/>
      <c r="BR1208" s="23"/>
      <c r="BS1208" s="23"/>
      <c r="BT1208" s="23"/>
      <c r="BU1208" s="23"/>
      <c r="BV1208" s="23"/>
      <c r="BW1208" s="23"/>
      <c r="BX1208" s="23"/>
      <c r="BY1208" s="23"/>
      <c r="BZ1208" s="23"/>
      <c r="CA1208" s="23"/>
      <c r="CB1208" s="23"/>
      <c r="CC1208" s="23"/>
      <c r="CD1208" s="23"/>
      <c r="CE1208" s="23"/>
      <c r="CF1208" s="23"/>
      <c r="CG1208" s="23"/>
      <c r="CH1208" s="23"/>
      <c r="CI1208" s="23"/>
      <c r="CJ1208" s="23"/>
      <c r="CK1208" s="23"/>
    </row>
    <row r="1209" spans="1:8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c r="AV1209" s="23"/>
      <c r="AW1209" s="23"/>
      <c r="AX1209" s="23"/>
      <c r="AY1209" s="23"/>
      <c r="AZ1209" s="23"/>
      <c r="BA1209" s="23"/>
      <c r="BB1209" s="23"/>
      <c r="BC1209" s="23"/>
      <c r="BD1209" s="23"/>
      <c r="BE1209" s="23"/>
      <c r="BF1209" s="23"/>
      <c r="BG1209" s="23"/>
      <c r="BH1209" s="23"/>
      <c r="BI1209" s="23"/>
      <c r="BJ1209" s="23"/>
      <c r="BK1209" s="23"/>
      <c r="BL1209" s="23"/>
      <c r="BM1209" s="23"/>
      <c r="BN1209" s="23"/>
      <c r="BO1209" s="23"/>
      <c r="BP1209" s="23"/>
      <c r="BQ1209" s="23"/>
      <c r="BR1209" s="23"/>
      <c r="BS1209" s="23"/>
      <c r="BT1209" s="23"/>
      <c r="BU1209" s="23"/>
      <c r="BV1209" s="23"/>
      <c r="BW1209" s="23"/>
      <c r="BX1209" s="23"/>
      <c r="BY1209" s="23"/>
      <c r="BZ1209" s="23"/>
      <c r="CA1209" s="23"/>
      <c r="CB1209" s="23"/>
      <c r="CC1209" s="23"/>
      <c r="CD1209" s="23"/>
      <c r="CE1209" s="23"/>
      <c r="CF1209" s="23"/>
      <c r="CG1209" s="23"/>
      <c r="CH1209" s="23"/>
      <c r="CI1209" s="23"/>
      <c r="CJ1209" s="23"/>
      <c r="CK1209" s="23"/>
    </row>
    <row r="1210" spans="1:89">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c r="AV1210" s="23"/>
      <c r="AW1210" s="23"/>
      <c r="AX1210" s="23"/>
      <c r="AY1210" s="23"/>
      <c r="AZ1210" s="23"/>
      <c r="BA1210" s="23"/>
      <c r="BB1210" s="23"/>
      <c r="BC1210" s="23"/>
      <c r="BD1210" s="23"/>
      <c r="BE1210" s="23"/>
      <c r="BF1210" s="23"/>
      <c r="BG1210" s="23"/>
      <c r="BH1210" s="23"/>
      <c r="BI1210" s="23"/>
      <c r="BJ1210" s="23"/>
      <c r="BK1210" s="23"/>
      <c r="BL1210" s="23"/>
      <c r="BM1210" s="23"/>
      <c r="BN1210" s="23"/>
      <c r="BO1210" s="23"/>
      <c r="BP1210" s="23"/>
      <c r="BQ1210" s="23"/>
      <c r="BR1210" s="23"/>
      <c r="BS1210" s="23"/>
      <c r="BT1210" s="23"/>
      <c r="BU1210" s="23"/>
      <c r="BV1210" s="23"/>
      <c r="BW1210" s="23"/>
      <c r="BX1210" s="23"/>
      <c r="BY1210" s="23"/>
      <c r="BZ1210" s="23"/>
      <c r="CA1210" s="23"/>
      <c r="CB1210" s="23"/>
      <c r="CC1210" s="23"/>
      <c r="CD1210" s="23"/>
      <c r="CE1210" s="23"/>
      <c r="CF1210" s="23"/>
      <c r="CG1210" s="23"/>
      <c r="CH1210" s="23"/>
      <c r="CI1210" s="23"/>
      <c r="CJ1210" s="23"/>
      <c r="CK1210" s="23"/>
    </row>
    <row r="1211" spans="1:89">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c r="AV1211" s="23"/>
      <c r="AW1211" s="23"/>
      <c r="AX1211" s="23"/>
      <c r="AY1211" s="23"/>
      <c r="AZ1211" s="23"/>
      <c r="BA1211" s="23"/>
      <c r="BB1211" s="23"/>
      <c r="BC1211" s="23"/>
      <c r="BD1211" s="23"/>
      <c r="BE1211" s="23"/>
      <c r="BF1211" s="23"/>
      <c r="BG1211" s="23"/>
      <c r="BH1211" s="23"/>
      <c r="BI1211" s="23"/>
      <c r="BJ1211" s="23"/>
      <c r="BK1211" s="23"/>
      <c r="BL1211" s="23"/>
      <c r="BM1211" s="23"/>
      <c r="BN1211" s="23"/>
      <c r="BO1211" s="23"/>
      <c r="BP1211" s="23"/>
      <c r="BQ1211" s="23"/>
      <c r="BR1211" s="23"/>
      <c r="BS1211" s="23"/>
      <c r="BT1211" s="23"/>
      <c r="BU1211" s="23"/>
      <c r="BV1211" s="23"/>
      <c r="BW1211" s="23"/>
      <c r="BX1211" s="23"/>
      <c r="BY1211" s="23"/>
      <c r="BZ1211" s="23"/>
      <c r="CA1211" s="23"/>
      <c r="CB1211" s="23"/>
      <c r="CC1211" s="23"/>
      <c r="CD1211" s="23"/>
      <c r="CE1211" s="23"/>
      <c r="CF1211" s="23"/>
      <c r="CG1211" s="23"/>
      <c r="CH1211" s="23"/>
      <c r="CI1211" s="23"/>
      <c r="CJ1211" s="23"/>
      <c r="CK1211" s="23"/>
    </row>
    <row r="1212" spans="1:89">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c r="AV1212" s="23"/>
      <c r="AW1212" s="23"/>
      <c r="AX1212" s="23"/>
      <c r="AY1212" s="23"/>
      <c r="AZ1212" s="23"/>
      <c r="BA1212" s="23"/>
      <c r="BB1212" s="23"/>
      <c r="BC1212" s="23"/>
      <c r="BD1212" s="23"/>
      <c r="BE1212" s="23"/>
      <c r="BF1212" s="23"/>
      <c r="BG1212" s="23"/>
      <c r="BH1212" s="23"/>
      <c r="BI1212" s="23"/>
      <c r="BJ1212" s="23"/>
      <c r="BK1212" s="23"/>
      <c r="BL1212" s="23"/>
      <c r="BM1212" s="23"/>
      <c r="BN1212" s="23"/>
      <c r="BO1212" s="23"/>
      <c r="BP1212" s="23"/>
      <c r="BQ1212" s="23"/>
      <c r="BR1212" s="23"/>
      <c r="BS1212" s="23"/>
      <c r="BT1212" s="23"/>
      <c r="BU1212" s="23"/>
      <c r="BV1212" s="23"/>
      <c r="BW1212" s="23"/>
      <c r="BX1212" s="23"/>
      <c r="BY1212" s="23"/>
      <c r="BZ1212" s="23"/>
      <c r="CA1212" s="23"/>
      <c r="CB1212" s="23"/>
      <c r="CC1212" s="23"/>
      <c r="CD1212" s="23"/>
      <c r="CE1212" s="23"/>
      <c r="CF1212" s="23"/>
      <c r="CG1212" s="23"/>
      <c r="CH1212" s="23"/>
      <c r="CI1212" s="23"/>
      <c r="CJ1212" s="23"/>
      <c r="CK1212" s="23"/>
    </row>
    <row r="1213" spans="1:89">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c r="AV1213" s="23"/>
      <c r="AW1213" s="23"/>
      <c r="AX1213" s="23"/>
      <c r="AY1213" s="23"/>
      <c r="AZ1213" s="23"/>
      <c r="BA1213" s="23"/>
      <c r="BB1213" s="23"/>
      <c r="BC1213" s="23"/>
      <c r="BD1213" s="23"/>
      <c r="BE1213" s="23"/>
      <c r="BF1213" s="23"/>
      <c r="BG1213" s="23"/>
      <c r="BH1213" s="23"/>
      <c r="BI1213" s="23"/>
      <c r="BJ1213" s="23"/>
      <c r="BK1213" s="23"/>
      <c r="BL1213" s="23"/>
      <c r="BM1213" s="23"/>
      <c r="BN1213" s="23"/>
      <c r="BO1213" s="23"/>
      <c r="BP1213" s="23"/>
      <c r="BQ1213" s="23"/>
      <c r="BR1213" s="23"/>
      <c r="BS1213" s="23"/>
      <c r="BT1213" s="23"/>
      <c r="BU1213" s="23"/>
      <c r="BV1213" s="23"/>
      <c r="BW1213" s="23"/>
      <c r="BX1213" s="23"/>
      <c r="BY1213" s="23"/>
      <c r="BZ1213" s="23"/>
      <c r="CA1213" s="23"/>
      <c r="CB1213" s="23"/>
      <c r="CC1213" s="23"/>
      <c r="CD1213" s="23"/>
      <c r="CE1213" s="23"/>
      <c r="CF1213" s="23"/>
      <c r="CG1213" s="23"/>
      <c r="CH1213" s="23"/>
      <c r="CI1213" s="23"/>
      <c r="CJ1213" s="23"/>
      <c r="CK1213" s="23"/>
    </row>
    <row r="1214" spans="1:89">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c r="AV1214" s="23"/>
      <c r="AW1214" s="23"/>
      <c r="AX1214" s="23"/>
      <c r="AY1214" s="23"/>
      <c r="AZ1214" s="23"/>
      <c r="BA1214" s="23"/>
      <c r="BB1214" s="23"/>
      <c r="BC1214" s="23"/>
      <c r="BD1214" s="23"/>
      <c r="BE1214" s="23"/>
      <c r="BF1214" s="23"/>
      <c r="BG1214" s="23"/>
      <c r="BH1214" s="23"/>
      <c r="BI1214" s="23"/>
      <c r="BJ1214" s="23"/>
      <c r="BK1214" s="23"/>
      <c r="BL1214" s="23"/>
      <c r="BM1214" s="23"/>
      <c r="BN1214" s="23"/>
      <c r="BO1214" s="23"/>
      <c r="BP1214" s="23"/>
      <c r="BQ1214" s="23"/>
      <c r="BR1214" s="23"/>
      <c r="BS1214" s="23"/>
      <c r="BT1214" s="23"/>
      <c r="BU1214" s="23"/>
      <c r="BV1214" s="23"/>
      <c r="BW1214" s="23"/>
      <c r="BX1214" s="23"/>
      <c r="BY1214" s="23"/>
      <c r="BZ1214" s="23"/>
      <c r="CA1214" s="23"/>
      <c r="CB1214" s="23"/>
      <c r="CC1214" s="23"/>
      <c r="CD1214" s="23"/>
      <c r="CE1214" s="23"/>
      <c r="CF1214" s="23"/>
      <c r="CG1214" s="23"/>
      <c r="CH1214" s="23"/>
      <c r="CI1214" s="23"/>
      <c r="CJ1214" s="23"/>
      <c r="CK1214" s="23"/>
    </row>
    <row r="1215" spans="1:89">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c r="AV1215" s="23"/>
      <c r="AW1215" s="23"/>
      <c r="AX1215" s="23"/>
      <c r="AY1215" s="23"/>
      <c r="AZ1215" s="23"/>
      <c r="BA1215" s="23"/>
      <c r="BB1215" s="23"/>
      <c r="BC1215" s="23"/>
      <c r="BD1215" s="23"/>
      <c r="BE1215" s="23"/>
      <c r="BF1215" s="23"/>
      <c r="BG1215" s="23"/>
      <c r="BH1215" s="23"/>
      <c r="BI1215" s="23"/>
      <c r="BJ1215" s="23"/>
      <c r="BK1215" s="23"/>
      <c r="BL1215" s="23"/>
      <c r="BM1215" s="23"/>
      <c r="BN1215" s="23"/>
      <c r="BO1215" s="23"/>
      <c r="BP1215" s="23"/>
      <c r="BQ1215" s="23"/>
      <c r="BR1215" s="23"/>
      <c r="BS1215" s="23"/>
      <c r="BT1215" s="23"/>
      <c r="BU1215" s="23"/>
      <c r="BV1215" s="23"/>
      <c r="BW1215" s="23"/>
      <c r="BX1215" s="23"/>
      <c r="BY1215" s="23"/>
      <c r="BZ1215" s="23"/>
      <c r="CA1215" s="23"/>
      <c r="CB1215" s="23"/>
      <c r="CC1215" s="23"/>
      <c r="CD1215" s="23"/>
      <c r="CE1215" s="23"/>
      <c r="CF1215" s="23"/>
      <c r="CG1215" s="23"/>
      <c r="CH1215" s="23"/>
      <c r="CI1215" s="23"/>
      <c r="CJ1215" s="23"/>
      <c r="CK1215" s="23"/>
    </row>
    <row r="1216" spans="1:89">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c r="AV1216" s="23"/>
      <c r="AW1216" s="23"/>
      <c r="AX1216" s="23"/>
      <c r="AY1216" s="23"/>
      <c r="AZ1216" s="23"/>
      <c r="BA1216" s="23"/>
      <c r="BB1216" s="23"/>
      <c r="BC1216" s="23"/>
      <c r="BD1216" s="23"/>
      <c r="BE1216" s="23"/>
      <c r="BF1216" s="23"/>
      <c r="BG1216" s="23"/>
      <c r="BH1216" s="23"/>
      <c r="BI1216" s="23"/>
      <c r="BJ1216" s="23"/>
      <c r="BK1216" s="23"/>
      <c r="BL1216" s="23"/>
      <c r="BM1216" s="23"/>
      <c r="BN1216" s="23"/>
      <c r="BO1216" s="23"/>
      <c r="BP1216" s="23"/>
      <c r="BQ1216" s="23"/>
      <c r="BR1216" s="23"/>
      <c r="BS1216" s="23"/>
      <c r="BT1216" s="23"/>
      <c r="BU1216" s="23"/>
      <c r="BV1216" s="23"/>
      <c r="BW1216" s="23"/>
      <c r="BX1216" s="23"/>
      <c r="BY1216" s="23"/>
      <c r="BZ1216" s="23"/>
      <c r="CA1216" s="23"/>
      <c r="CB1216" s="23"/>
      <c r="CC1216" s="23"/>
      <c r="CD1216" s="23"/>
      <c r="CE1216" s="23"/>
      <c r="CF1216" s="23"/>
      <c r="CG1216" s="23"/>
      <c r="CH1216" s="23"/>
      <c r="CI1216" s="23"/>
      <c r="CJ1216" s="23"/>
      <c r="CK1216" s="23"/>
    </row>
    <row r="1217" spans="1:89">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c r="AV1217" s="23"/>
      <c r="AW1217" s="23"/>
      <c r="AX1217" s="23"/>
      <c r="AY1217" s="23"/>
      <c r="AZ1217" s="23"/>
      <c r="BA1217" s="23"/>
      <c r="BB1217" s="23"/>
      <c r="BC1217" s="23"/>
      <c r="BD1217" s="23"/>
      <c r="BE1217" s="23"/>
      <c r="BF1217" s="23"/>
      <c r="BG1217" s="23"/>
      <c r="BH1217" s="23"/>
      <c r="BI1217" s="23"/>
      <c r="BJ1217" s="23"/>
      <c r="BK1217" s="23"/>
      <c r="BL1217" s="23"/>
      <c r="BM1217" s="23"/>
      <c r="BN1217" s="23"/>
      <c r="BO1217" s="23"/>
      <c r="BP1217" s="23"/>
      <c r="BQ1217" s="23"/>
      <c r="BR1217" s="23"/>
      <c r="BS1217" s="23"/>
      <c r="BT1217" s="23"/>
      <c r="BU1217" s="23"/>
      <c r="BV1217" s="23"/>
      <c r="BW1217" s="23"/>
      <c r="BX1217" s="23"/>
      <c r="BY1217" s="23"/>
      <c r="BZ1217" s="23"/>
      <c r="CA1217" s="23"/>
      <c r="CB1217" s="23"/>
      <c r="CC1217" s="23"/>
      <c r="CD1217" s="23"/>
      <c r="CE1217" s="23"/>
      <c r="CF1217" s="23"/>
      <c r="CG1217" s="23"/>
      <c r="CH1217" s="23"/>
      <c r="CI1217" s="23"/>
      <c r="CJ1217" s="23"/>
      <c r="CK1217" s="23"/>
    </row>
    <row r="1218" spans="1:89">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c r="AV1218" s="23"/>
      <c r="AW1218" s="23"/>
      <c r="AX1218" s="23"/>
      <c r="AY1218" s="23"/>
      <c r="AZ1218" s="23"/>
      <c r="BA1218" s="23"/>
      <c r="BB1218" s="23"/>
      <c r="BC1218" s="23"/>
      <c r="BD1218" s="23"/>
      <c r="BE1218" s="23"/>
      <c r="BF1218" s="23"/>
      <c r="BG1218" s="23"/>
      <c r="BH1218" s="23"/>
      <c r="BI1218" s="23"/>
      <c r="BJ1218" s="23"/>
      <c r="BK1218" s="23"/>
      <c r="BL1218" s="23"/>
      <c r="BM1218" s="23"/>
      <c r="BN1218" s="23"/>
      <c r="BO1218" s="23"/>
      <c r="BP1218" s="23"/>
      <c r="BQ1218" s="23"/>
      <c r="BR1218" s="23"/>
      <c r="BS1218" s="23"/>
      <c r="BT1218" s="23"/>
      <c r="BU1218" s="23"/>
      <c r="BV1218" s="23"/>
      <c r="BW1218" s="23"/>
      <c r="BX1218" s="23"/>
      <c r="BY1218" s="23"/>
      <c r="BZ1218" s="23"/>
      <c r="CA1218" s="23"/>
      <c r="CB1218" s="23"/>
      <c r="CC1218" s="23"/>
      <c r="CD1218" s="23"/>
      <c r="CE1218" s="23"/>
      <c r="CF1218" s="23"/>
      <c r="CG1218" s="23"/>
      <c r="CH1218" s="23"/>
      <c r="CI1218" s="23"/>
      <c r="CJ1218" s="23"/>
      <c r="CK1218" s="23"/>
    </row>
    <row r="1219" spans="1:8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c r="AV1219" s="23"/>
      <c r="AW1219" s="23"/>
      <c r="AX1219" s="23"/>
      <c r="AY1219" s="23"/>
      <c r="AZ1219" s="23"/>
      <c r="BA1219" s="23"/>
      <c r="BB1219" s="23"/>
      <c r="BC1219" s="23"/>
      <c r="BD1219" s="23"/>
      <c r="BE1219" s="23"/>
      <c r="BF1219" s="23"/>
      <c r="BG1219" s="23"/>
      <c r="BH1219" s="23"/>
      <c r="BI1219" s="23"/>
      <c r="BJ1219" s="23"/>
      <c r="BK1219" s="23"/>
      <c r="BL1219" s="23"/>
      <c r="BM1219" s="23"/>
      <c r="BN1219" s="23"/>
      <c r="BO1219" s="23"/>
      <c r="BP1219" s="23"/>
      <c r="BQ1219" s="23"/>
      <c r="BR1219" s="23"/>
      <c r="BS1219" s="23"/>
      <c r="BT1219" s="23"/>
      <c r="BU1219" s="23"/>
      <c r="BV1219" s="23"/>
      <c r="BW1219" s="23"/>
      <c r="BX1219" s="23"/>
      <c r="BY1219" s="23"/>
      <c r="BZ1219" s="23"/>
      <c r="CA1219" s="23"/>
      <c r="CB1219" s="23"/>
      <c r="CC1219" s="23"/>
      <c r="CD1219" s="23"/>
      <c r="CE1219" s="23"/>
      <c r="CF1219" s="23"/>
      <c r="CG1219" s="23"/>
      <c r="CH1219" s="23"/>
      <c r="CI1219" s="23"/>
      <c r="CJ1219" s="23"/>
      <c r="CK1219" s="23"/>
    </row>
    <row r="1220" spans="1:89">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c r="AV1220" s="23"/>
      <c r="AW1220" s="23"/>
      <c r="AX1220" s="23"/>
      <c r="AY1220" s="23"/>
      <c r="AZ1220" s="23"/>
      <c r="BA1220" s="23"/>
      <c r="BB1220" s="23"/>
      <c r="BC1220" s="23"/>
      <c r="BD1220" s="23"/>
      <c r="BE1220" s="23"/>
      <c r="BF1220" s="23"/>
      <c r="BG1220" s="23"/>
      <c r="BH1220" s="23"/>
      <c r="BI1220" s="23"/>
      <c r="BJ1220" s="23"/>
      <c r="BK1220" s="23"/>
      <c r="BL1220" s="23"/>
      <c r="BM1220" s="23"/>
      <c r="BN1220" s="23"/>
      <c r="BO1220" s="23"/>
      <c r="BP1220" s="23"/>
      <c r="BQ1220" s="23"/>
      <c r="BR1220" s="23"/>
      <c r="BS1220" s="23"/>
      <c r="BT1220" s="23"/>
      <c r="BU1220" s="23"/>
      <c r="BV1220" s="23"/>
      <c r="BW1220" s="23"/>
      <c r="BX1220" s="23"/>
      <c r="BY1220" s="23"/>
      <c r="BZ1220" s="23"/>
      <c r="CA1220" s="23"/>
      <c r="CB1220" s="23"/>
      <c r="CC1220" s="23"/>
      <c r="CD1220" s="23"/>
      <c r="CE1220" s="23"/>
      <c r="CF1220" s="23"/>
      <c r="CG1220" s="23"/>
      <c r="CH1220" s="23"/>
      <c r="CI1220" s="23"/>
      <c r="CJ1220" s="23"/>
      <c r="CK1220" s="23"/>
    </row>
    <row r="1221" spans="1:89">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c r="AV1221" s="23"/>
      <c r="AW1221" s="23"/>
      <c r="AX1221" s="23"/>
      <c r="AY1221" s="23"/>
      <c r="AZ1221" s="23"/>
      <c r="BA1221" s="23"/>
      <c r="BB1221" s="23"/>
      <c r="BC1221" s="23"/>
      <c r="BD1221" s="23"/>
      <c r="BE1221" s="23"/>
      <c r="BF1221" s="23"/>
      <c r="BG1221" s="23"/>
      <c r="BH1221" s="23"/>
      <c r="BI1221" s="23"/>
      <c r="BJ1221" s="23"/>
      <c r="BK1221" s="23"/>
      <c r="BL1221" s="23"/>
      <c r="BM1221" s="23"/>
      <c r="BN1221" s="23"/>
      <c r="BO1221" s="23"/>
      <c r="BP1221" s="23"/>
      <c r="BQ1221" s="23"/>
      <c r="BR1221" s="23"/>
      <c r="BS1221" s="23"/>
      <c r="BT1221" s="23"/>
      <c r="BU1221" s="23"/>
      <c r="BV1221" s="23"/>
      <c r="BW1221" s="23"/>
      <c r="BX1221" s="23"/>
      <c r="BY1221" s="23"/>
      <c r="BZ1221" s="23"/>
      <c r="CA1221" s="23"/>
      <c r="CB1221" s="23"/>
      <c r="CC1221" s="23"/>
      <c r="CD1221" s="23"/>
      <c r="CE1221" s="23"/>
      <c r="CF1221" s="23"/>
      <c r="CG1221" s="23"/>
      <c r="CH1221" s="23"/>
      <c r="CI1221" s="23"/>
      <c r="CJ1221" s="23"/>
      <c r="CK1221" s="23"/>
    </row>
    <row r="1222" spans="1:89">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c r="AV1222" s="23"/>
      <c r="AW1222" s="23"/>
      <c r="AX1222" s="23"/>
      <c r="AY1222" s="23"/>
      <c r="AZ1222" s="23"/>
      <c r="BA1222" s="23"/>
      <c r="BB1222" s="23"/>
      <c r="BC1222" s="23"/>
      <c r="BD1222" s="23"/>
      <c r="BE1222" s="23"/>
      <c r="BF1222" s="23"/>
      <c r="BG1222" s="23"/>
      <c r="BH1222" s="23"/>
      <c r="BI1222" s="23"/>
      <c r="BJ1222" s="23"/>
      <c r="BK1222" s="23"/>
      <c r="BL1222" s="23"/>
      <c r="BM1222" s="23"/>
      <c r="BN1222" s="23"/>
      <c r="BO1222" s="23"/>
      <c r="BP1222" s="23"/>
      <c r="BQ1222" s="23"/>
      <c r="BR1222" s="23"/>
      <c r="BS1222" s="23"/>
      <c r="BT1222" s="23"/>
      <c r="BU1222" s="23"/>
      <c r="BV1222" s="23"/>
      <c r="BW1222" s="23"/>
      <c r="BX1222" s="23"/>
      <c r="BY1222" s="23"/>
      <c r="BZ1222" s="23"/>
      <c r="CA1222" s="23"/>
      <c r="CB1222" s="23"/>
      <c r="CC1222" s="23"/>
      <c r="CD1222" s="23"/>
      <c r="CE1222" s="23"/>
      <c r="CF1222" s="23"/>
      <c r="CG1222" s="23"/>
      <c r="CH1222" s="23"/>
      <c r="CI1222" s="23"/>
      <c r="CJ1222" s="23"/>
      <c r="CK1222" s="23"/>
    </row>
    <row r="1223" spans="1:89">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c r="AV1223" s="23"/>
      <c r="AW1223" s="23"/>
      <c r="AX1223" s="23"/>
      <c r="AY1223" s="23"/>
      <c r="AZ1223" s="23"/>
      <c r="BA1223" s="23"/>
      <c r="BB1223" s="23"/>
      <c r="BC1223" s="23"/>
      <c r="BD1223" s="23"/>
      <c r="BE1223" s="23"/>
      <c r="BF1223" s="23"/>
      <c r="BG1223" s="23"/>
      <c r="BH1223" s="23"/>
      <c r="BI1223" s="23"/>
      <c r="BJ1223" s="23"/>
      <c r="BK1223" s="23"/>
      <c r="BL1223" s="23"/>
      <c r="BM1223" s="23"/>
      <c r="BN1223" s="23"/>
      <c r="BO1223" s="23"/>
      <c r="BP1223" s="23"/>
      <c r="BQ1223" s="23"/>
      <c r="BR1223" s="23"/>
      <c r="BS1223" s="23"/>
      <c r="BT1223" s="23"/>
      <c r="BU1223" s="23"/>
      <c r="BV1223" s="23"/>
      <c r="BW1223" s="23"/>
      <c r="BX1223" s="23"/>
      <c r="BY1223" s="23"/>
      <c r="BZ1223" s="23"/>
      <c r="CA1223" s="23"/>
      <c r="CB1223" s="23"/>
      <c r="CC1223" s="23"/>
      <c r="CD1223" s="23"/>
      <c r="CE1223" s="23"/>
      <c r="CF1223" s="23"/>
      <c r="CG1223" s="23"/>
      <c r="CH1223" s="23"/>
      <c r="CI1223" s="23"/>
      <c r="CJ1223" s="23"/>
      <c r="CK1223" s="23"/>
    </row>
    <row r="1224" spans="1:89">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c r="AV1224" s="23"/>
      <c r="AW1224" s="23"/>
      <c r="AX1224" s="23"/>
      <c r="AY1224" s="23"/>
      <c r="AZ1224" s="23"/>
      <c r="BA1224" s="23"/>
      <c r="BB1224" s="23"/>
      <c r="BC1224" s="23"/>
      <c r="BD1224" s="23"/>
      <c r="BE1224" s="23"/>
      <c r="BF1224" s="23"/>
      <c r="BG1224" s="23"/>
      <c r="BH1224" s="23"/>
      <c r="BI1224" s="23"/>
      <c r="BJ1224" s="23"/>
      <c r="BK1224" s="23"/>
      <c r="BL1224" s="23"/>
      <c r="BM1224" s="23"/>
      <c r="BN1224" s="23"/>
      <c r="BO1224" s="23"/>
      <c r="BP1224" s="23"/>
      <c r="BQ1224" s="23"/>
      <c r="BR1224" s="23"/>
      <c r="BS1224" s="23"/>
      <c r="BT1224" s="23"/>
      <c r="BU1224" s="23"/>
      <c r="BV1224" s="23"/>
      <c r="BW1224" s="23"/>
      <c r="BX1224" s="23"/>
      <c r="BY1224" s="23"/>
      <c r="BZ1224" s="23"/>
      <c r="CA1224" s="23"/>
      <c r="CB1224" s="23"/>
      <c r="CC1224" s="23"/>
      <c r="CD1224" s="23"/>
      <c r="CE1224" s="23"/>
      <c r="CF1224" s="23"/>
      <c r="CG1224" s="23"/>
      <c r="CH1224" s="23"/>
      <c r="CI1224" s="23"/>
      <c r="CJ1224" s="23"/>
      <c r="CK1224" s="23"/>
    </row>
    <row r="1225" spans="1:89">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c r="AV1225" s="23"/>
      <c r="AW1225" s="23"/>
      <c r="AX1225" s="23"/>
      <c r="AY1225" s="23"/>
      <c r="AZ1225" s="23"/>
      <c r="BA1225" s="23"/>
      <c r="BB1225" s="23"/>
      <c r="BC1225" s="23"/>
      <c r="BD1225" s="23"/>
      <c r="BE1225" s="23"/>
      <c r="BF1225" s="23"/>
      <c r="BG1225" s="23"/>
      <c r="BH1225" s="23"/>
      <c r="BI1225" s="23"/>
      <c r="BJ1225" s="23"/>
      <c r="BK1225" s="23"/>
      <c r="BL1225" s="23"/>
      <c r="BM1225" s="23"/>
      <c r="BN1225" s="23"/>
      <c r="BO1225" s="23"/>
      <c r="BP1225" s="23"/>
      <c r="BQ1225" s="23"/>
      <c r="BR1225" s="23"/>
      <c r="BS1225" s="23"/>
      <c r="BT1225" s="23"/>
      <c r="BU1225" s="23"/>
      <c r="BV1225" s="23"/>
      <c r="BW1225" s="23"/>
      <c r="BX1225" s="23"/>
      <c r="BY1225" s="23"/>
      <c r="BZ1225" s="23"/>
      <c r="CA1225" s="23"/>
      <c r="CB1225" s="23"/>
      <c r="CC1225" s="23"/>
      <c r="CD1225" s="23"/>
      <c r="CE1225" s="23"/>
      <c r="CF1225" s="23"/>
      <c r="CG1225" s="23"/>
      <c r="CH1225" s="23"/>
      <c r="CI1225" s="23"/>
      <c r="CJ1225" s="23"/>
      <c r="CK1225" s="23"/>
    </row>
    <row r="1226" spans="1:89">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c r="AV1226" s="23"/>
      <c r="AW1226" s="23"/>
      <c r="AX1226" s="23"/>
      <c r="AY1226" s="23"/>
      <c r="AZ1226" s="23"/>
      <c r="BA1226" s="23"/>
      <c r="BB1226" s="23"/>
      <c r="BC1226" s="23"/>
      <c r="BD1226" s="23"/>
      <c r="BE1226" s="23"/>
      <c r="BF1226" s="23"/>
      <c r="BG1226" s="23"/>
      <c r="BH1226" s="23"/>
      <c r="BI1226" s="23"/>
      <c r="BJ1226" s="23"/>
      <c r="BK1226" s="23"/>
      <c r="BL1226" s="23"/>
      <c r="BM1226" s="23"/>
      <c r="BN1226" s="23"/>
      <c r="BO1226" s="23"/>
      <c r="BP1226" s="23"/>
      <c r="BQ1226" s="23"/>
      <c r="BR1226" s="23"/>
      <c r="BS1226" s="23"/>
      <c r="BT1226" s="23"/>
      <c r="BU1226" s="23"/>
      <c r="BV1226" s="23"/>
      <c r="BW1226" s="23"/>
      <c r="BX1226" s="23"/>
      <c r="BY1226" s="23"/>
      <c r="BZ1226" s="23"/>
      <c r="CA1226" s="23"/>
      <c r="CB1226" s="23"/>
      <c r="CC1226" s="23"/>
      <c r="CD1226" s="23"/>
      <c r="CE1226" s="23"/>
      <c r="CF1226" s="23"/>
      <c r="CG1226" s="23"/>
      <c r="CH1226" s="23"/>
      <c r="CI1226" s="23"/>
      <c r="CJ1226" s="23"/>
      <c r="CK1226" s="23"/>
    </row>
    <row r="1227" spans="1:89">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c r="AV1227" s="23"/>
      <c r="AW1227" s="23"/>
      <c r="AX1227" s="23"/>
      <c r="AY1227" s="23"/>
      <c r="AZ1227" s="23"/>
      <c r="BA1227" s="23"/>
      <c r="BB1227" s="23"/>
      <c r="BC1227" s="23"/>
      <c r="BD1227" s="23"/>
      <c r="BE1227" s="23"/>
      <c r="BF1227" s="23"/>
      <c r="BG1227" s="23"/>
      <c r="BH1227" s="23"/>
      <c r="BI1227" s="23"/>
      <c r="BJ1227" s="23"/>
      <c r="BK1227" s="23"/>
      <c r="BL1227" s="23"/>
      <c r="BM1227" s="23"/>
      <c r="BN1227" s="23"/>
      <c r="BO1227" s="23"/>
      <c r="BP1227" s="23"/>
      <c r="BQ1227" s="23"/>
      <c r="BR1227" s="23"/>
      <c r="BS1227" s="23"/>
      <c r="BT1227" s="23"/>
      <c r="BU1227" s="23"/>
      <c r="BV1227" s="23"/>
      <c r="BW1227" s="23"/>
      <c r="BX1227" s="23"/>
      <c r="BY1227" s="23"/>
      <c r="BZ1227" s="23"/>
      <c r="CA1227" s="23"/>
      <c r="CB1227" s="23"/>
      <c r="CC1227" s="23"/>
      <c r="CD1227" s="23"/>
      <c r="CE1227" s="23"/>
      <c r="CF1227" s="23"/>
      <c r="CG1227" s="23"/>
      <c r="CH1227" s="23"/>
      <c r="CI1227" s="23"/>
      <c r="CJ1227" s="23"/>
      <c r="CK1227" s="23"/>
    </row>
    <row r="1228" spans="1:89">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c r="AV1228" s="23"/>
      <c r="AW1228" s="23"/>
      <c r="AX1228" s="23"/>
      <c r="AY1228" s="23"/>
      <c r="AZ1228" s="23"/>
      <c r="BA1228" s="23"/>
      <c r="BB1228" s="23"/>
      <c r="BC1228" s="23"/>
      <c r="BD1228" s="23"/>
      <c r="BE1228" s="23"/>
      <c r="BF1228" s="23"/>
      <c r="BG1228" s="23"/>
      <c r="BH1228" s="23"/>
      <c r="BI1228" s="23"/>
      <c r="BJ1228" s="23"/>
      <c r="BK1228" s="23"/>
      <c r="BL1228" s="23"/>
      <c r="BM1228" s="23"/>
      <c r="BN1228" s="23"/>
      <c r="BO1228" s="23"/>
      <c r="BP1228" s="23"/>
      <c r="BQ1228" s="23"/>
      <c r="BR1228" s="23"/>
      <c r="BS1228" s="23"/>
      <c r="BT1228" s="23"/>
      <c r="BU1228" s="23"/>
      <c r="BV1228" s="23"/>
      <c r="BW1228" s="23"/>
      <c r="BX1228" s="23"/>
      <c r="BY1228" s="23"/>
      <c r="BZ1228" s="23"/>
      <c r="CA1228" s="23"/>
      <c r="CB1228" s="23"/>
      <c r="CC1228" s="23"/>
      <c r="CD1228" s="23"/>
      <c r="CE1228" s="23"/>
      <c r="CF1228" s="23"/>
      <c r="CG1228" s="23"/>
      <c r="CH1228" s="23"/>
      <c r="CI1228" s="23"/>
      <c r="CJ1228" s="23"/>
      <c r="CK1228" s="23"/>
    </row>
    <row r="1229" spans="1:89">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c r="AV1229" s="23"/>
      <c r="AW1229" s="23"/>
      <c r="AX1229" s="23"/>
      <c r="AY1229" s="23"/>
      <c r="AZ1229" s="23"/>
      <c r="BA1229" s="23"/>
      <c r="BB1229" s="23"/>
      <c r="BC1229" s="23"/>
      <c r="BD1229" s="23"/>
      <c r="BE1229" s="23"/>
      <c r="BF1229" s="23"/>
      <c r="BG1229" s="23"/>
      <c r="BH1229" s="23"/>
      <c r="BI1229" s="23"/>
      <c r="BJ1229" s="23"/>
      <c r="BK1229" s="23"/>
      <c r="BL1229" s="23"/>
      <c r="BM1229" s="23"/>
      <c r="BN1229" s="23"/>
      <c r="BO1229" s="23"/>
      <c r="BP1229" s="23"/>
      <c r="BQ1229" s="23"/>
      <c r="BR1229" s="23"/>
      <c r="BS1229" s="23"/>
      <c r="BT1229" s="23"/>
      <c r="BU1229" s="23"/>
      <c r="BV1229" s="23"/>
      <c r="BW1229" s="23"/>
      <c r="BX1229" s="23"/>
      <c r="BY1229" s="23"/>
      <c r="BZ1229" s="23"/>
      <c r="CA1229" s="23"/>
      <c r="CB1229" s="23"/>
      <c r="CC1229" s="23"/>
      <c r="CD1229" s="23"/>
      <c r="CE1229" s="23"/>
      <c r="CF1229" s="23"/>
      <c r="CG1229" s="23"/>
      <c r="CH1229" s="23"/>
      <c r="CI1229" s="23"/>
      <c r="CJ1229" s="23"/>
      <c r="CK1229" s="23"/>
    </row>
    <row r="1230" spans="1:89">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c r="AV1230" s="23"/>
      <c r="AW1230" s="23"/>
      <c r="AX1230" s="23"/>
      <c r="AY1230" s="23"/>
      <c r="AZ1230" s="23"/>
      <c r="BA1230" s="23"/>
      <c r="BB1230" s="23"/>
      <c r="BC1230" s="23"/>
      <c r="BD1230" s="23"/>
      <c r="BE1230" s="23"/>
      <c r="BF1230" s="23"/>
      <c r="BG1230" s="23"/>
      <c r="BH1230" s="23"/>
      <c r="BI1230" s="23"/>
      <c r="BJ1230" s="23"/>
      <c r="BK1230" s="23"/>
      <c r="BL1230" s="23"/>
      <c r="BM1230" s="23"/>
      <c r="BN1230" s="23"/>
      <c r="BO1230" s="23"/>
      <c r="BP1230" s="23"/>
      <c r="BQ1230" s="23"/>
      <c r="BR1230" s="23"/>
      <c r="BS1230" s="23"/>
      <c r="BT1230" s="23"/>
      <c r="BU1230" s="23"/>
      <c r="BV1230" s="23"/>
      <c r="BW1230" s="23"/>
      <c r="BX1230" s="23"/>
      <c r="BY1230" s="23"/>
      <c r="BZ1230" s="23"/>
      <c r="CA1230" s="23"/>
      <c r="CB1230" s="23"/>
      <c r="CC1230" s="23"/>
      <c r="CD1230" s="23"/>
      <c r="CE1230" s="23"/>
      <c r="CF1230" s="23"/>
      <c r="CG1230" s="23"/>
      <c r="CH1230" s="23"/>
      <c r="CI1230" s="23"/>
      <c r="CJ1230" s="23"/>
      <c r="CK1230" s="23"/>
    </row>
    <row r="1231" spans="1:89">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c r="AV1231" s="23"/>
      <c r="AW1231" s="23"/>
      <c r="AX1231" s="23"/>
      <c r="AY1231" s="23"/>
      <c r="AZ1231" s="23"/>
      <c r="BA1231" s="23"/>
      <c r="BB1231" s="23"/>
      <c r="BC1231" s="23"/>
      <c r="BD1231" s="23"/>
      <c r="BE1231" s="23"/>
      <c r="BF1231" s="23"/>
      <c r="BG1231" s="23"/>
      <c r="BH1231" s="23"/>
      <c r="BI1231" s="23"/>
      <c r="BJ1231" s="23"/>
      <c r="BK1231" s="23"/>
      <c r="BL1231" s="23"/>
      <c r="BM1231" s="23"/>
      <c r="BN1231" s="23"/>
      <c r="BO1231" s="23"/>
      <c r="BP1231" s="23"/>
      <c r="BQ1231" s="23"/>
      <c r="BR1231" s="23"/>
      <c r="BS1231" s="23"/>
      <c r="BT1231" s="23"/>
      <c r="BU1231" s="23"/>
      <c r="BV1231" s="23"/>
      <c r="BW1231" s="23"/>
      <c r="BX1231" s="23"/>
      <c r="BY1231" s="23"/>
      <c r="BZ1231" s="23"/>
      <c r="CA1231" s="23"/>
      <c r="CB1231" s="23"/>
      <c r="CC1231" s="23"/>
      <c r="CD1231" s="23"/>
      <c r="CE1231" s="23"/>
      <c r="CF1231" s="23"/>
      <c r="CG1231" s="23"/>
      <c r="CH1231" s="23"/>
      <c r="CI1231" s="23"/>
      <c r="CJ1231" s="23"/>
      <c r="CK1231" s="23"/>
    </row>
    <row r="1232" spans="1:89">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c r="AV1232" s="23"/>
      <c r="AW1232" s="23"/>
      <c r="AX1232" s="23"/>
      <c r="AY1232" s="23"/>
      <c r="AZ1232" s="23"/>
      <c r="BA1232" s="23"/>
      <c r="BB1232" s="23"/>
      <c r="BC1232" s="23"/>
      <c r="BD1232" s="23"/>
      <c r="BE1232" s="23"/>
      <c r="BF1232" s="23"/>
      <c r="BG1232" s="23"/>
      <c r="BH1232" s="23"/>
      <c r="BI1232" s="23"/>
      <c r="BJ1232" s="23"/>
      <c r="BK1232" s="23"/>
      <c r="BL1232" s="23"/>
      <c r="BM1232" s="23"/>
      <c r="BN1232" s="23"/>
      <c r="BO1232" s="23"/>
      <c r="BP1232" s="23"/>
      <c r="BQ1232" s="23"/>
      <c r="BR1232" s="23"/>
      <c r="BS1232" s="23"/>
      <c r="BT1232" s="23"/>
      <c r="BU1232" s="23"/>
      <c r="BV1232" s="23"/>
      <c r="BW1232" s="23"/>
      <c r="BX1232" s="23"/>
      <c r="BY1232" s="23"/>
      <c r="BZ1232" s="23"/>
      <c r="CA1232" s="23"/>
      <c r="CB1232" s="23"/>
      <c r="CC1232" s="23"/>
      <c r="CD1232" s="23"/>
      <c r="CE1232" s="23"/>
      <c r="CF1232" s="23"/>
      <c r="CG1232" s="23"/>
      <c r="CH1232" s="23"/>
      <c r="CI1232" s="23"/>
      <c r="CJ1232" s="23"/>
      <c r="CK1232" s="23"/>
    </row>
    <row r="1233" spans="1:89">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c r="AV1233" s="23"/>
      <c r="AW1233" s="23"/>
      <c r="AX1233" s="23"/>
      <c r="AY1233" s="23"/>
      <c r="AZ1233" s="23"/>
      <c r="BA1233" s="23"/>
      <c r="BB1233" s="23"/>
      <c r="BC1233" s="23"/>
      <c r="BD1233" s="23"/>
      <c r="BE1233" s="23"/>
      <c r="BF1233" s="23"/>
      <c r="BG1233" s="23"/>
      <c r="BH1233" s="23"/>
      <c r="BI1233" s="23"/>
      <c r="BJ1233" s="23"/>
      <c r="BK1233" s="23"/>
      <c r="BL1233" s="23"/>
      <c r="BM1233" s="23"/>
      <c r="BN1233" s="23"/>
      <c r="BO1233" s="23"/>
      <c r="BP1233" s="23"/>
      <c r="BQ1233" s="23"/>
      <c r="BR1233" s="23"/>
      <c r="BS1233" s="23"/>
      <c r="BT1233" s="23"/>
      <c r="BU1233" s="23"/>
      <c r="BV1233" s="23"/>
      <c r="BW1233" s="23"/>
      <c r="BX1233" s="23"/>
      <c r="BY1233" s="23"/>
      <c r="BZ1233" s="23"/>
      <c r="CA1233" s="23"/>
      <c r="CB1233" s="23"/>
      <c r="CC1233" s="23"/>
      <c r="CD1233" s="23"/>
      <c r="CE1233" s="23"/>
      <c r="CF1233" s="23"/>
      <c r="CG1233" s="23"/>
      <c r="CH1233" s="23"/>
      <c r="CI1233" s="23"/>
      <c r="CJ1233" s="23"/>
      <c r="CK1233" s="23"/>
    </row>
    <row r="1234" spans="1:89">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c r="AV1234" s="23"/>
      <c r="AW1234" s="23"/>
      <c r="AX1234" s="23"/>
      <c r="AY1234" s="23"/>
      <c r="AZ1234" s="23"/>
      <c r="BA1234" s="23"/>
      <c r="BB1234" s="23"/>
      <c r="BC1234" s="23"/>
      <c r="BD1234" s="23"/>
      <c r="BE1234" s="23"/>
      <c r="BF1234" s="23"/>
      <c r="BG1234" s="23"/>
      <c r="BH1234" s="23"/>
      <c r="BI1234" s="23"/>
      <c r="BJ1234" s="23"/>
      <c r="BK1234" s="23"/>
      <c r="BL1234" s="23"/>
      <c r="BM1234" s="23"/>
      <c r="BN1234" s="23"/>
      <c r="BO1234" s="23"/>
      <c r="BP1234" s="23"/>
      <c r="BQ1234" s="23"/>
      <c r="BR1234" s="23"/>
      <c r="BS1234" s="23"/>
      <c r="BT1234" s="23"/>
      <c r="BU1234" s="23"/>
      <c r="BV1234" s="23"/>
      <c r="BW1234" s="23"/>
      <c r="BX1234" s="23"/>
      <c r="BY1234" s="23"/>
      <c r="BZ1234" s="23"/>
      <c r="CA1234" s="23"/>
      <c r="CB1234" s="23"/>
      <c r="CC1234" s="23"/>
      <c r="CD1234" s="23"/>
      <c r="CE1234" s="23"/>
      <c r="CF1234" s="23"/>
      <c r="CG1234" s="23"/>
      <c r="CH1234" s="23"/>
      <c r="CI1234" s="23"/>
      <c r="CJ1234" s="23"/>
      <c r="CK1234" s="23"/>
    </row>
    <row r="1235" spans="1:89">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c r="AV1235" s="23"/>
      <c r="AW1235" s="23"/>
      <c r="AX1235" s="23"/>
      <c r="AY1235" s="23"/>
      <c r="AZ1235" s="23"/>
      <c r="BA1235" s="23"/>
      <c r="BB1235" s="23"/>
      <c r="BC1235" s="23"/>
      <c r="BD1235" s="23"/>
      <c r="BE1235" s="23"/>
      <c r="BF1235" s="23"/>
      <c r="BG1235" s="23"/>
      <c r="BH1235" s="23"/>
      <c r="BI1235" s="23"/>
      <c r="BJ1235" s="23"/>
      <c r="BK1235" s="23"/>
      <c r="BL1235" s="23"/>
      <c r="BM1235" s="23"/>
      <c r="BN1235" s="23"/>
      <c r="BO1235" s="23"/>
      <c r="BP1235" s="23"/>
      <c r="BQ1235" s="23"/>
      <c r="BR1235" s="23"/>
      <c r="BS1235" s="23"/>
      <c r="BT1235" s="23"/>
      <c r="BU1235" s="23"/>
      <c r="BV1235" s="23"/>
      <c r="BW1235" s="23"/>
      <c r="BX1235" s="23"/>
      <c r="BY1235" s="23"/>
      <c r="BZ1235" s="23"/>
      <c r="CA1235" s="23"/>
      <c r="CB1235" s="23"/>
      <c r="CC1235" s="23"/>
      <c r="CD1235" s="23"/>
      <c r="CE1235" s="23"/>
      <c r="CF1235" s="23"/>
      <c r="CG1235" s="23"/>
      <c r="CH1235" s="23"/>
      <c r="CI1235" s="23"/>
      <c r="CJ1235" s="23"/>
      <c r="CK1235" s="23"/>
    </row>
    <row r="1236" spans="1:89">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c r="AV1236" s="23"/>
      <c r="AW1236" s="23"/>
      <c r="AX1236" s="23"/>
      <c r="AY1236" s="23"/>
      <c r="AZ1236" s="23"/>
      <c r="BA1236" s="23"/>
      <c r="BB1236" s="23"/>
      <c r="BC1236" s="23"/>
      <c r="BD1236" s="23"/>
      <c r="BE1236" s="23"/>
      <c r="BF1236" s="23"/>
      <c r="BG1236" s="23"/>
      <c r="BH1236" s="23"/>
      <c r="BI1236" s="23"/>
      <c r="BJ1236" s="23"/>
      <c r="BK1236" s="23"/>
      <c r="BL1236" s="23"/>
      <c r="BM1236" s="23"/>
      <c r="BN1236" s="23"/>
      <c r="BO1236" s="23"/>
      <c r="BP1236" s="23"/>
      <c r="BQ1236" s="23"/>
      <c r="BR1236" s="23"/>
      <c r="BS1236" s="23"/>
      <c r="BT1236" s="23"/>
      <c r="BU1236" s="23"/>
      <c r="BV1236" s="23"/>
      <c r="BW1236" s="23"/>
      <c r="BX1236" s="23"/>
      <c r="BY1236" s="23"/>
      <c r="BZ1236" s="23"/>
      <c r="CA1236" s="23"/>
      <c r="CB1236" s="23"/>
      <c r="CC1236" s="23"/>
      <c r="CD1236" s="23"/>
      <c r="CE1236" s="23"/>
      <c r="CF1236" s="23"/>
      <c r="CG1236" s="23"/>
      <c r="CH1236" s="23"/>
      <c r="CI1236" s="23"/>
      <c r="CJ1236" s="23"/>
      <c r="CK1236" s="23"/>
    </row>
    <row r="1237" spans="1:89">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c r="AV1237" s="23"/>
      <c r="AW1237" s="23"/>
      <c r="AX1237" s="23"/>
      <c r="AY1237" s="23"/>
      <c r="AZ1237" s="23"/>
      <c r="BA1237" s="23"/>
      <c r="BB1237" s="23"/>
      <c r="BC1237" s="23"/>
      <c r="BD1237" s="23"/>
      <c r="BE1237" s="23"/>
      <c r="BF1237" s="23"/>
      <c r="BG1237" s="23"/>
      <c r="BH1237" s="23"/>
      <c r="BI1237" s="23"/>
      <c r="BJ1237" s="23"/>
      <c r="BK1237" s="23"/>
      <c r="BL1237" s="23"/>
      <c r="BM1237" s="23"/>
      <c r="BN1237" s="23"/>
      <c r="BO1237" s="23"/>
      <c r="BP1237" s="23"/>
      <c r="BQ1237" s="23"/>
      <c r="BR1237" s="23"/>
      <c r="BS1237" s="23"/>
      <c r="BT1237" s="23"/>
      <c r="BU1237" s="23"/>
      <c r="BV1237" s="23"/>
      <c r="BW1237" s="23"/>
      <c r="BX1237" s="23"/>
      <c r="BY1237" s="23"/>
      <c r="BZ1237" s="23"/>
      <c r="CA1237" s="23"/>
      <c r="CB1237" s="23"/>
      <c r="CC1237" s="23"/>
      <c r="CD1237" s="23"/>
      <c r="CE1237" s="23"/>
      <c r="CF1237" s="23"/>
      <c r="CG1237" s="23"/>
      <c r="CH1237" s="23"/>
      <c r="CI1237" s="23"/>
      <c r="CJ1237" s="23"/>
      <c r="CK1237" s="23"/>
    </row>
    <row r="1238" spans="1:89">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c r="AV1238" s="23"/>
      <c r="AW1238" s="23"/>
      <c r="AX1238" s="23"/>
      <c r="AY1238" s="23"/>
      <c r="AZ1238" s="23"/>
      <c r="BA1238" s="23"/>
      <c r="BB1238" s="23"/>
      <c r="BC1238" s="23"/>
      <c r="BD1238" s="23"/>
      <c r="BE1238" s="23"/>
      <c r="BF1238" s="23"/>
      <c r="BG1238" s="23"/>
      <c r="BH1238" s="23"/>
      <c r="BI1238" s="23"/>
      <c r="BJ1238" s="23"/>
      <c r="BK1238" s="23"/>
      <c r="BL1238" s="23"/>
      <c r="BM1238" s="23"/>
      <c r="BN1238" s="23"/>
      <c r="BO1238" s="23"/>
      <c r="BP1238" s="23"/>
      <c r="BQ1238" s="23"/>
      <c r="BR1238" s="23"/>
      <c r="BS1238" s="23"/>
      <c r="BT1238" s="23"/>
      <c r="BU1238" s="23"/>
      <c r="BV1238" s="23"/>
      <c r="BW1238" s="23"/>
      <c r="BX1238" s="23"/>
      <c r="BY1238" s="23"/>
      <c r="BZ1238" s="23"/>
      <c r="CA1238" s="23"/>
      <c r="CB1238" s="23"/>
      <c r="CC1238" s="23"/>
      <c r="CD1238" s="23"/>
      <c r="CE1238" s="23"/>
      <c r="CF1238" s="23"/>
      <c r="CG1238" s="23"/>
      <c r="CH1238" s="23"/>
      <c r="CI1238" s="23"/>
      <c r="CJ1238" s="23"/>
      <c r="CK1238" s="23"/>
    </row>
    <row r="1239" spans="1:89">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c r="AV1239" s="23"/>
      <c r="AW1239" s="23"/>
      <c r="AX1239" s="23"/>
      <c r="AY1239" s="23"/>
      <c r="AZ1239" s="23"/>
      <c r="BA1239" s="23"/>
      <c r="BB1239" s="23"/>
      <c r="BC1239" s="23"/>
      <c r="BD1239" s="23"/>
      <c r="BE1239" s="23"/>
      <c r="BF1239" s="23"/>
      <c r="BG1239" s="23"/>
      <c r="BH1239" s="23"/>
      <c r="BI1239" s="23"/>
      <c r="BJ1239" s="23"/>
      <c r="BK1239" s="23"/>
      <c r="BL1239" s="23"/>
      <c r="BM1239" s="23"/>
      <c r="BN1239" s="23"/>
      <c r="BO1239" s="23"/>
      <c r="BP1239" s="23"/>
      <c r="BQ1239" s="23"/>
      <c r="BR1239" s="23"/>
      <c r="BS1239" s="23"/>
      <c r="BT1239" s="23"/>
      <c r="BU1239" s="23"/>
      <c r="BV1239" s="23"/>
      <c r="BW1239" s="23"/>
      <c r="BX1239" s="23"/>
      <c r="BY1239" s="23"/>
      <c r="BZ1239" s="23"/>
      <c r="CA1239" s="23"/>
      <c r="CB1239" s="23"/>
      <c r="CC1239" s="23"/>
      <c r="CD1239" s="23"/>
      <c r="CE1239" s="23"/>
      <c r="CF1239" s="23"/>
      <c r="CG1239" s="23"/>
      <c r="CH1239" s="23"/>
      <c r="CI1239" s="23"/>
      <c r="CJ1239" s="23"/>
      <c r="CK1239" s="23"/>
    </row>
    <row r="1240" spans="1:89">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c r="AV1240" s="23"/>
      <c r="AW1240" s="23"/>
      <c r="AX1240" s="23"/>
      <c r="AY1240" s="23"/>
      <c r="AZ1240" s="23"/>
      <c r="BA1240" s="23"/>
      <c r="BB1240" s="23"/>
      <c r="BC1240" s="23"/>
      <c r="BD1240" s="23"/>
      <c r="BE1240" s="23"/>
      <c r="BF1240" s="23"/>
      <c r="BG1240" s="23"/>
      <c r="BH1240" s="23"/>
      <c r="BI1240" s="23"/>
      <c r="BJ1240" s="23"/>
      <c r="BK1240" s="23"/>
      <c r="BL1240" s="23"/>
      <c r="BM1240" s="23"/>
      <c r="BN1240" s="23"/>
      <c r="BO1240" s="23"/>
      <c r="BP1240" s="23"/>
      <c r="BQ1240" s="23"/>
      <c r="BR1240" s="23"/>
      <c r="BS1240" s="23"/>
      <c r="BT1240" s="23"/>
      <c r="BU1240" s="23"/>
      <c r="BV1240" s="23"/>
      <c r="BW1240" s="23"/>
      <c r="BX1240" s="23"/>
      <c r="BY1240" s="23"/>
      <c r="BZ1240" s="23"/>
      <c r="CA1240" s="23"/>
      <c r="CB1240" s="23"/>
      <c r="CC1240" s="23"/>
      <c r="CD1240" s="23"/>
      <c r="CE1240" s="23"/>
      <c r="CF1240" s="23"/>
      <c r="CG1240" s="23"/>
      <c r="CH1240" s="23"/>
      <c r="CI1240" s="23"/>
      <c r="CJ1240" s="23"/>
      <c r="CK1240" s="23"/>
    </row>
    <row r="1241" spans="1:89">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c r="AV1241" s="23"/>
      <c r="AW1241" s="23"/>
      <c r="AX1241" s="23"/>
      <c r="AY1241" s="23"/>
      <c r="AZ1241" s="23"/>
      <c r="BA1241" s="23"/>
      <c r="BB1241" s="23"/>
      <c r="BC1241" s="23"/>
      <c r="BD1241" s="23"/>
      <c r="BE1241" s="23"/>
      <c r="BF1241" s="23"/>
      <c r="BG1241" s="23"/>
      <c r="BH1241" s="23"/>
      <c r="BI1241" s="23"/>
      <c r="BJ1241" s="23"/>
      <c r="BK1241" s="23"/>
      <c r="BL1241" s="23"/>
      <c r="BM1241" s="23"/>
      <c r="BN1241" s="23"/>
      <c r="BO1241" s="23"/>
      <c r="BP1241" s="23"/>
      <c r="BQ1241" s="23"/>
      <c r="BR1241" s="23"/>
      <c r="BS1241" s="23"/>
      <c r="BT1241" s="23"/>
      <c r="BU1241" s="23"/>
      <c r="BV1241" s="23"/>
      <c r="BW1241" s="23"/>
      <c r="BX1241" s="23"/>
      <c r="BY1241" s="23"/>
      <c r="BZ1241" s="23"/>
      <c r="CA1241" s="23"/>
      <c r="CB1241" s="23"/>
      <c r="CC1241" s="23"/>
      <c r="CD1241" s="23"/>
      <c r="CE1241" s="23"/>
      <c r="CF1241" s="23"/>
      <c r="CG1241" s="23"/>
      <c r="CH1241" s="23"/>
      <c r="CI1241" s="23"/>
      <c r="CJ1241" s="23"/>
      <c r="CK1241" s="23"/>
    </row>
    <row r="1242" spans="1:89">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c r="AV1242" s="23"/>
      <c r="AW1242" s="23"/>
      <c r="AX1242" s="23"/>
      <c r="AY1242" s="23"/>
      <c r="AZ1242" s="23"/>
      <c r="BA1242" s="23"/>
      <c r="BB1242" s="23"/>
      <c r="BC1242" s="23"/>
      <c r="BD1242" s="23"/>
      <c r="BE1242" s="23"/>
      <c r="BF1242" s="23"/>
      <c r="BG1242" s="23"/>
      <c r="BH1242" s="23"/>
      <c r="BI1242" s="23"/>
      <c r="BJ1242" s="23"/>
      <c r="BK1242" s="23"/>
      <c r="BL1242" s="23"/>
      <c r="BM1242" s="23"/>
      <c r="BN1242" s="23"/>
      <c r="BO1242" s="23"/>
      <c r="BP1242" s="23"/>
      <c r="BQ1242" s="23"/>
      <c r="BR1242" s="23"/>
      <c r="BS1242" s="23"/>
      <c r="BT1242" s="23"/>
      <c r="BU1242" s="23"/>
      <c r="BV1242" s="23"/>
      <c r="BW1242" s="23"/>
      <c r="BX1242" s="23"/>
      <c r="BY1242" s="23"/>
      <c r="BZ1242" s="23"/>
      <c r="CA1242" s="23"/>
      <c r="CB1242" s="23"/>
      <c r="CC1242" s="23"/>
      <c r="CD1242" s="23"/>
      <c r="CE1242" s="23"/>
      <c r="CF1242" s="23"/>
      <c r="CG1242" s="23"/>
      <c r="CH1242" s="23"/>
      <c r="CI1242" s="23"/>
      <c r="CJ1242" s="23"/>
      <c r="CK1242" s="23"/>
    </row>
    <row r="1243" spans="1:89">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c r="AV1243" s="23"/>
      <c r="AW1243" s="23"/>
      <c r="AX1243" s="23"/>
      <c r="AY1243" s="23"/>
      <c r="AZ1243" s="23"/>
      <c r="BA1243" s="23"/>
      <c r="BB1243" s="23"/>
      <c r="BC1243" s="23"/>
      <c r="BD1243" s="23"/>
      <c r="BE1243" s="23"/>
      <c r="BF1243" s="23"/>
      <c r="BG1243" s="23"/>
      <c r="BH1243" s="23"/>
      <c r="BI1243" s="23"/>
      <c r="BJ1243" s="23"/>
      <c r="BK1243" s="23"/>
      <c r="BL1243" s="23"/>
      <c r="BM1243" s="23"/>
      <c r="BN1243" s="23"/>
      <c r="BO1243" s="23"/>
      <c r="BP1243" s="23"/>
      <c r="BQ1243" s="23"/>
      <c r="BR1243" s="23"/>
      <c r="BS1243" s="23"/>
      <c r="BT1243" s="23"/>
      <c r="BU1243" s="23"/>
      <c r="BV1243" s="23"/>
      <c r="BW1243" s="23"/>
      <c r="BX1243" s="23"/>
      <c r="BY1243" s="23"/>
      <c r="BZ1243" s="23"/>
      <c r="CA1243" s="23"/>
      <c r="CB1243" s="23"/>
      <c r="CC1243" s="23"/>
      <c r="CD1243" s="23"/>
      <c r="CE1243" s="23"/>
      <c r="CF1243" s="23"/>
      <c r="CG1243" s="23"/>
      <c r="CH1243" s="23"/>
      <c r="CI1243" s="23"/>
      <c r="CJ1243" s="23"/>
      <c r="CK1243" s="23"/>
    </row>
    <row r="1244" spans="1:89">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c r="AV1244" s="23"/>
      <c r="AW1244" s="23"/>
      <c r="AX1244" s="23"/>
      <c r="AY1244" s="23"/>
      <c r="AZ1244" s="23"/>
      <c r="BA1244" s="23"/>
      <c r="BB1244" s="23"/>
      <c r="BC1244" s="23"/>
      <c r="BD1244" s="23"/>
      <c r="BE1244" s="23"/>
      <c r="BF1244" s="23"/>
      <c r="BG1244" s="23"/>
      <c r="BH1244" s="23"/>
      <c r="BI1244" s="23"/>
      <c r="BJ1244" s="23"/>
      <c r="BK1244" s="23"/>
      <c r="BL1244" s="23"/>
      <c r="BM1244" s="23"/>
      <c r="BN1244" s="23"/>
      <c r="BO1244" s="23"/>
      <c r="BP1244" s="23"/>
      <c r="BQ1244" s="23"/>
      <c r="BR1244" s="23"/>
      <c r="BS1244" s="23"/>
      <c r="BT1244" s="23"/>
      <c r="BU1244" s="23"/>
      <c r="BV1244" s="23"/>
      <c r="BW1244" s="23"/>
      <c r="BX1244" s="23"/>
      <c r="BY1244" s="23"/>
      <c r="BZ1244" s="23"/>
      <c r="CA1244" s="23"/>
      <c r="CB1244" s="23"/>
      <c r="CC1244" s="23"/>
      <c r="CD1244" s="23"/>
      <c r="CE1244" s="23"/>
      <c r="CF1244" s="23"/>
      <c r="CG1244" s="23"/>
      <c r="CH1244" s="23"/>
      <c r="CI1244" s="23"/>
      <c r="CJ1244" s="23"/>
      <c r="CK1244" s="23"/>
    </row>
    <row r="1245" spans="1:89">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c r="AV1245" s="23"/>
      <c r="AW1245" s="23"/>
      <c r="AX1245" s="23"/>
      <c r="AY1245" s="23"/>
      <c r="AZ1245" s="23"/>
      <c r="BA1245" s="23"/>
      <c r="BB1245" s="23"/>
      <c r="BC1245" s="23"/>
      <c r="BD1245" s="23"/>
      <c r="BE1245" s="23"/>
      <c r="BF1245" s="23"/>
      <c r="BG1245" s="23"/>
      <c r="BH1245" s="23"/>
      <c r="BI1245" s="23"/>
      <c r="BJ1245" s="23"/>
      <c r="BK1245" s="23"/>
      <c r="BL1245" s="23"/>
      <c r="BM1245" s="23"/>
      <c r="BN1245" s="23"/>
      <c r="BO1245" s="23"/>
      <c r="BP1245" s="23"/>
      <c r="BQ1245" s="23"/>
      <c r="BR1245" s="23"/>
      <c r="BS1245" s="23"/>
      <c r="BT1245" s="23"/>
      <c r="BU1245" s="23"/>
      <c r="BV1245" s="23"/>
      <c r="BW1245" s="23"/>
      <c r="BX1245" s="23"/>
      <c r="BY1245" s="23"/>
      <c r="BZ1245" s="23"/>
      <c r="CA1245" s="23"/>
      <c r="CB1245" s="23"/>
      <c r="CC1245" s="23"/>
      <c r="CD1245" s="23"/>
      <c r="CE1245" s="23"/>
      <c r="CF1245" s="23"/>
      <c r="CG1245" s="23"/>
      <c r="CH1245" s="23"/>
      <c r="CI1245" s="23"/>
      <c r="CJ1245" s="23"/>
      <c r="CK1245" s="23"/>
    </row>
    <row r="1246" spans="1:89">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c r="AV1246" s="23"/>
      <c r="AW1246" s="23"/>
      <c r="AX1246" s="23"/>
      <c r="AY1246" s="23"/>
      <c r="AZ1246" s="23"/>
      <c r="BA1246" s="23"/>
      <c r="BB1246" s="23"/>
      <c r="BC1246" s="23"/>
      <c r="BD1246" s="23"/>
      <c r="BE1246" s="23"/>
      <c r="BF1246" s="23"/>
      <c r="BG1246" s="23"/>
      <c r="BH1246" s="23"/>
      <c r="BI1246" s="23"/>
      <c r="BJ1246" s="23"/>
      <c r="BK1246" s="23"/>
      <c r="BL1246" s="23"/>
      <c r="BM1246" s="23"/>
      <c r="BN1246" s="23"/>
      <c r="BO1246" s="23"/>
      <c r="BP1246" s="23"/>
      <c r="BQ1246" s="23"/>
      <c r="BR1246" s="23"/>
      <c r="BS1246" s="23"/>
      <c r="BT1246" s="23"/>
      <c r="BU1246" s="23"/>
      <c r="BV1246" s="23"/>
      <c r="BW1246" s="23"/>
      <c r="BX1246" s="23"/>
      <c r="BY1246" s="23"/>
      <c r="BZ1246" s="23"/>
      <c r="CA1246" s="23"/>
      <c r="CB1246" s="23"/>
      <c r="CC1246" s="23"/>
      <c r="CD1246" s="23"/>
      <c r="CE1246" s="23"/>
      <c r="CF1246" s="23"/>
      <c r="CG1246" s="23"/>
      <c r="CH1246" s="23"/>
      <c r="CI1246" s="23"/>
      <c r="CJ1246" s="23"/>
      <c r="CK1246" s="23"/>
    </row>
    <row r="1247" spans="1:89">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c r="AV1247" s="23"/>
      <c r="AW1247" s="23"/>
      <c r="AX1247" s="23"/>
      <c r="AY1247" s="23"/>
      <c r="AZ1247" s="23"/>
      <c r="BA1247" s="23"/>
      <c r="BB1247" s="23"/>
      <c r="BC1247" s="23"/>
      <c r="BD1247" s="23"/>
      <c r="BE1247" s="23"/>
      <c r="BF1247" s="23"/>
      <c r="BG1247" s="23"/>
      <c r="BH1247" s="23"/>
      <c r="BI1247" s="23"/>
      <c r="BJ1247" s="23"/>
      <c r="BK1247" s="23"/>
      <c r="BL1247" s="23"/>
      <c r="BM1247" s="23"/>
      <c r="BN1247" s="23"/>
      <c r="BO1247" s="23"/>
      <c r="BP1247" s="23"/>
      <c r="BQ1247" s="23"/>
      <c r="BR1247" s="23"/>
      <c r="BS1247" s="23"/>
      <c r="BT1247" s="23"/>
      <c r="BU1247" s="23"/>
      <c r="BV1247" s="23"/>
      <c r="BW1247" s="23"/>
      <c r="BX1247" s="23"/>
      <c r="BY1247" s="23"/>
      <c r="BZ1247" s="23"/>
      <c r="CA1247" s="23"/>
      <c r="CB1247" s="23"/>
      <c r="CC1247" s="23"/>
      <c r="CD1247" s="23"/>
      <c r="CE1247" s="23"/>
      <c r="CF1247" s="23"/>
      <c r="CG1247" s="23"/>
      <c r="CH1247" s="23"/>
      <c r="CI1247" s="23"/>
      <c r="CJ1247" s="23"/>
      <c r="CK1247" s="23"/>
    </row>
    <row r="1248" spans="1:89">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c r="AV1248" s="23"/>
      <c r="AW1248" s="23"/>
      <c r="AX1248" s="23"/>
      <c r="AY1248" s="23"/>
      <c r="AZ1248" s="23"/>
      <c r="BA1248" s="23"/>
      <c r="BB1248" s="23"/>
      <c r="BC1248" s="23"/>
      <c r="BD1248" s="23"/>
      <c r="BE1248" s="23"/>
      <c r="BF1248" s="23"/>
      <c r="BG1248" s="23"/>
      <c r="BH1248" s="23"/>
      <c r="BI1248" s="23"/>
      <c r="BJ1248" s="23"/>
      <c r="BK1248" s="23"/>
      <c r="BL1248" s="23"/>
      <c r="BM1248" s="23"/>
      <c r="BN1248" s="23"/>
      <c r="BO1248" s="23"/>
      <c r="BP1248" s="23"/>
      <c r="BQ1248" s="23"/>
      <c r="BR1248" s="23"/>
      <c r="BS1248" s="23"/>
      <c r="BT1248" s="23"/>
      <c r="BU1248" s="23"/>
      <c r="BV1248" s="23"/>
      <c r="BW1248" s="23"/>
      <c r="BX1248" s="23"/>
      <c r="BY1248" s="23"/>
      <c r="BZ1248" s="23"/>
      <c r="CA1248" s="23"/>
      <c r="CB1248" s="23"/>
      <c r="CC1248" s="23"/>
      <c r="CD1248" s="23"/>
      <c r="CE1248" s="23"/>
      <c r="CF1248" s="23"/>
      <c r="CG1248" s="23"/>
      <c r="CH1248" s="23"/>
      <c r="CI1248" s="23"/>
      <c r="CJ1248" s="23"/>
      <c r="CK1248" s="23"/>
    </row>
    <row r="1249" spans="1:89">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c r="AV1249" s="23"/>
      <c r="AW1249" s="23"/>
      <c r="AX1249" s="23"/>
      <c r="AY1249" s="23"/>
      <c r="AZ1249" s="23"/>
      <c r="BA1249" s="23"/>
      <c r="BB1249" s="23"/>
      <c r="BC1249" s="23"/>
      <c r="BD1249" s="23"/>
      <c r="BE1249" s="23"/>
      <c r="BF1249" s="23"/>
      <c r="BG1249" s="23"/>
      <c r="BH1249" s="23"/>
      <c r="BI1249" s="23"/>
      <c r="BJ1249" s="23"/>
      <c r="BK1249" s="23"/>
      <c r="BL1249" s="23"/>
      <c r="BM1249" s="23"/>
      <c r="BN1249" s="23"/>
      <c r="BO1249" s="23"/>
      <c r="BP1249" s="23"/>
      <c r="BQ1249" s="23"/>
      <c r="BR1249" s="23"/>
      <c r="BS1249" s="23"/>
      <c r="BT1249" s="23"/>
      <c r="BU1249" s="23"/>
      <c r="BV1249" s="23"/>
      <c r="BW1249" s="23"/>
      <c r="BX1249" s="23"/>
      <c r="BY1249" s="23"/>
      <c r="BZ1249" s="23"/>
      <c r="CA1249" s="23"/>
      <c r="CB1249" s="23"/>
      <c r="CC1249" s="23"/>
      <c r="CD1249" s="23"/>
      <c r="CE1249" s="23"/>
      <c r="CF1249" s="23"/>
      <c r="CG1249" s="23"/>
      <c r="CH1249" s="23"/>
      <c r="CI1249" s="23"/>
      <c r="CJ1249" s="23"/>
      <c r="CK1249" s="23"/>
    </row>
    <row r="1250" spans="1:89">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c r="AV1250" s="23"/>
      <c r="AW1250" s="23"/>
      <c r="AX1250" s="23"/>
      <c r="AY1250" s="23"/>
      <c r="AZ1250" s="23"/>
      <c r="BA1250" s="23"/>
      <c r="BB1250" s="23"/>
      <c r="BC1250" s="23"/>
      <c r="BD1250" s="23"/>
      <c r="BE1250" s="23"/>
      <c r="BF1250" s="23"/>
      <c r="BG1250" s="23"/>
      <c r="BH1250" s="23"/>
      <c r="BI1250" s="23"/>
      <c r="BJ1250" s="23"/>
      <c r="BK1250" s="23"/>
      <c r="BL1250" s="23"/>
      <c r="BM1250" s="23"/>
      <c r="BN1250" s="23"/>
      <c r="BO1250" s="23"/>
      <c r="BP1250" s="23"/>
      <c r="BQ1250" s="23"/>
      <c r="BR1250" s="23"/>
      <c r="BS1250" s="23"/>
      <c r="BT1250" s="23"/>
      <c r="BU1250" s="23"/>
      <c r="BV1250" s="23"/>
      <c r="BW1250" s="23"/>
      <c r="BX1250" s="23"/>
      <c r="BY1250" s="23"/>
      <c r="BZ1250" s="23"/>
      <c r="CA1250" s="23"/>
      <c r="CB1250" s="23"/>
      <c r="CC1250" s="23"/>
      <c r="CD1250" s="23"/>
      <c r="CE1250" s="23"/>
      <c r="CF1250" s="23"/>
      <c r="CG1250" s="23"/>
      <c r="CH1250" s="23"/>
      <c r="CI1250" s="23"/>
      <c r="CJ1250" s="23"/>
      <c r="CK1250" s="23"/>
    </row>
    <row r="1251" spans="1:89">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c r="AV1251" s="23"/>
      <c r="AW1251" s="23"/>
      <c r="AX1251" s="23"/>
      <c r="AY1251" s="23"/>
      <c r="AZ1251" s="23"/>
      <c r="BA1251" s="23"/>
      <c r="BB1251" s="23"/>
      <c r="BC1251" s="23"/>
      <c r="BD1251" s="23"/>
      <c r="BE1251" s="23"/>
      <c r="BF1251" s="23"/>
      <c r="BG1251" s="23"/>
      <c r="BH1251" s="23"/>
      <c r="BI1251" s="23"/>
      <c r="BJ1251" s="23"/>
      <c r="BK1251" s="23"/>
      <c r="BL1251" s="23"/>
      <c r="BM1251" s="23"/>
      <c r="BN1251" s="23"/>
      <c r="BO1251" s="23"/>
      <c r="BP1251" s="23"/>
      <c r="BQ1251" s="23"/>
      <c r="BR1251" s="23"/>
      <c r="BS1251" s="23"/>
      <c r="BT1251" s="23"/>
      <c r="BU1251" s="23"/>
      <c r="BV1251" s="23"/>
      <c r="BW1251" s="23"/>
      <c r="BX1251" s="23"/>
      <c r="BY1251" s="23"/>
      <c r="BZ1251" s="23"/>
      <c r="CA1251" s="23"/>
      <c r="CB1251" s="23"/>
      <c r="CC1251" s="23"/>
      <c r="CD1251" s="23"/>
      <c r="CE1251" s="23"/>
      <c r="CF1251" s="23"/>
      <c r="CG1251" s="23"/>
      <c r="CH1251" s="23"/>
      <c r="CI1251" s="23"/>
      <c r="CJ1251" s="23"/>
      <c r="CK1251" s="23"/>
    </row>
    <row r="1252" spans="1:89">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c r="AV1252" s="23"/>
      <c r="AW1252" s="23"/>
      <c r="AX1252" s="23"/>
      <c r="AY1252" s="23"/>
      <c r="AZ1252" s="23"/>
      <c r="BA1252" s="23"/>
      <c r="BB1252" s="23"/>
      <c r="BC1252" s="23"/>
      <c r="BD1252" s="23"/>
      <c r="BE1252" s="23"/>
      <c r="BF1252" s="23"/>
      <c r="BG1252" s="23"/>
      <c r="BH1252" s="23"/>
      <c r="BI1252" s="23"/>
      <c r="BJ1252" s="23"/>
      <c r="BK1252" s="23"/>
      <c r="BL1252" s="23"/>
      <c r="BM1252" s="23"/>
      <c r="BN1252" s="23"/>
      <c r="BO1252" s="23"/>
      <c r="BP1252" s="23"/>
      <c r="BQ1252" s="23"/>
      <c r="BR1252" s="23"/>
      <c r="BS1252" s="23"/>
      <c r="BT1252" s="23"/>
      <c r="BU1252" s="23"/>
      <c r="BV1252" s="23"/>
      <c r="BW1252" s="23"/>
      <c r="BX1252" s="23"/>
      <c r="BY1252" s="23"/>
      <c r="BZ1252" s="23"/>
      <c r="CA1252" s="23"/>
      <c r="CB1252" s="23"/>
      <c r="CC1252" s="23"/>
      <c r="CD1252" s="23"/>
      <c r="CE1252" s="23"/>
      <c r="CF1252" s="23"/>
      <c r="CG1252" s="23"/>
      <c r="CH1252" s="23"/>
      <c r="CI1252" s="23"/>
      <c r="CJ1252" s="23"/>
      <c r="CK1252" s="23"/>
    </row>
    <row r="1253" spans="1:89">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c r="AV1253" s="23"/>
      <c r="AW1253" s="23"/>
      <c r="AX1253" s="23"/>
      <c r="AY1253" s="23"/>
      <c r="AZ1253" s="23"/>
      <c r="BA1253" s="23"/>
      <c r="BB1253" s="23"/>
      <c r="BC1253" s="23"/>
      <c r="BD1253" s="23"/>
      <c r="BE1253" s="23"/>
      <c r="BF1253" s="23"/>
      <c r="BG1253" s="23"/>
      <c r="BH1253" s="23"/>
      <c r="BI1253" s="23"/>
      <c r="BJ1253" s="23"/>
      <c r="BK1253" s="23"/>
      <c r="BL1253" s="23"/>
      <c r="BM1253" s="23"/>
      <c r="BN1253" s="23"/>
      <c r="BO1253" s="23"/>
      <c r="BP1253" s="23"/>
      <c r="BQ1253" s="23"/>
      <c r="BR1253" s="23"/>
      <c r="BS1253" s="23"/>
      <c r="BT1253" s="23"/>
      <c r="BU1253" s="23"/>
      <c r="BV1253" s="23"/>
      <c r="BW1253" s="23"/>
      <c r="BX1253" s="23"/>
      <c r="BY1253" s="23"/>
      <c r="BZ1253" s="23"/>
      <c r="CA1253" s="23"/>
      <c r="CB1253" s="23"/>
      <c r="CC1253" s="23"/>
      <c r="CD1253" s="23"/>
      <c r="CE1253" s="23"/>
      <c r="CF1253" s="23"/>
      <c r="CG1253" s="23"/>
      <c r="CH1253" s="23"/>
      <c r="CI1253" s="23"/>
      <c r="CJ1253" s="23"/>
      <c r="CK1253" s="23"/>
    </row>
    <row r="1254" spans="1:89">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c r="AV1254" s="23"/>
      <c r="AW1254" s="23"/>
      <c r="AX1254" s="23"/>
      <c r="AY1254" s="23"/>
      <c r="AZ1254" s="23"/>
      <c r="BA1254" s="23"/>
      <c r="BB1254" s="23"/>
      <c r="BC1254" s="23"/>
      <c r="BD1254" s="23"/>
      <c r="BE1254" s="23"/>
      <c r="BF1254" s="23"/>
      <c r="BG1254" s="23"/>
      <c r="BH1254" s="23"/>
      <c r="BI1254" s="23"/>
      <c r="BJ1254" s="23"/>
      <c r="BK1254" s="23"/>
      <c r="BL1254" s="23"/>
      <c r="BM1254" s="23"/>
      <c r="BN1254" s="23"/>
      <c r="BO1254" s="23"/>
      <c r="BP1254" s="23"/>
      <c r="BQ1254" s="23"/>
      <c r="BR1254" s="23"/>
      <c r="BS1254" s="23"/>
      <c r="BT1254" s="23"/>
      <c r="BU1254" s="23"/>
      <c r="BV1254" s="23"/>
      <c r="BW1254" s="23"/>
      <c r="BX1254" s="23"/>
      <c r="BY1254" s="23"/>
      <c r="BZ1254" s="23"/>
      <c r="CA1254" s="23"/>
      <c r="CB1254" s="23"/>
      <c r="CC1254" s="23"/>
      <c r="CD1254" s="23"/>
      <c r="CE1254" s="23"/>
      <c r="CF1254" s="23"/>
      <c r="CG1254" s="23"/>
      <c r="CH1254" s="23"/>
      <c r="CI1254" s="23"/>
      <c r="CJ1254" s="23"/>
      <c r="CK1254" s="23"/>
    </row>
    <row r="1255" spans="1:89">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c r="AV1255" s="23"/>
      <c r="AW1255" s="23"/>
      <c r="AX1255" s="23"/>
      <c r="AY1255" s="23"/>
      <c r="AZ1255" s="23"/>
      <c r="BA1255" s="23"/>
      <c r="BB1255" s="23"/>
      <c r="BC1255" s="23"/>
      <c r="BD1255" s="23"/>
      <c r="BE1255" s="23"/>
      <c r="BF1255" s="23"/>
      <c r="BG1255" s="23"/>
      <c r="BH1255" s="23"/>
      <c r="BI1255" s="23"/>
      <c r="BJ1255" s="23"/>
      <c r="BK1255" s="23"/>
      <c r="BL1255" s="23"/>
      <c r="BM1255" s="23"/>
      <c r="BN1255" s="23"/>
      <c r="BO1255" s="23"/>
      <c r="BP1255" s="23"/>
      <c r="BQ1255" s="23"/>
      <c r="BR1255" s="23"/>
      <c r="BS1255" s="23"/>
      <c r="BT1255" s="23"/>
      <c r="BU1255" s="23"/>
      <c r="BV1255" s="23"/>
      <c r="BW1255" s="23"/>
      <c r="BX1255" s="23"/>
      <c r="BY1255" s="23"/>
      <c r="BZ1255" s="23"/>
      <c r="CA1255" s="23"/>
      <c r="CB1255" s="23"/>
      <c r="CC1255" s="23"/>
      <c r="CD1255" s="23"/>
      <c r="CE1255" s="23"/>
      <c r="CF1255" s="23"/>
      <c r="CG1255" s="23"/>
      <c r="CH1255" s="23"/>
      <c r="CI1255" s="23"/>
      <c r="CJ1255" s="23"/>
      <c r="CK1255" s="23"/>
    </row>
    <row r="1256" spans="1:89">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c r="AV1256" s="23"/>
      <c r="AW1256" s="23"/>
      <c r="AX1256" s="23"/>
      <c r="AY1256" s="23"/>
      <c r="AZ1256" s="23"/>
      <c r="BA1256" s="23"/>
      <c r="BB1256" s="23"/>
      <c r="BC1256" s="23"/>
      <c r="BD1256" s="23"/>
      <c r="BE1256" s="23"/>
      <c r="BF1256" s="23"/>
      <c r="BG1256" s="23"/>
      <c r="BH1256" s="23"/>
      <c r="BI1256" s="23"/>
      <c r="BJ1256" s="23"/>
      <c r="BK1256" s="23"/>
      <c r="BL1256" s="23"/>
      <c r="BM1256" s="23"/>
      <c r="BN1256" s="23"/>
      <c r="BO1256" s="23"/>
      <c r="BP1256" s="23"/>
      <c r="BQ1256" s="23"/>
      <c r="BR1256" s="23"/>
      <c r="BS1256" s="23"/>
      <c r="BT1256" s="23"/>
      <c r="BU1256" s="23"/>
      <c r="BV1256" s="23"/>
      <c r="BW1256" s="23"/>
      <c r="BX1256" s="23"/>
      <c r="BY1256" s="23"/>
      <c r="BZ1256" s="23"/>
      <c r="CA1256" s="23"/>
      <c r="CB1256" s="23"/>
      <c r="CC1256" s="23"/>
      <c r="CD1256" s="23"/>
      <c r="CE1256" s="23"/>
      <c r="CF1256" s="23"/>
      <c r="CG1256" s="23"/>
      <c r="CH1256" s="23"/>
      <c r="CI1256" s="23"/>
      <c r="CJ1256" s="23"/>
      <c r="CK1256" s="23"/>
    </row>
    <row r="1257" spans="1:89">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c r="AV1257" s="23"/>
      <c r="AW1257" s="23"/>
      <c r="AX1257" s="23"/>
      <c r="AY1257" s="23"/>
      <c r="AZ1257" s="23"/>
      <c r="BA1257" s="23"/>
      <c r="BB1257" s="23"/>
      <c r="BC1257" s="23"/>
      <c r="BD1257" s="23"/>
      <c r="BE1257" s="23"/>
      <c r="BF1257" s="23"/>
      <c r="BG1257" s="23"/>
      <c r="BH1257" s="23"/>
      <c r="BI1257" s="23"/>
      <c r="BJ1257" s="23"/>
      <c r="BK1257" s="23"/>
      <c r="BL1257" s="23"/>
      <c r="BM1257" s="23"/>
      <c r="BN1257" s="23"/>
      <c r="BO1257" s="23"/>
      <c r="BP1257" s="23"/>
      <c r="BQ1257" s="23"/>
      <c r="BR1257" s="23"/>
      <c r="BS1257" s="23"/>
      <c r="BT1257" s="23"/>
      <c r="BU1257" s="23"/>
      <c r="BV1257" s="23"/>
      <c r="BW1257" s="23"/>
      <c r="BX1257" s="23"/>
      <c r="BY1257" s="23"/>
      <c r="BZ1257" s="23"/>
      <c r="CA1257" s="23"/>
      <c r="CB1257" s="23"/>
      <c r="CC1257" s="23"/>
      <c r="CD1257" s="23"/>
      <c r="CE1257" s="23"/>
      <c r="CF1257" s="23"/>
      <c r="CG1257" s="23"/>
      <c r="CH1257" s="23"/>
      <c r="CI1257" s="23"/>
      <c r="CJ1257" s="23"/>
      <c r="CK1257" s="23"/>
    </row>
    <row r="1258" spans="1:89">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c r="AV1258" s="23"/>
      <c r="AW1258" s="23"/>
      <c r="AX1258" s="23"/>
      <c r="AY1258" s="23"/>
      <c r="AZ1258" s="23"/>
      <c r="BA1258" s="23"/>
      <c r="BB1258" s="23"/>
      <c r="BC1258" s="23"/>
      <c r="BD1258" s="23"/>
      <c r="BE1258" s="23"/>
      <c r="BF1258" s="23"/>
      <c r="BG1258" s="23"/>
      <c r="BH1258" s="23"/>
      <c r="BI1258" s="23"/>
      <c r="BJ1258" s="23"/>
      <c r="BK1258" s="23"/>
      <c r="BL1258" s="23"/>
      <c r="BM1258" s="23"/>
      <c r="BN1258" s="23"/>
      <c r="BO1258" s="23"/>
      <c r="BP1258" s="23"/>
      <c r="BQ1258" s="23"/>
      <c r="BR1258" s="23"/>
      <c r="BS1258" s="23"/>
      <c r="BT1258" s="23"/>
      <c r="BU1258" s="23"/>
      <c r="BV1258" s="23"/>
      <c r="BW1258" s="23"/>
      <c r="BX1258" s="23"/>
      <c r="BY1258" s="23"/>
      <c r="BZ1258" s="23"/>
      <c r="CA1258" s="23"/>
      <c r="CB1258" s="23"/>
      <c r="CC1258" s="23"/>
      <c r="CD1258" s="23"/>
      <c r="CE1258" s="23"/>
      <c r="CF1258" s="23"/>
      <c r="CG1258" s="23"/>
      <c r="CH1258" s="23"/>
      <c r="CI1258" s="23"/>
      <c r="CJ1258" s="23"/>
      <c r="CK1258" s="23"/>
    </row>
    <row r="1259" spans="1:89">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c r="AV1259" s="23"/>
      <c r="AW1259" s="23"/>
      <c r="AX1259" s="23"/>
      <c r="AY1259" s="23"/>
      <c r="AZ1259" s="23"/>
      <c r="BA1259" s="23"/>
      <c r="BB1259" s="23"/>
      <c r="BC1259" s="23"/>
      <c r="BD1259" s="23"/>
      <c r="BE1259" s="23"/>
      <c r="BF1259" s="23"/>
      <c r="BG1259" s="23"/>
      <c r="BH1259" s="23"/>
      <c r="BI1259" s="23"/>
      <c r="BJ1259" s="23"/>
      <c r="BK1259" s="23"/>
      <c r="BL1259" s="23"/>
      <c r="BM1259" s="23"/>
      <c r="BN1259" s="23"/>
      <c r="BO1259" s="23"/>
      <c r="BP1259" s="23"/>
      <c r="BQ1259" s="23"/>
      <c r="BR1259" s="23"/>
      <c r="BS1259" s="23"/>
      <c r="BT1259" s="23"/>
      <c r="BU1259" s="23"/>
      <c r="BV1259" s="23"/>
      <c r="BW1259" s="23"/>
      <c r="BX1259" s="23"/>
      <c r="BY1259" s="23"/>
      <c r="BZ1259" s="23"/>
      <c r="CA1259" s="23"/>
      <c r="CB1259" s="23"/>
      <c r="CC1259" s="23"/>
      <c r="CD1259" s="23"/>
      <c r="CE1259" s="23"/>
      <c r="CF1259" s="23"/>
      <c r="CG1259" s="23"/>
      <c r="CH1259" s="23"/>
      <c r="CI1259" s="23"/>
      <c r="CJ1259" s="23"/>
      <c r="CK1259" s="23"/>
    </row>
    <row r="1260" spans="1:89">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c r="AV1260" s="23"/>
      <c r="AW1260" s="23"/>
      <c r="AX1260" s="23"/>
      <c r="AY1260" s="23"/>
      <c r="AZ1260" s="23"/>
      <c r="BA1260" s="23"/>
      <c r="BB1260" s="23"/>
      <c r="BC1260" s="23"/>
      <c r="BD1260" s="23"/>
      <c r="BE1260" s="23"/>
      <c r="BF1260" s="23"/>
      <c r="BG1260" s="23"/>
      <c r="BH1260" s="23"/>
      <c r="BI1260" s="23"/>
      <c r="BJ1260" s="23"/>
      <c r="BK1260" s="23"/>
      <c r="BL1260" s="23"/>
      <c r="BM1260" s="23"/>
      <c r="BN1260" s="23"/>
      <c r="BO1260" s="23"/>
      <c r="BP1260" s="23"/>
      <c r="BQ1260" s="23"/>
      <c r="BR1260" s="23"/>
      <c r="BS1260" s="23"/>
      <c r="BT1260" s="23"/>
      <c r="BU1260" s="23"/>
      <c r="BV1260" s="23"/>
      <c r="BW1260" s="23"/>
      <c r="BX1260" s="23"/>
      <c r="BY1260" s="23"/>
      <c r="BZ1260" s="23"/>
      <c r="CA1260" s="23"/>
      <c r="CB1260" s="23"/>
      <c r="CC1260" s="23"/>
      <c r="CD1260" s="23"/>
      <c r="CE1260" s="23"/>
      <c r="CF1260" s="23"/>
      <c r="CG1260" s="23"/>
      <c r="CH1260" s="23"/>
      <c r="CI1260" s="23"/>
      <c r="CJ1260" s="23"/>
      <c r="CK1260" s="23"/>
    </row>
    <row r="1261" spans="1:89">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c r="AV1261" s="23"/>
      <c r="AW1261" s="23"/>
      <c r="AX1261" s="23"/>
      <c r="AY1261" s="23"/>
      <c r="AZ1261" s="23"/>
      <c r="BA1261" s="23"/>
      <c r="BB1261" s="23"/>
      <c r="BC1261" s="23"/>
      <c r="BD1261" s="23"/>
      <c r="BE1261" s="23"/>
      <c r="BF1261" s="23"/>
      <c r="BG1261" s="23"/>
      <c r="BH1261" s="23"/>
      <c r="BI1261" s="23"/>
      <c r="BJ1261" s="23"/>
      <c r="BK1261" s="23"/>
      <c r="BL1261" s="23"/>
      <c r="BM1261" s="23"/>
      <c r="BN1261" s="23"/>
      <c r="BO1261" s="23"/>
      <c r="BP1261" s="23"/>
      <c r="BQ1261" s="23"/>
      <c r="BR1261" s="23"/>
      <c r="BS1261" s="23"/>
      <c r="BT1261" s="23"/>
      <c r="BU1261" s="23"/>
      <c r="BV1261" s="23"/>
      <c r="BW1261" s="23"/>
      <c r="BX1261" s="23"/>
      <c r="BY1261" s="23"/>
      <c r="BZ1261" s="23"/>
      <c r="CA1261" s="23"/>
      <c r="CB1261" s="23"/>
      <c r="CC1261" s="23"/>
      <c r="CD1261" s="23"/>
      <c r="CE1261" s="23"/>
      <c r="CF1261" s="23"/>
      <c r="CG1261" s="23"/>
      <c r="CH1261" s="23"/>
      <c r="CI1261" s="23"/>
      <c r="CJ1261" s="23"/>
      <c r="CK1261" s="23"/>
    </row>
    <row r="1262" spans="1:89">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c r="AV1262" s="23"/>
      <c r="AW1262" s="23"/>
      <c r="AX1262" s="23"/>
      <c r="AY1262" s="23"/>
      <c r="AZ1262" s="23"/>
      <c r="BA1262" s="23"/>
      <c r="BB1262" s="23"/>
      <c r="BC1262" s="23"/>
      <c r="BD1262" s="23"/>
      <c r="BE1262" s="23"/>
      <c r="BF1262" s="23"/>
      <c r="BG1262" s="23"/>
      <c r="BH1262" s="23"/>
      <c r="BI1262" s="23"/>
      <c r="BJ1262" s="23"/>
      <c r="BK1262" s="23"/>
      <c r="BL1262" s="23"/>
      <c r="BM1262" s="23"/>
      <c r="BN1262" s="23"/>
      <c r="BO1262" s="23"/>
      <c r="BP1262" s="23"/>
      <c r="BQ1262" s="23"/>
      <c r="BR1262" s="23"/>
      <c r="BS1262" s="23"/>
      <c r="BT1262" s="23"/>
      <c r="BU1262" s="23"/>
      <c r="BV1262" s="23"/>
      <c r="BW1262" s="23"/>
      <c r="BX1262" s="23"/>
      <c r="BY1262" s="23"/>
      <c r="BZ1262" s="23"/>
      <c r="CA1262" s="23"/>
      <c r="CB1262" s="23"/>
      <c r="CC1262" s="23"/>
      <c r="CD1262" s="23"/>
      <c r="CE1262" s="23"/>
      <c r="CF1262" s="23"/>
      <c r="CG1262" s="23"/>
      <c r="CH1262" s="23"/>
      <c r="CI1262" s="23"/>
      <c r="CJ1262" s="23"/>
      <c r="CK1262" s="23"/>
    </row>
    <row r="1263" spans="1:89">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c r="AV1263" s="23"/>
      <c r="AW1263" s="23"/>
      <c r="AX1263" s="23"/>
      <c r="AY1263" s="23"/>
      <c r="AZ1263" s="23"/>
      <c r="BA1263" s="23"/>
      <c r="BB1263" s="23"/>
      <c r="BC1263" s="23"/>
      <c r="BD1263" s="23"/>
      <c r="BE1263" s="23"/>
      <c r="BF1263" s="23"/>
      <c r="BG1263" s="23"/>
      <c r="BH1263" s="23"/>
      <c r="BI1263" s="23"/>
      <c r="BJ1263" s="23"/>
      <c r="BK1263" s="23"/>
      <c r="BL1263" s="23"/>
      <c r="BM1263" s="23"/>
      <c r="BN1263" s="23"/>
      <c r="BO1263" s="23"/>
      <c r="BP1263" s="23"/>
      <c r="BQ1263" s="23"/>
      <c r="BR1263" s="23"/>
      <c r="BS1263" s="23"/>
      <c r="BT1263" s="23"/>
      <c r="BU1263" s="23"/>
      <c r="BV1263" s="23"/>
      <c r="BW1263" s="23"/>
      <c r="BX1263" s="23"/>
      <c r="BY1263" s="23"/>
      <c r="BZ1263" s="23"/>
      <c r="CA1263" s="23"/>
      <c r="CB1263" s="23"/>
      <c r="CC1263" s="23"/>
      <c r="CD1263" s="23"/>
      <c r="CE1263" s="23"/>
      <c r="CF1263" s="23"/>
      <c r="CG1263" s="23"/>
      <c r="CH1263" s="23"/>
      <c r="CI1263" s="23"/>
      <c r="CJ1263" s="23"/>
      <c r="CK1263" s="23"/>
    </row>
    <row r="1264" spans="1:89">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c r="AV1264" s="23"/>
      <c r="AW1264" s="23"/>
      <c r="AX1264" s="23"/>
      <c r="AY1264" s="23"/>
      <c r="AZ1264" s="23"/>
      <c r="BA1264" s="23"/>
      <c r="BB1264" s="23"/>
      <c r="BC1264" s="23"/>
      <c r="BD1264" s="23"/>
      <c r="BE1264" s="23"/>
      <c r="BF1264" s="23"/>
      <c r="BG1264" s="23"/>
      <c r="BH1264" s="23"/>
      <c r="BI1264" s="23"/>
      <c r="BJ1264" s="23"/>
      <c r="BK1264" s="23"/>
      <c r="BL1264" s="23"/>
      <c r="BM1264" s="23"/>
      <c r="BN1264" s="23"/>
      <c r="BO1264" s="23"/>
      <c r="BP1264" s="23"/>
      <c r="BQ1264" s="23"/>
      <c r="BR1264" s="23"/>
      <c r="BS1264" s="23"/>
      <c r="BT1264" s="23"/>
      <c r="BU1264" s="23"/>
      <c r="BV1264" s="23"/>
      <c r="BW1264" s="23"/>
      <c r="BX1264" s="23"/>
      <c r="BY1264" s="23"/>
      <c r="BZ1264" s="23"/>
      <c r="CA1264" s="23"/>
      <c r="CB1264" s="23"/>
      <c r="CC1264" s="23"/>
      <c r="CD1264" s="23"/>
      <c r="CE1264" s="23"/>
      <c r="CF1264" s="23"/>
      <c r="CG1264" s="23"/>
      <c r="CH1264" s="23"/>
      <c r="CI1264" s="23"/>
      <c r="CJ1264" s="23"/>
      <c r="CK1264" s="23"/>
    </row>
    <row r="1265" spans="1:89">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c r="AV1265" s="23"/>
      <c r="AW1265" s="23"/>
      <c r="AX1265" s="23"/>
      <c r="AY1265" s="23"/>
      <c r="AZ1265" s="23"/>
      <c r="BA1265" s="23"/>
      <c r="BB1265" s="23"/>
      <c r="BC1265" s="23"/>
      <c r="BD1265" s="23"/>
      <c r="BE1265" s="23"/>
      <c r="BF1265" s="23"/>
      <c r="BG1265" s="23"/>
      <c r="BH1265" s="23"/>
      <c r="BI1265" s="23"/>
      <c r="BJ1265" s="23"/>
      <c r="BK1265" s="23"/>
      <c r="BL1265" s="23"/>
      <c r="BM1265" s="23"/>
      <c r="BN1265" s="23"/>
      <c r="BO1265" s="23"/>
      <c r="BP1265" s="23"/>
      <c r="BQ1265" s="23"/>
      <c r="BR1265" s="23"/>
      <c r="BS1265" s="23"/>
      <c r="BT1265" s="23"/>
      <c r="BU1265" s="23"/>
      <c r="BV1265" s="23"/>
      <c r="BW1265" s="23"/>
      <c r="BX1265" s="23"/>
      <c r="BY1265" s="23"/>
      <c r="BZ1265" s="23"/>
      <c r="CA1265" s="23"/>
      <c r="CB1265" s="23"/>
      <c r="CC1265" s="23"/>
      <c r="CD1265" s="23"/>
      <c r="CE1265" s="23"/>
      <c r="CF1265" s="23"/>
      <c r="CG1265" s="23"/>
      <c r="CH1265" s="23"/>
      <c r="CI1265" s="23"/>
      <c r="CJ1265" s="23"/>
      <c r="CK1265" s="23"/>
    </row>
    <row r="1266" spans="1:89">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c r="AV1266" s="23"/>
      <c r="AW1266" s="23"/>
      <c r="AX1266" s="23"/>
      <c r="AY1266" s="23"/>
      <c r="AZ1266" s="23"/>
      <c r="BA1266" s="23"/>
      <c r="BB1266" s="23"/>
      <c r="BC1266" s="23"/>
      <c r="BD1266" s="23"/>
      <c r="BE1266" s="23"/>
      <c r="BF1266" s="23"/>
      <c r="BG1266" s="23"/>
      <c r="BH1266" s="23"/>
      <c r="BI1266" s="23"/>
      <c r="BJ1266" s="23"/>
      <c r="BK1266" s="23"/>
      <c r="BL1266" s="23"/>
      <c r="BM1266" s="23"/>
      <c r="BN1266" s="23"/>
      <c r="BO1266" s="23"/>
      <c r="BP1266" s="23"/>
      <c r="BQ1266" s="23"/>
      <c r="BR1266" s="23"/>
      <c r="BS1266" s="23"/>
      <c r="BT1266" s="23"/>
      <c r="BU1266" s="23"/>
      <c r="BV1266" s="23"/>
      <c r="BW1266" s="23"/>
      <c r="BX1266" s="23"/>
      <c r="BY1266" s="23"/>
      <c r="BZ1266" s="23"/>
      <c r="CA1266" s="23"/>
      <c r="CB1266" s="23"/>
      <c r="CC1266" s="23"/>
      <c r="CD1266" s="23"/>
      <c r="CE1266" s="23"/>
      <c r="CF1266" s="23"/>
      <c r="CG1266" s="23"/>
      <c r="CH1266" s="23"/>
      <c r="CI1266" s="23"/>
      <c r="CJ1266" s="23"/>
      <c r="CK1266" s="23"/>
    </row>
    <row r="1267" spans="1:89">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c r="AV1267" s="23"/>
      <c r="AW1267" s="23"/>
      <c r="AX1267" s="23"/>
      <c r="AY1267" s="23"/>
      <c r="AZ1267" s="23"/>
      <c r="BA1267" s="23"/>
      <c r="BB1267" s="23"/>
      <c r="BC1267" s="23"/>
      <c r="BD1267" s="23"/>
      <c r="BE1267" s="23"/>
      <c r="BF1267" s="23"/>
      <c r="BG1267" s="23"/>
      <c r="BH1267" s="23"/>
      <c r="BI1267" s="23"/>
      <c r="BJ1267" s="23"/>
      <c r="BK1267" s="23"/>
      <c r="BL1267" s="23"/>
      <c r="BM1267" s="23"/>
      <c r="BN1267" s="23"/>
      <c r="BO1267" s="23"/>
      <c r="BP1267" s="23"/>
      <c r="BQ1267" s="23"/>
      <c r="BR1267" s="23"/>
      <c r="BS1267" s="23"/>
      <c r="BT1267" s="23"/>
      <c r="BU1267" s="23"/>
      <c r="BV1267" s="23"/>
      <c r="BW1267" s="23"/>
      <c r="BX1267" s="23"/>
      <c r="BY1267" s="23"/>
      <c r="BZ1267" s="23"/>
      <c r="CA1267" s="23"/>
      <c r="CB1267" s="23"/>
      <c r="CC1267" s="23"/>
      <c r="CD1267" s="23"/>
      <c r="CE1267" s="23"/>
      <c r="CF1267" s="23"/>
      <c r="CG1267" s="23"/>
      <c r="CH1267" s="23"/>
      <c r="CI1267" s="23"/>
      <c r="CJ1267" s="23"/>
      <c r="CK1267" s="23"/>
    </row>
    <row r="1268" spans="1:89">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c r="AV1268" s="23"/>
      <c r="AW1268" s="23"/>
      <c r="AX1268" s="23"/>
      <c r="AY1268" s="23"/>
      <c r="AZ1268" s="23"/>
      <c r="BA1268" s="23"/>
      <c r="BB1268" s="23"/>
      <c r="BC1268" s="23"/>
      <c r="BD1268" s="23"/>
      <c r="BE1268" s="23"/>
      <c r="BF1268" s="23"/>
      <c r="BG1268" s="23"/>
      <c r="BH1268" s="23"/>
      <c r="BI1268" s="23"/>
      <c r="BJ1268" s="23"/>
      <c r="BK1268" s="23"/>
      <c r="BL1268" s="23"/>
      <c r="BM1268" s="23"/>
      <c r="BN1268" s="23"/>
      <c r="BO1268" s="23"/>
      <c r="BP1268" s="23"/>
      <c r="BQ1268" s="23"/>
      <c r="BR1268" s="23"/>
      <c r="BS1268" s="23"/>
      <c r="BT1268" s="23"/>
      <c r="BU1268" s="23"/>
      <c r="BV1268" s="23"/>
      <c r="BW1268" s="23"/>
      <c r="BX1268" s="23"/>
      <c r="BY1268" s="23"/>
      <c r="BZ1268" s="23"/>
      <c r="CA1268" s="23"/>
      <c r="CB1268" s="23"/>
      <c r="CC1268" s="23"/>
      <c r="CD1268" s="23"/>
      <c r="CE1268" s="23"/>
      <c r="CF1268" s="23"/>
      <c r="CG1268" s="23"/>
      <c r="CH1268" s="23"/>
      <c r="CI1268" s="23"/>
      <c r="CJ1268" s="23"/>
      <c r="CK1268" s="23"/>
    </row>
    <row r="1269" spans="1:89">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c r="AV1269" s="23"/>
      <c r="AW1269" s="23"/>
      <c r="AX1269" s="23"/>
      <c r="AY1269" s="23"/>
      <c r="AZ1269" s="23"/>
      <c r="BA1269" s="23"/>
      <c r="BB1269" s="23"/>
      <c r="BC1269" s="23"/>
      <c r="BD1269" s="23"/>
      <c r="BE1269" s="23"/>
      <c r="BF1269" s="23"/>
      <c r="BG1269" s="23"/>
      <c r="BH1269" s="23"/>
      <c r="BI1269" s="23"/>
      <c r="BJ1269" s="23"/>
      <c r="BK1269" s="23"/>
      <c r="BL1269" s="23"/>
      <c r="BM1269" s="23"/>
      <c r="BN1269" s="23"/>
      <c r="BO1269" s="23"/>
      <c r="BP1269" s="23"/>
      <c r="BQ1269" s="23"/>
      <c r="BR1269" s="23"/>
      <c r="BS1269" s="23"/>
      <c r="BT1269" s="23"/>
      <c r="BU1269" s="23"/>
      <c r="BV1269" s="23"/>
      <c r="BW1269" s="23"/>
      <c r="BX1269" s="23"/>
      <c r="BY1269" s="23"/>
      <c r="BZ1269" s="23"/>
      <c r="CA1269" s="23"/>
      <c r="CB1269" s="23"/>
      <c r="CC1269" s="23"/>
      <c r="CD1269" s="23"/>
      <c r="CE1269" s="23"/>
      <c r="CF1269" s="23"/>
      <c r="CG1269" s="23"/>
      <c r="CH1269" s="23"/>
      <c r="CI1269" s="23"/>
      <c r="CJ1269" s="23"/>
      <c r="CK1269" s="23"/>
    </row>
    <row r="1270" spans="1:89">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c r="AV1270" s="23"/>
      <c r="AW1270" s="23"/>
      <c r="AX1270" s="23"/>
      <c r="AY1270" s="23"/>
      <c r="AZ1270" s="23"/>
      <c r="BA1270" s="23"/>
      <c r="BB1270" s="23"/>
      <c r="BC1270" s="23"/>
      <c r="BD1270" s="23"/>
      <c r="BE1270" s="23"/>
      <c r="BF1270" s="23"/>
      <c r="BG1270" s="23"/>
      <c r="BH1270" s="23"/>
      <c r="BI1270" s="23"/>
      <c r="BJ1270" s="23"/>
      <c r="BK1270" s="23"/>
      <c r="BL1270" s="23"/>
      <c r="BM1270" s="23"/>
      <c r="BN1270" s="23"/>
      <c r="BO1270" s="23"/>
      <c r="BP1270" s="23"/>
      <c r="BQ1270" s="23"/>
      <c r="BR1270" s="23"/>
      <c r="BS1270" s="23"/>
      <c r="BT1270" s="23"/>
      <c r="BU1270" s="23"/>
      <c r="BV1270" s="23"/>
      <c r="BW1270" s="23"/>
      <c r="BX1270" s="23"/>
      <c r="BY1270" s="23"/>
      <c r="BZ1270" s="23"/>
      <c r="CA1270" s="23"/>
      <c r="CB1270" s="23"/>
      <c r="CC1270" s="23"/>
      <c r="CD1270" s="23"/>
      <c r="CE1270" s="23"/>
      <c r="CF1270" s="23"/>
      <c r="CG1270" s="23"/>
      <c r="CH1270" s="23"/>
      <c r="CI1270" s="23"/>
      <c r="CJ1270" s="23"/>
      <c r="CK1270" s="23"/>
    </row>
    <row r="1271" spans="1:89">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c r="AV1271" s="23"/>
      <c r="AW1271" s="23"/>
      <c r="AX1271" s="23"/>
      <c r="AY1271" s="23"/>
      <c r="AZ1271" s="23"/>
      <c r="BA1271" s="23"/>
      <c r="BB1271" s="23"/>
      <c r="BC1271" s="23"/>
      <c r="BD1271" s="23"/>
      <c r="BE1271" s="23"/>
      <c r="BF1271" s="23"/>
      <c r="BG1271" s="23"/>
      <c r="BH1271" s="23"/>
      <c r="BI1271" s="23"/>
      <c r="BJ1271" s="23"/>
      <c r="BK1271" s="23"/>
      <c r="BL1271" s="23"/>
      <c r="BM1271" s="23"/>
      <c r="BN1271" s="23"/>
      <c r="BO1271" s="23"/>
      <c r="BP1271" s="23"/>
      <c r="BQ1271" s="23"/>
      <c r="BR1271" s="23"/>
      <c r="BS1271" s="23"/>
      <c r="BT1271" s="23"/>
      <c r="BU1271" s="23"/>
      <c r="BV1271" s="23"/>
      <c r="BW1271" s="23"/>
      <c r="BX1271" s="23"/>
      <c r="BY1271" s="23"/>
      <c r="BZ1271" s="23"/>
      <c r="CA1271" s="23"/>
      <c r="CB1271" s="23"/>
      <c r="CC1271" s="23"/>
      <c r="CD1271" s="23"/>
      <c r="CE1271" s="23"/>
      <c r="CF1271" s="23"/>
      <c r="CG1271" s="23"/>
      <c r="CH1271" s="23"/>
      <c r="CI1271" s="23"/>
      <c r="CJ1271" s="23"/>
      <c r="CK1271" s="23"/>
    </row>
    <row r="1272" spans="1:89">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c r="AV1272" s="23"/>
      <c r="AW1272" s="23"/>
      <c r="AX1272" s="23"/>
      <c r="AY1272" s="23"/>
      <c r="AZ1272" s="23"/>
      <c r="BA1272" s="23"/>
      <c r="BB1272" s="23"/>
      <c r="BC1272" s="23"/>
      <c r="BD1272" s="23"/>
      <c r="BE1272" s="23"/>
      <c r="BF1272" s="23"/>
      <c r="BG1272" s="23"/>
      <c r="BH1272" s="23"/>
      <c r="BI1272" s="23"/>
      <c r="BJ1272" s="23"/>
      <c r="BK1272" s="23"/>
      <c r="BL1272" s="23"/>
      <c r="BM1272" s="23"/>
      <c r="BN1272" s="23"/>
      <c r="BO1272" s="23"/>
      <c r="BP1272" s="23"/>
      <c r="BQ1272" s="23"/>
      <c r="BR1272" s="23"/>
      <c r="BS1272" s="23"/>
      <c r="BT1272" s="23"/>
      <c r="BU1272" s="23"/>
      <c r="BV1272" s="23"/>
      <c r="BW1272" s="23"/>
      <c r="BX1272" s="23"/>
      <c r="BY1272" s="23"/>
      <c r="BZ1272" s="23"/>
      <c r="CA1272" s="23"/>
      <c r="CB1272" s="23"/>
      <c r="CC1272" s="23"/>
      <c r="CD1272" s="23"/>
      <c r="CE1272" s="23"/>
      <c r="CF1272" s="23"/>
      <c r="CG1272" s="23"/>
      <c r="CH1272" s="23"/>
      <c r="CI1272" s="23"/>
      <c r="CJ1272" s="23"/>
      <c r="CK1272" s="23"/>
    </row>
    <row r="1273" spans="1:89">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c r="AV1273" s="23"/>
      <c r="AW1273" s="23"/>
      <c r="AX1273" s="23"/>
      <c r="AY1273" s="23"/>
      <c r="AZ1273" s="23"/>
      <c r="BA1273" s="23"/>
      <c r="BB1273" s="23"/>
      <c r="BC1273" s="23"/>
      <c r="BD1273" s="23"/>
      <c r="BE1273" s="23"/>
      <c r="BF1273" s="23"/>
      <c r="BG1273" s="23"/>
      <c r="BH1273" s="23"/>
      <c r="BI1273" s="23"/>
      <c r="BJ1273" s="23"/>
      <c r="BK1273" s="23"/>
      <c r="BL1273" s="23"/>
      <c r="BM1273" s="23"/>
      <c r="BN1273" s="23"/>
      <c r="BO1273" s="23"/>
      <c r="BP1273" s="23"/>
      <c r="BQ1273" s="23"/>
      <c r="BR1273" s="23"/>
      <c r="BS1273" s="23"/>
      <c r="BT1273" s="23"/>
      <c r="BU1273" s="23"/>
      <c r="BV1273" s="23"/>
      <c r="BW1273" s="23"/>
      <c r="BX1273" s="23"/>
      <c r="BY1273" s="23"/>
      <c r="BZ1273" s="23"/>
      <c r="CA1273" s="23"/>
      <c r="CB1273" s="23"/>
      <c r="CC1273" s="23"/>
      <c r="CD1273" s="23"/>
      <c r="CE1273" s="23"/>
      <c r="CF1273" s="23"/>
      <c r="CG1273" s="23"/>
      <c r="CH1273" s="23"/>
      <c r="CI1273" s="23"/>
      <c r="CJ1273" s="23"/>
      <c r="CK1273" s="23"/>
    </row>
    <row r="1274" spans="1:89">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c r="AV1274" s="23"/>
      <c r="AW1274" s="23"/>
      <c r="AX1274" s="23"/>
      <c r="AY1274" s="23"/>
      <c r="AZ1274" s="23"/>
      <c r="BA1274" s="23"/>
      <c r="BB1274" s="23"/>
      <c r="BC1274" s="23"/>
      <c r="BD1274" s="23"/>
      <c r="BE1274" s="23"/>
      <c r="BF1274" s="23"/>
      <c r="BG1274" s="23"/>
      <c r="BH1274" s="23"/>
      <c r="BI1274" s="23"/>
      <c r="BJ1274" s="23"/>
      <c r="BK1274" s="23"/>
      <c r="BL1274" s="23"/>
      <c r="BM1274" s="23"/>
      <c r="BN1274" s="23"/>
      <c r="BO1274" s="23"/>
      <c r="BP1274" s="23"/>
      <c r="BQ1274" s="23"/>
      <c r="BR1274" s="23"/>
      <c r="BS1274" s="23"/>
      <c r="BT1274" s="23"/>
      <c r="BU1274" s="23"/>
      <c r="BV1274" s="23"/>
      <c r="BW1274" s="23"/>
      <c r="BX1274" s="23"/>
      <c r="BY1274" s="23"/>
      <c r="BZ1274" s="23"/>
      <c r="CA1274" s="23"/>
      <c r="CB1274" s="23"/>
      <c r="CC1274" s="23"/>
      <c r="CD1274" s="23"/>
      <c r="CE1274" s="23"/>
      <c r="CF1274" s="23"/>
      <c r="CG1274" s="23"/>
      <c r="CH1274" s="23"/>
      <c r="CI1274" s="23"/>
      <c r="CJ1274" s="23"/>
      <c r="CK1274" s="23"/>
    </row>
    <row r="1275" spans="1:89">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c r="AV1275" s="23"/>
      <c r="AW1275" s="23"/>
      <c r="AX1275" s="23"/>
      <c r="AY1275" s="23"/>
      <c r="AZ1275" s="23"/>
      <c r="BA1275" s="23"/>
      <c r="BB1275" s="23"/>
      <c r="BC1275" s="23"/>
      <c r="BD1275" s="23"/>
      <c r="BE1275" s="23"/>
      <c r="BF1275" s="23"/>
      <c r="BG1275" s="23"/>
      <c r="BH1275" s="23"/>
      <c r="BI1275" s="23"/>
      <c r="BJ1275" s="23"/>
      <c r="BK1275" s="23"/>
      <c r="BL1275" s="23"/>
      <c r="BM1275" s="23"/>
      <c r="BN1275" s="23"/>
      <c r="BO1275" s="23"/>
      <c r="BP1275" s="23"/>
      <c r="BQ1275" s="23"/>
      <c r="BR1275" s="23"/>
      <c r="BS1275" s="23"/>
      <c r="BT1275" s="23"/>
      <c r="BU1275" s="23"/>
      <c r="BV1275" s="23"/>
      <c r="BW1275" s="23"/>
      <c r="BX1275" s="23"/>
      <c r="BY1275" s="23"/>
      <c r="BZ1275" s="23"/>
      <c r="CA1275" s="23"/>
      <c r="CB1275" s="23"/>
      <c r="CC1275" s="23"/>
      <c r="CD1275" s="23"/>
      <c r="CE1275" s="23"/>
      <c r="CF1275" s="23"/>
      <c r="CG1275" s="23"/>
      <c r="CH1275" s="23"/>
      <c r="CI1275" s="23"/>
      <c r="CJ1275" s="23"/>
      <c r="CK1275" s="23"/>
    </row>
    <row r="1276" spans="1:89">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c r="AV1276" s="23"/>
      <c r="AW1276" s="23"/>
      <c r="AX1276" s="23"/>
      <c r="AY1276" s="23"/>
      <c r="AZ1276" s="23"/>
      <c r="BA1276" s="23"/>
      <c r="BB1276" s="23"/>
      <c r="BC1276" s="23"/>
      <c r="BD1276" s="23"/>
      <c r="BE1276" s="23"/>
      <c r="BF1276" s="23"/>
      <c r="BG1276" s="23"/>
      <c r="BH1276" s="23"/>
      <c r="BI1276" s="23"/>
      <c r="BJ1276" s="23"/>
      <c r="BK1276" s="23"/>
      <c r="BL1276" s="23"/>
      <c r="BM1276" s="23"/>
      <c r="BN1276" s="23"/>
      <c r="BO1276" s="23"/>
      <c r="BP1276" s="23"/>
      <c r="BQ1276" s="23"/>
      <c r="BR1276" s="23"/>
      <c r="BS1276" s="23"/>
      <c r="BT1276" s="23"/>
      <c r="BU1276" s="23"/>
      <c r="BV1276" s="23"/>
      <c r="BW1276" s="23"/>
      <c r="BX1276" s="23"/>
      <c r="BY1276" s="23"/>
      <c r="BZ1276" s="23"/>
      <c r="CA1276" s="23"/>
      <c r="CB1276" s="23"/>
      <c r="CC1276" s="23"/>
      <c r="CD1276" s="23"/>
      <c r="CE1276" s="23"/>
      <c r="CF1276" s="23"/>
      <c r="CG1276" s="23"/>
      <c r="CH1276" s="23"/>
      <c r="CI1276" s="23"/>
      <c r="CJ1276" s="23"/>
      <c r="CK1276" s="23"/>
    </row>
    <row r="1277" spans="1:89">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c r="AV1277" s="23"/>
      <c r="AW1277" s="23"/>
      <c r="AX1277" s="23"/>
      <c r="AY1277" s="23"/>
      <c r="AZ1277" s="23"/>
      <c r="BA1277" s="23"/>
      <c r="BB1277" s="23"/>
      <c r="BC1277" s="23"/>
      <c r="BD1277" s="23"/>
      <c r="BE1277" s="23"/>
      <c r="BF1277" s="23"/>
      <c r="BG1277" s="23"/>
      <c r="BH1277" s="23"/>
      <c r="BI1277" s="23"/>
      <c r="BJ1277" s="23"/>
      <c r="BK1277" s="23"/>
      <c r="BL1277" s="23"/>
      <c r="BM1277" s="23"/>
      <c r="BN1277" s="23"/>
      <c r="BO1277" s="23"/>
      <c r="BP1277" s="23"/>
      <c r="BQ1277" s="23"/>
      <c r="BR1277" s="23"/>
      <c r="BS1277" s="23"/>
      <c r="BT1277" s="23"/>
      <c r="BU1277" s="23"/>
      <c r="BV1277" s="23"/>
      <c r="BW1277" s="23"/>
      <c r="BX1277" s="23"/>
      <c r="BY1277" s="23"/>
      <c r="BZ1277" s="23"/>
      <c r="CA1277" s="23"/>
      <c r="CB1277" s="23"/>
      <c r="CC1277" s="23"/>
      <c r="CD1277" s="23"/>
      <c r="CE1277" s="23"/>
      <c r="CF1277" s="23"/>
      <c r="CG1277" s="23"/>
      <c r="CH1277" s="23"/>
      <c r="CI1277" s="23"/>
      <c r="CJ1277" s="23"/>
      <c r="CK1277" s="23"/>
    </row>
    <row r="1278" spans="1:89">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c r="AV1278" s="23"/>
      <c r="AW1278" s="23"/>
      <c r="AX1278" s="23"/>
      <c r="AY1278" s="23"/>
      <c r="AZ1278" s="23"/>
      <c r="BA1278" s="23"/>
      <c r="BB1278" s="23"/>
      <c r="BC1278" s="23"/>
      <c r="BD1278" s="23"/>
      <c r="BE1278" s="23"/>
      <c r="BF1278" s="23"/>
      <c r="BG1278" s="23"/>
      <c r="BH1278" s="23"/>
      <c r="BI1278" s="23"/>
      <c r="BJ1278" s="23"/>
      <c r="BK1278" s="23"/>
      <c r="BL1278" s="23"/>
      <c r="BM1278" s="23"/>
      <c r="BN1278" s="23"/>
      <c r="BO1278" s="23"/>
      <c r="BP1278" s="23"/>
      <c r="BQ1278" s="23"/>
      <c r="BR1278" s="23"/>
      <c r="BS1278" s="23"/>
      <c r="BT1278" s="23"/>
      <c r="BU1278" s="23"/>
      <c r="BV1278" s="23"/>
      <c r="BW1278" s="23"/>
      <c r="BX1278" s="23"/>
      <c r="BY1278" s="23"/>
      <c r="BZ1278" s="23"/>
      <c r="CA1278" s="23"/>
      <c r="CB1278" s="23"/>
      <c r="CC1278" s="23"/>
      <c r="CD1278" s="23"/>
      <c r="CE1278" s="23"/>
      <c r="CF1278" s="23"/>
      <c r="CG1278" s="23"/>
      <c r="CH1278" s="23"/>
      <c r="CI1278" s="23"/>
      <c r="CJ1278" s="23"/>
      <c r="CK1278" s="23"/>
    </row>
    <row r="1279" spans="1:89">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c r="AV1279" s="23"/>
      <c r="AW1279" s="23"/>
      <c r="AX1279" s="23"/>
      <c r="AY1279" s="23"/>
      <c r="AZ1279" s="23"/>
      <c r="BA1279" s="23"/>
      <c r="BB1279" s="23"/>
      <c r="BC1279" s="23"/>
      <c r="BD1279" s="23"/>
      <c r="BE1279" s="23"/>
      <c r="BF1279" s="23"/>
      <c r="BG1279" s="23"/>
      <c r="BH1279" s="23"/>
      <c r="BI1279" s="23"/>
      <c r="BJ1279" s="23"/>
      <c r="BK1279" s="23"/>
      <c r="BL1279" s="23"/>
      <c r="BM1279" s="23"/>
      <c r="BN1279" s="23"/>
      <c r="BO1279" s="23"/>
      <c r="BP1279" s="23"/>
      <c r="BQ1279" s="23"/>
      <c r="BR1279" s="23"/>
      <c r="BS1279" s="23"/>
      <c r="BT1279" s="23"/>
      <c r="BU1279" s="23"/>
      <c r="BV1279" s="23"/>
      <c r="BW1279" s="23"/>
      <c r="BX1279" s="23"/>
      <c r="BY1279" s="23"/>
      <c r="BZ1279" s="23"/>
      <c r="CA1279" s="23"/>
      <c r="CB1279" s="23"/>
      <c r="CC1279" s="23"/>
      <c r="CD1279" s="23"/>
      <c r="CE1279" s="23"/>
      <c r="CF1279" s="23"/>
      <c r="CG1279" s="23"/>
      <c r="CH1279" s="23"/>
      <c r="CI1279" s="23"/>
      <c r="CJ1279" s="23"/>
      <c r="CK1279" s="23"/>
    </row>
    <row r="1280" spans="1:89">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c r="AV1280" s="23"/>
      <c r="AW1280" s="23"/>
      <c r="AX1280" s="23"/>
      <c r="AY1280" s="23"/>
      <c r="AZ1280" s="23"/>
      <c r="BA1280" s="23"/>
      <c r="BB1280" s="23"/>
      <c r="BC1280" s="23"/>
      <c r="BD1280" s="23"/>
      <c r="BE1280" s="23"/>
      <c r="BF1280" s="23"/>
      <c r="BG1280" s="23"/>
      <c r="BH1280" s="23"/>
      <c r="BI1280" s="23"/>
      <c r="BJ1280" s="23"/>
      <c r="BK1280" s="23"/>
      <c r="BL1280" s="23"/>
      <c r="BM1280" s="23"/>
      <c r="BN1280" s="23"/>
      <c r="BO1280" s="23"/>
      <c r="BP1280" s="23"/>
      <c r="BQ1280" s="23"/>
      <c r="BR1280" s="23"/>
      <c r="BS1280" s="23"/>
      <c r="BT1280" s="23"/>
      <c r="BU1280" s="23"/>
      <c r="BV1280" s="23"/>
      <c r="BW1280" s="23"/>
      <c r="BX1280" s="23"/>
      <c r="BY1280" s="23"/>
      <c r="BZ1280" s="23"/>
      <c r="CA1280" s="23"/>
      <c r="CB1280" s="23"/>
      <c r="CC1280" s="23"/>
      <c r="CD1280" s="23"/>
      <c r="CE1280" s="23"/>
      <c r="CF1280" s="23"/>
      <c r="CG1280" s="23"/>
      <c r="CH1280" s="23"/>
      <c r="CI1280" s="23"/>
      <c r="CJ1280" s="23"/>
      <c r="CK1280" s="23"/>
    </row>
    <row r="1281" spans="1:89">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c r="AV1281" s="23"/>
      <c r="AW1281" s="23"/>
      <c r="AX1281" s="23"/>
      <c r="AY1281" s="23"/>
      <c r="AZ1281" s="23"/>
      <c r="BA1281" s="23"/>
      <c r="BB1281" s="23"/>
      <c r="BC1281" s="23"/>
      <c r="BD1281" s="23"/>
      <c r="BE1281" s="23"/>
      <c r="BF1281" s="23"/>
      <c r="BG1281" s="23"/>
      <c r="BH1281" s="23"/>
      <c r="BI1281" s="23"/>
      <c r="BJ1281" s="23"/>
      <c r="BK1281" s="23"/>
      <c r="BL1281" s="23"/>
      <c r="BM1281" s="23"/>
      <c r="BN1281" s="23"/>
      <c r="BO1281" s="23"/>
      <c r="BP1281" s="23"/>
      <c r="BQ1281" s="23"/>
      <c r="BR1281" s="23"/>
      <c r="BS1281" s="23"/>
      <c r="BT1281" s="23"/>
      <c r="BU1281" s="23"/>
      <c r="BV1281" s="23"/>
      <c r="BW1281" s="23"/>
      <c r="BX1281" s="23"/>
      <c r="BY1281" s="23"/>
      <c r="BZ1281" s="23"/>
      <c r="CA1281" s="23"/>
      <c r="CB1281" s="23"/>
      <c r="CC1281" s="23"/>
      <c r="CD1281" s="23"/>
      <c r="CE1281" s="23"/>
      <c r="CF1281" s="23"/>
      <c r="CG1281" s="23"/>
      <c r="CH1281" s="23"/>
      <c r="CI1281" s="23"/>
      <c r="CJ1281" s="23"/>
      <c r="CK1281" s="23"/>
    </row>
    <row r="1282" spans="1:89">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c r="AV1282" s="23"/>
      <c r="AW1282" s="23"/>
      <c r="AX1282" s="23"/>
      <c r="AY1282" s="23"/>
      <c r="AZ1282" s="23"/>
      <c r="BA1282" s="23"/>
      <c r="BB1282" s="23"/>
      <c r="BC1282" s="23"/>
      <c r="BD1282" s="23"/>
      <c r="BE1282" s="23"/>
      <c r="BF1282" s="23"/>
      <c r="BG1282" s="23"/>
      <c r="BH1282" s="23"/>
      <c r="BI1282" s="23"/>
      <c r="BJ1282" s="23"/>
      <c r="BK1282" s="23"/>
      <c r="BL1282" s="23"/>
      <c r="BM1282" s="23"/>
      <c r="BN1282" s="23"/>
      <c r="BO1282" s="23"/>
      <c r="BP1282" s="23"/>
      <c r="BQ1282" s="23"/>
      <c r="BR1282" s="23"/>
      <c r="BS1282" s="23"/>
      <c r="BT1282" s="23"/>
      <c r="BU1282" s="23"/>
      <c r="BV1282" s="23"/>
      <c r="BW1282" s="23"/>
      <c r="BX1282" s="23"/>
      <c r="BY1282" s="23"/>
      <c r="BZ1282" s="23"/>
      <c r="CA1282" s="23"/>
      <c r="CB1282" s="23"/>
      <c r="CC1282" s="23"/>
      <c r="CD1282" s="23"/>
      <c r="CE1282" s="23"/>
      <c r="CF1282" s="23"/>
      <c r="CG1282" s="23"/>
      <c r="CH1282" s="23"/>
      <c r="CI1282" s="23"/>
      <c r="CJ1282" s="23"/>
      <c r="CK1282" s="23"/>
    </row>
    <row r="1283" spans="1:89">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c r="AV1283" s="23"/>
      <c r="AW1283" s="23"/>
      <c r="AX1283" s="23"/>
      <c r="AY1283" s="23"/>
      <c r="AZ1283" s="23"/>
      <c r="BA1283" s="23"/>
      <c r="BB1283" s="23"/>
      <c r="BC1283" s="23"/>
      <c r="BD1283" s="23"/>
      <c r="BE1283" s="23"/>
      <c r="BF1283" s="23"/>
      <c r="BG1283" s="23"/>
      <c r="BH1283" s="23"/>
      <c r="BI1283" s="23"/>
      <c r="BJ1283" s="23"/>
      <c r="BK1283" s="23"/>
      <c r="BL1283" s="23"/>
      <c r="BM1283" s="23"/>
      <c r="BN1283" s="23"/>
      <c r="BO1283" s="23"/>
      <c r="BP1283" s="23"/>
      <c r="BQ1283" s="23"/>
      <c r="BR1283" s="23"/>
      <c r="BS1283" s="23"/>
      <c r="BT1283" s="23"/>
      <c r="BU1283" s="23"/>
      <c r="BV1283" s="23"/>
      <c r="BW1283" s="23"/>
      <c r="BX1283" s="23"/>
      <c r="BY1283" s="23"/>
      <c r="BZ1283" s="23"/>
      <c r="CA1283" s="23"/>
      <c r="CB1283" s="23"/>
      <c r="CC1283" s="23"/>
      <c r="CD1283" s="23"/>
      <c r="CE1283" s="23"/>
      <c r="CF1283" s="23"/>
      <c r="CG1283" s="23"/>
      <c r="CH1283" s="23"/>
      <c r="CI1283" s="23"/>
      <c r="CJ1283" s="23"/>
      <c r="CK1283" s="23"/>
    </row>
    <row r="1284" spans="1:89">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c r="AV1284" s="23"/>
      <c r="AW1284" s="23"/>
      <c r="AX1284" s="23"/>
      <c r="AY1284" s="23"/>
      <c r="AZ1284" s="23"/>
      <c r="BA1284" s="23"/>
      <c r="BB1284" s="23"/>
      <c r="BC1284" s="23"/>
      <c r="BD1284" s="23"/>
      <c r="BE1284" s="23"/>
      <c r="BF1284" s="23"/>
      <c r="BG1284" s="23"/>
      <c r="BH1284" s="23"/>
      <c r="BI1284" s="23"/>
      <c r="BJ1284" s="23"/>
      <c r="BK1284" s="23"/>
      <c r="BL1284" s="23"/>
      <c r="BM1284" s="23"/>
      <c r="BN1284" s="23"/>
      <c r="BO1284" s="23"/>
      <c r="BP1284" s="23"/>
      <c r="BQ1284" s="23"/>
      <c r="BR1284" s="23"/>
      <c r="BS1284" s="23"/>
      <c r="BT1284" s="23"/>
      <c r="BU1284" s="23"/>
      <c r="BV1284" s="23"/>
      <c r="BW1284" s="23"/>
      <c r="BX1284" s="23"/>
      <c r="BY1284" s="23"/>
      <c r="BZ1284" s="23"/>
      <c r="CA1284" s="23"/>
      <c r="CB1284" s="23"/>
      <c r="CC1284" s="23"/>
      <c r="CD1284" s="23"/>
      <c r="CE1284" s="23"/>
      <c r="CF1284" s="23"/>
      <c r="CG1284" s="23"/>
      <c r="CH1284" s="23"/>
      <c r="CI1284" s="23"/>
      <c r="CJ1284" s="23"/>
      <c r="CK1284" s="23"/>
    </row>
    <row r="1285" spans="1:89">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c r="AV1285" s="23"/>
      <c r="AW1285" s="23"/>
      <c r="AX1285" s="23"/>
      <c r="AY1285" s="23"/>
      <c r="AZ1285" s="23"/>
      <c r="BA1285" s="23"/>
      <c r="BB1285" s="23"/>
      <c r="BC1285" s="23"/>
      <c r="BD1285" s="23"/>
      <c r="BE1285" s="23"/>
      <c r="BF1285" s="23"/>
      <c r="BG1285" s="23"/>
      <c r="BH1285" s="23"/>
      <c r="BI1285" s="23"/>
      <c r="BJ1285" s="23"/>
      <c r="BK1285" s="23"/>
      <c r="BL1285" s="23"/>
      <c r="BM1285" s="23"/>
      <c r="BN1285" s="23"/>
      <c r="BO1285" s="23"/>
      <c r="BP1285" s="23"/>
      <c r="BQ1285" s="23"/>
      <c r="BR1285" s="23"/>
      <c r="BS1285" s="23"/>
      <c r="BT1285" s="23"/>
      <c r="BU1285" s="23"/>
      <c r="BV1285" s="23"/>
      <c r="BW1285" s="23"/>
      <c r="BX1285" s="23"/>
      <c r="BY1285" s="23"/>
      <c r="BZ1285" s="23"/>
      <c r="CA1285" s="23"/>
      <c r="CB1285" s="23"/>
      <c r="CC1285" s="23"/>
      <c r="CD1285" s="23"/>
      <c r="CE1285" s="23"/>
      <c r="CF1285" s="23"/>
      <c r="CG1285" s="23"/>
      <c r="CH1285" s="23"/>
      <c r="CI1285" s="23"/>
      <c r="CJ1285" s="23"/>
      <c r="CK1285" s="23"/>
    </row>
    <row r="1286" spans="1:89">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c r="AV1286" s="23"/>
      <c r="AW1286" s="23"/>
      <c r="AX1286" s="23"/>
      <c r="AY1286" s="23"/>
      <c r="AZ1286" s="23"/>
      <c r="BA1286" s="23"/>
      <c r="BB1286" s="23"/>
      <c r="BC1286" s="23"/>
      <c r="BD1286" s="23"/>
      <c r="BE1286" s="23"/>
      <c r="BF1286" s="23"/>
      <c r="BG1286" s="23"/>
      <c r="BH1286" s="23"/>
      <c r="BI1286" s="23"/>
      <c r="BJ1286" s="23"/>
      <c r="BK1286" s="23"/>
      <c r="BL1286" s="23"/>
      <c r="BM1286" s="23"/>
      <c r="BN1286" s="23"/>
      <c r="BO1286" s="23"/>
      <c r="BP1286" s="23"/>
      <c r="BQ1286" s="23"/>
      <c r="BR1286" s="23"/>
      <c r="BS1286" s="23"/>
      <c r="BT1286" s="23"/>
      <c r="BU1286" s="23"/>
      <c r="BV1286" s="23"/>
      <c r="BW1286" s="23"/>
      <c r="BX1286" s="23"/>
      <c r="BY1286" s="23"/>
      <c r="BZ1286" s="23"/>
      <c r="CA1286" s="23"/>
      <c r="CB1286" s="23"/>
      <c r="CC1286" s="23"/>
      <c r="CD1286" s="23"/>
      <c r="CE1286" s="23"/>
      <c r="CF1286" s="23"/>
      <c r="CG1286" s="23"/>
      <c r="CH1286" s="23"/>
      <c r="CI1286" s="23"/>
      <c r="CJ1286" s="23"/>
      <c r="CK1286" s="23"/>
    </row>
    <row r="1287" spans="1:89">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c r="AV1287" s="23"/>
      <c r="AW1287" s="23"/>
      <c r="AX1287" s="23"/>
      <c r="AY1287" s="23"/>
      <c r="AZ1287" s="23"/>
      <c r="BA1287" s="23"/>
      <c r="BB1287" s="23"/>
      <c r="BC1287" s="23"/>
      <c r="BD1287" s="23"/>
      <c r="BE1287" s="23"/>
      <c r="BF1287" s="23"/>
      <c r="BG1287" s="23"/>
      <c r="BH1287" s="23"/>
      <c r="BI1287" s="23"/>
      <c r="BJ1287" s="23"/>
      <c r="BK1287" s="23"/>
      <c r="BL1287" s="23"/>
      <c r="BM1287" s="23"/>
      <c r="BN1287" s="23"/>
      <c r="BO1287" s="23"/>
      <c r="BP1287" s="23"/>
      <c r="BQ1287" s="23"/>
      <c r="BR1287" s="23"/>
      <c r="BS1287" s="23"/>
      <c r="BT1287" s="23"/>
      <c r="BU1287" s="23"/>
      <c r="BV1287" s="23"/>
      <c r="BW1287" s="23"/>
      <c r="BX1287" s="23"/>
      <c r="BY1287" s="23"/>
      <c r="BZ1287" s="23"/>
      <c r="CA1287" s="23"/>
      <c r="CB1287" s="23"/>
      <c r="CC1287" s="23"/>
      <c r="CD1287" s="23"/>
      <c r="CE1287" s="23"/>
      <c r="CF1287" s="23"/>
      <c r="CG1287" s="23"/>
      <c r="CH1287" s="23"/>
      <c r="CI1287" s="23"/>
      <c r="CJ1287" s="23"/>
      <c r="CK1287" s="23"/>
    </row>
    <row r="1288" spans="1:89">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c r="AV1288" s="23"/>
      <c r="AW1288" s="23"/>
      <c r="AX1288" s="23"/>
      <c r="AY1288" s="23"/>
      <c r="AZ1288" s="23"/>
      <c r="BA1288" s="23"/>
      <c r="BB1288" s="23"/>
      <c r="BC1288" s="23"/>
      <c r="BD1288" s="23"/>
      <c r="BE1288" s="23"/>
      <c r="BF1288" s="23"/>
      <c r="BG1288" s="23"/>
      <c r="BH1288" s="23"/>
      <c r="BI1288" s="23"/>
      <c r="BJ1288" s="23"/>
      <c r="BK1288" s="23"/>
      <c r="BL1288" s="23"/>
      <c r="BM1288" s="23"/>
      <c r="BN1288" s="23"/>
      <c r="BO1288" s="23"/>
      <c r="BP1288" s="23"/>
      <c r="BQ1288" s="23"/>
      <c r="BR1288" s="23"/>
      <c r="BS1288" s="23"/>
      <c r="BT1288" s="23"/>
      <c r="BU1288" s="23"/>
      <c r="BV1288" s="23"/>
      <c r="BW1288" s="23"/>
      <c r="BX1288" s="23"/>
      <c r="BY1288" s="23"/>
      <c r="BZ1288" s="23"/>
      <c r="CA1288" s="23"/>
      <c r="CB1288" s="23"/>
      <c r="CC1288" s="23"/>
      <c r="CD1288" s="23"/>
      <c r="CE1288" s="23"/>
      <c r="CF1288" s="23"/>
      <c r="CG1288" s="23"/>
      <c r="CH1288" s="23"/>
      <c r="CI1288" s="23"/>
      <c r="CJ1288" s="23"/>
      <c r="CK1288" s="23"/>
    </row>
    <row r="1289" spans="1:89">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c r="AV1289" s="23"/>
      <c r="AW1289" s="23"/>
      <c r="AX1289" s="23"/>
      <c r="AY1289" s="23"/>
      <c r="AZ1289" s="23"/>
      <c r="BA1289" s="23"/>
      <c r="BB1289" s="23"/>
      <c r="BC1289" s="23"/>
      <c r="BD1289" s="23"/>
      <c r="BE1289" s="23"/>
      <c r="BF1289" s="23"/>
      <c r="BG1289" s="23"/>
      <c r="BH1289" s="23"/>
      <c r="BI1289" s="23"/>
      <c r="BJ1289" s="23"/>
      <c r="BK1289" s="23"/>
      <c r="BL1289" s="23"/>
      <c r="BM1289" s="23"/>
      <c r="BN1289" s="23"/>
      <c r="BO1289" s="23"/>
      <c r="BP1289" s="23"/>
      <c r="BQ1289" s="23"/>
      <c r="BR1289" s="23"/>
      <c r="BS1289" s="23"/>
      <c r="BT1289" s="23"/>
      <c r="BU1289" s="23"/>
      <c r="BV1289" s="23"/>
      <c r="BW1289" s="23"/>
      <c r="BX1289" s="23"/>
      <c r="BY1289" s="23"/>
      <c r="BZ1289" s="23"/>
      <c r="CA1289" s="23"/>
      <c r="CB1289" s="23"/>
      <c r="CC1289" s="23"/>
      <c r="CD1289" s="23"/>
      <c r="CE1289" s="23"/>
      <c r="CF1289" s="23"/>
      <c r="CG1289" s="23"/>
      <c r="CH1289" s="23"/>
      <c r="CI1289" s="23"/>
      <c r="CJ1289" s="23"/>
      <c r="CK1289" s="23"/>
    </row>
    <row r="1290" spans="1:89">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c r="AV1290" s="23"/>
      <c r="AW1290" s="23"/>
      <c r="AX1290" s="23"/>
      <c r="AY1290" s="23"/>
      <c r="AZ1290" s="23"/>
      <c r="BA1290" s="23"/>
      <c r="BB1290" s="23"/>
      <c r="BC1290" s="23"/>
      <c r="BD1290" s="23"/>
      <c r="BE1290" s="23"/>
      <c r="BF1290" s="23"/>
      <c r="BG1290" s="23"/>
      <c r="BH1290" s="23"/>
      <c r="BI1290" s="23"/>
      <c r="BJ1290" s="23"/>
      <c r="BK1290" s="23"/>
      <c r="BL1290" s="23"/>
      <c r="BM1290" s="23"/>
      <c r="BN1290" s="23"/>
      <c r="BO1290" s="23"/>
      <c r="BP1290" s="23"/>
      <c r="BQ1290" s="23"/>
      <c r="BR1290" s="23"/>
      <c r="BS1290" s="23"/>
      <c r="BT1290" s="23"/>
      <c r="BU1290" s="23"/>
      <c r="BV1290" s="23"/>
      <c r="BW1290" s="23"/>
      <c r="BX1290" s="23"/>
      <c r="BY1290" s="23"/>
      <c r="BZ1290" s="23"/>
      <c r="CA1290" s="23"/>
      <c r="CB1290" s="23"/>
      <c r="CC1290" s="23"/>
      <c r="CD1290" s="23"/>
      <c r="CE1290" s="23"/>
      <c r="CF1290" s="23"/>
      <c r="CG1290" s="23"/>
      <c r="CH1290" s="23"/>
      <c r="CI1290" s="23"/>
      <c r="CJ1290" s="23"/>
      <c r="CK1290" s="23"/>
    </row>
    <row r="1291" spans="1:89">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c r="AV1291" s="23"/>
      <c r="AW1291" s="23"/>
      <c r="AX1291" s="23"/>
      <c r="AY1291" s="23"/>
      <c r="AZ1291" s="23"/>
      <c r="BA1291" s="23"/>
      <c r="BB1291" s="23"/>
      <c r="BC1291" s="23"/>
      <c r="BD1291" s="23"/>
      <c r="BE1291" s="23"/>
      <c r="BF1291" s="23"/>
      <c r="BG1291" s="23"/>
      <c r="BH1291" s="23"/>
      <c r="BI1291" s="23"/>
      <c r="BJ1291" s="23"/>
      <c r="BK1291" s="23"/>
      <c r="BL1291" s="23"/>
      <c r="BM1291" s="23"/>
      <c r="BN1291" s="23"/>
      <c r="BO1291" s="23"/>
      <c r="BP1291" s="23"/>
      <c r="BQ1291" s="23"/>
      <c r="BR1291" s="23"/>
      <c r="BS1291" s="23"/>
      <c r="BT1291" s="23"/>
      <c r="BU1291" s="23"/>
      <c r="BV1291" s="23"/>
      <c r="BW1291" s="23"/>
      <c r="BX1291" s="23"/>
      <c r="BY1291" s="23"/>
      <c r="BZ1291" s="23"/>
      <c r="CA1291" s="23"/>
      <c r="CB1291" s="23"/>
      <c r="CC1291" s="23"/>
      <c r="CD1291" s="23"/>
      <c r="CE1291" s="23"/>
      <c r="CF1291" s="23"/>
      <c r="CG1291" s="23"/>
      <c r="CH1291" s="23"/>
      <c r="CI1291" s="23"/>
      <c r="CJ1291" s="23"/>
      <c r="CK1291" s="23"/>
    </row>
    <row r="1292" spans="1:89">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c r="AV1292" s="23"/>
      <c r="AW1292" s="23"/>
      <c r="AX1292" s="23"/>
      <c r="AY1292" s="23"/>
      <c r="AZ1292" s="23"/>
      <c r="BA1292" s="23"/>
      <c r="BB1292" s="23"/>
      <c r="BC1292" s="23"/>
      <c r="BD1292" s="23"/>
      <c r="BE1292" s="23"/>
      <c r="BF1292" s="23"/>
      <c r="BG1292" s="23"/>
      <c r="BH1292" s="23"/>
      <c r="BI1292" s="23"/>
      <c r="BJ1292" s="23"/>
      <c r="BK1292" s="23"/>
      <c r="BL1292" s="23"/>
      <c r="BM1292" s="23"/>
      <c r="BN1292" s="23"/>
      <c r="BO1292" s="23"/>
      <c r="BP1292" s="23"/>
      <c r="BQ1292" s="23"/>
      <c r="BR1292" s="23"/>
      <c r="BS1292" s="23"/>
      <c r="BT1292" s="23"/>
      <c r="BU1292" s="23"/>
      <c r="BV1292" s="23"/>
      <c r="BW1292" s="23"/>
      <c r="BX1292" s="23"/>
      <c r="BY1292" s="23"/>
      <c r="BZ1292" s="23"/>
      <c r="CA1292" s="23"/>
      <c r="CB1292" s="23"/>
      <c r="CC1292" s="23"/>
      <c r="CD1292" s="23"/>
      <c r="CE1292" s="23"/>
      <c r="CF1292" s="23"/>
      <c r="CG1292" s="23"/>
      <c r="CH1292" s="23"/>
      <c r="CI1292" s="23"/>
      <c r="CJ1292" s="23"/>
      <c r="CK1292" s="23"/>
    </row>
    <row r="1293" spans="1:89">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c r="AV1293" s="23"/>
      <c r="AW1293" s="23"/>
      <c r="AX1293" s="23"/>
      <c r="AY1293" s="23"/>
      <c r="AZ1293" s="23"/>
      <c r="BA1293" s="23"/>
      <c r="BB1293" s="23"/>
      <c r="BC1293" s="23"/>
      <c r="BD1293" s="23"/>
      <c r="BE1293" s="23"/>
      <c r="BF1293" s="23"/>
      <c r="BG1293" s="23"/>
      <c r="BH1293" s="23"/>
      <c r="BI1293" s="23"/>
      <c r="BJ1293" s="23"/>
      <c r="BK1293" s="23"/>
      <c r="BL1293" s="23"/>
      <c r="BM1293" s="23"/>
      <c r="BN1293" s="23"/>
      <c r="BO1293" s="23"/>
      <c r="BP1293" s="23"/>
      <c r="BQ1293" s="23"/>
      <c r="BR1293" s="23"/>
      <c r="BS1293" s="23"/>
      <c r="BT1293" s="23"/>
      <c r="BU1293" s="23"/>
      <c r="BV1293" s="23"/>
      <c r="BW1293" s="23"/>
      <c r="BX1293" s="23"/>
      <c r="BY1293" s="23"/>
      <c r="BZ1293" s="23"/>
      <c r="CA1293" s="23"/>
      <c r="CB1293" s="23"/>
      <c r="CC1293" s="23"/>
      <c r="CD1293" s="23"/>
      <c r="CE1293" s="23"/>
      <c r="CF1293" s="23"/>
      <c r="CG1293" s="23"/>
      <c r="CH1293" s="23"/>
      <c r="CI1293" s="23"/>
      <c r="CJ1293" s="23"/>
      <c r="CK1293" s="23"/>
    </row>
    <row r="1294" spans="1:89">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c r="AV1294" s="23"/>
      <c r="AW1294" s="23"/>
      <c r="AX1294" s="23"/>
      <c r="AY1294" s="23"/>
      <c r="AZ1294" s="23"/>
      <c r="BA1294" s="23"/>
      <c r="BB1294" s="23"/>
      <c r="BC1294" s="23"/>
      <c r="BD1294" s="23"/>
      <c r="BE1294" s="23"/>
      <c r="BF1294" s="23"/>
      <c r="BG1294" s="23"/>
      <c r="BH1294" s="23"/>
      <c r="BI1294" s="23"/>
      <c r="BJ1294" s="23"/>
      <c r="BK1294" s="23"/>
      <c r="BL1294" s="23"/>
      <c r="BM1294" s="23"/>
      <c r="BN1294" s="23"/>
      <c r="BO1294" s="23"/>
      <c r="BP1294" s="23"/>
      <c r="BQ1294" s="23"/>
      <c r="BR1294" s="23"/>
      <c r="BS1294" s="23"/>
      <c r="BT1294" s="23"/>
      <c r="BU1294" s="23"/>
      <c r="BV1294" s="23"/>
      <c r="BW1294" s="23"/>
      <c r="BX1294" s="23"/>
      <c r="BY1294" s="23"/>
      <c r="BZ1294" s="23"/>
      <c r="CA1294" s="23"/>
      <c r="CB1294" s="23"/>
      <c r="CC1294" s="23"/>
      <c r="CD1294" s="23"/>
      <c r="CE1294" s="23"/>
      <c r="CF1294" s="23"/>
      <c r="CG1294" s="23"/>
      <c r="CH1294" s="23"/>
      <c r="CI1294" s="23"/>
      <c r="CJ1294" s="23"/>
      <c r="CK1294" s="23"/>
    </row>
    <row r="1295" spans="1:89">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c r="AV1295" s="23"/>
      <c r="AW1295" s="23"/>
      <c r="AX1295" s="23"/>
      <c r="AY1295" s="23"/>
      <c r="AZ1295" s="23"/>
      <c r="BA1295" s="23"/>
      <c r="BB1295" s="23"/>
      <c r="BC1295" s="23"/>
      <c r="BD1295" s="23"/>
      <c r="BE1295" s="23"/>
      <c r="BF1295" s="23"/>
      <c r="BG1295" s="23"/>
      <c r="BH1295" s="23"/>
      <c r="BI1295" s="23"/>
      <c r="BJ1295" s="23"/>
      <c r="BK1295" s="23"/>
      <c r="BL1295" s="23"/>
      <c r="BM1295" s="23"/>
      <c r="BN1295" s="23"/>
      <c r="BO1295" s="23"/>
      <c r="BP1295" s="23"/>
      <c r="BQ1295" s="23"/>
      <c r="BR1295" s="23"/>
      <c r="BS1295" s="23"/>
      <c r="BT1295" s="23"/>
      <c r="BU1295" s="23"/>
      <c r="BV1295" s="23"/>
      <c r="BW1295" s="23"/>
      <c r="BX1295" s="23"/>
      <c r="BY1295" s="23"/>
      <c r="BZ1295" s="23"/>
      <c r="CA1295" s="23"/>
      <c r="CB1295" s="23"/>
      <c r="CC1295" s="23"/>
      <c r="CD1295" s="23"/>
      <c r="CE1295" s="23"/>
      <c r="CF1295" s="23"/>
      <c r="CG1295" s="23"/>
      <c r="CH1295" s="23"/>
      <c r="CI1295" s="23"/>
      <c r="CJ1295" s="23"/>
      <c r="CK1295" s="23"/>
    </row>
    <row r="1296" spans="1:89">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c r="AV1296" s="23"/>
      <c r="AW1296" s="23"/>
      <c r="AX1296" s="23"/>
      <c r="AY1296" s="23"/>
      <c r="AZ1296" s="23"/>
      <c r="BA1296" s="23"/>
      <c r="BB1296" s="23"/>
      <c r="BC1296" s="23"/>
      <c r="BD1296" s="23"/>
      <c r="BE1296" s="23"/>
      <c r="BF1296" s="23"/>
      <c r="BG1296" s="23"/>
      <c r="BH1296" s="23"/>
      <c r="BI1296" s="23"/>
      <c r="BJ1296" s="23"/>
      <c r="BK1296" s="23"/>
      <c r="BL1296" s="23"/>
      <c r="BM1296" s="23"/>
      <c r="BN1296" s="23"/>
      <c r="BO1296" s="23"/>
      <c r="BP1296" s="23"/>
      <c r="BQ1296" s="23"/>
      <c r="BR1296" s="23"/>
      <c r="BS1296" s="23"/>
      <c r="BT1296" s="23"/>
      <c r="BU1296" s="23"/>
      <c r="BV1296" s="23"/>
      <c r="BW1296" s="23"/>
      <c r="BX1296" s="23"/>
      <c r="BY1296" s="23"/>
      <c r="BZ1296" s="23"/>
      <c r="CA1296" s="23"/>
      <c r="CB1296" s="23"/>
      <c r="CC1296" s="23"/>
      <c r="CD1296" s="23"/>
      <c r="CE1296" s="23"/>
      <c r="CF1296" s="23"/>
      <c r="CG1296" s="23"/>
      <c r="CH1296" s="23"/>
      <c r="CI1296" s="23"/>
      <c r="CJ1296" s="23"/>
      <c r="CK1296" s="23"/>
    </row>
    <row r="1297" spans="1:89">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c r="AV1297" s="23"/>
      <c r="AW1297" s="23"/>
      <c r="AX1297" s="23"/>
      <c r="AY1297" s="23"/>
      <c r="AZ1297" s="23"/>
      <c r="BA1297" s="23"/>
      <c r="BB1297" s="23"/>
      <c r="BC1297" s="23"/>
      <c r="BD1297" s="23"/>
      <c r="BE1297" s="23"/>
      <c r="BF1297" s="23"/>
      <c r="BG1297" s="23"/>
      <c r="BH1297" s="23"/>
      <c r="BI1297" s="23"/>
      <c r="BJ1297" s="23"/>
      <c r="BK1297" s="23"/>
      <c r="BL1297" s="23"/>
      <c r="BM1297" s="23"/>
      <c r="BN1297" s="23"/>
      <c r="BO1297" s="23"/>
      <c r="BP1297" s="23"/>
      <c r="BQ1297" s="23"/>
      <c r="BR1297" s="23"/>
      <c r="BS1297" s="23"/>
      <c r="BT1297" s="23"/>
      <c r="BU1297" s="23"/>
      <c r="BV1297" s="23"/>
      <c r="BW1297" s="23"/>
      <c r="BX1297" s="23"/>
      <c r="BY1297" s="23"/>
      <c r="BZ1297" s="23"/>
      <c r="CA1297" s="23"/>
      <c r="CB1297" s="23"/>
      <c r="CC1297" s="23"/>
      <c r="CD1297" s="23"/>
      <c r="CE1297" s="23"/>
      <c r="CF1297" s="23"/>
      <c r="CG1297" s="23"/>
      <c r="CH1297" s="23"/>
      <c r="CI1297" s="23"/>
      <c r="CJ1297" s="23"/>
      <c r="CK1297" s="23"/>
    </row>
    <row r="1298" spans="1:89">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c r="AV1298" s="23"/>
      <c r="AW1298" s="23"/>
      <c r="AX1298" s="23"/>
      <c r="AY1298" s="23"/>
      <c r="AZ1298" s="23"/>
      <c r="BA1298" s="23"/>
      <c r="BB1298" s="23"/>
      <c r="BC1298" s="23"/>
      <c r="BD1298" s="23"/>
      <c r="BE1298" s="23"/>
      <c r="BF1298" s="23"/>
      <c r="BG1298" s="23"/>
      <c r="BH1298" s="23"/>
      <c r="BI1298" s="23"/>
      <c r="BJ1298" s="23"/>
      <c r="BK1298" s="23"/>
      <c r="BL1298" s="23"/>
      <c r="BM1298" s="23"/>
      <c r="BN1298" s="23"/>
      <c r="BO1298" s="23"/>
      <c r="BP1298" s="23"/>
      <c r="BQ1298" s="23"/>
      <c r="BR1298" s="23"/>
      <c r="BS1298" s="23"/>
      <c r="BT1298" s="23"/>
      <c r="BU1298" s="23"/>
      <c r="BV1298" s="23"/>
      <c r="BW1298" s="23"/>
      <c r="BX1298" s="23"/>
      <c r="BY1298" s="23"/>
      <c r="BZ1298" s="23"/>
      <c r="CA1298" s="23"/>
      <c r="CB1298" s="23"/>
      <c r="CC1298" s="23"/>
      <c r="CD1298" s="23"/>
      <c r="CE1298" s="23"/>
      <c r="CF1298" s="23"/>
      <c r="CG1298" s="23"/>
      <c r="CH1298" s="23"/>
      <c r="CI1298" s="23"/>
      <c r="CJ1298" s="23"/>
      <c r="CK1298" s="23"/>
    </row>
    <row r="1299" spans="1:89">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c r="AV1299" s="23"/>
      <c r="AW1299" s="23"/>
      <c r="AX1299" s="23"/>
      <c r="AY1299" s="23"/>
      <c r="AZ1299" s="23"/>
      <c r="BA1299" s="23"/>
      <c r="BB1299" s="23"/>
      <c r="BC1299" s="23"/>
      <c r="BD1299" s="23"/>
      <c r="BE1299" s="23"/>
      <c r="BF1299" s="23"/>
      <c r="BG1299" s="23"/>
      <c r="BH1299" s="23"/>
      <c r="BI1299" s="23"/>
      <c r="BJ1299" s="23"/>
      <c r="BK1299" s="23"/>
      <c r="BL1299" s="23"/>
      <c r="BM1299" s="23"/>
      <c r="BN1299" s="23"/>
      <c r="BO1299" s="23"/>
      <c r="BP1299" s="23"/>
      <c r="BQ1299" s="23"/>
      <c r="BR1299" s="23"/>
      <c r="BS1299" s="23"/>
      <c r="BT1299" s="23"/>
      <c r="BU1299" s="23"/>
      <c r="BV1299" s="23"/>
      <c r="BW1299" s="23"/>
      <c r="BX1299" s="23"/>
      <c r="BY1299" s="23"/>
      <c r="BZ1299" s="23"/>
      <c r="CA1299" s="23"/>
      <c r="CB1299" s="23"/>
      <c r="CC1299" s="23"/>
      <c r="CD1299" s="23"/>
      <c r="CE1299" s="23"/>
      <c r="CF1299" s="23"/>
      <c r="CG1299" s="23"/>
      <c r="CH1299" s="23"/>
      <c r="CI1299" s="23"/>
      <c r="CJ1299" s="23"/>
      <c r="CK1299" s="23"/>
    </row>
    <row r="1300" spans="1:89">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c r="AV1300" s="23"/>
      <c r="AW1300" s="23"/>
      <c r="AX1300" s="23"/>
      <c r="AY1300" s="23"/>
      <c r="AZ1300" s="23"/>
      <c r="BA1300" s="23"/>
      <c r="BB1300" s="23"/>
      <c r="BC1300" s="23"/>
      <c r="BD1300" s="23"/>
      <c r="BE1300" s="23"/>
      <c r="BF1300" s="23"/>
      <c r="BG1300" s="23"/>
      <c r="BH1300" s="23"/>
      <c r="BI1300" s="23"/>
      <c r="BJ1300" s="23"/>
      <c r="BK1300" s="23"/>
      <c r="BL1300" s="23"/>
      <c r="BM1300" s="23"/>
      <c r="BN1300" s="23"/>
      <c r="BO1300" s="23"/>
      <c r="BP1300" s="23"/>
      <c r="BQ1300" s="23"/>
      <c r="BR1300" s="23"/>
      <c r="BS1300" s="23"/>
      <c r="BT1300" s="23"/>
      <c r="BU1300" s="23"/>
      <c r="BV1300" s="23"/>
      <c r="BW1300" s="23"/>
      <c r="BX1300" s="23"/>
      <c r="BY1300" s="23"/>
      <c r="BZ1300" s="23"/>
      <c r="CA1300" s="23"/>
      <c r="CB1300" s="23"/>
      <c r="CC1300" s="23"/>
      <c r="CD1300" s="23"/>
      <c r="CE1300" s="23"/>
      <c r="CF1300" s="23"/>
      <c r="CG1300" s="23"/>
      <c r="CH1300" s="23"/>
      <c r="CI1300" s="23"/>
      <c r="CJ1300" s="23"/>
      <c r="CK1300" s="23"/>
    </row>
    <row r="1301" spans="1:89">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c r="AV1301" s="23"/>
      <c r="AW1301" s="23"/>
      <c r="AX1301" s="23"/>
      <c r="AY1301" s="23"/>
      <c r="AZ1301" s="23"/>
      <c r="BA1301" s="23"/>
      <c r="BB1301" s="23"/>
      <c r="BC1301" s="23"/>
      <c r="BD1301" s="23"/>
      <c r="BE1301" s="23"/>
      <c r="BF1301" s="23"/>
      <c r="BG1301" s="23"/>
      <c r="BH1301" s="23"/>
      <c r="BI1301" s="23"/>
      <c r="BJ1301" s="23"/>
      <c r="BK1301" s="23"/>
      <c r="BL1301" s="23"/>
      <c r="BM1301" s="23"/>
      <c r="BN1301" s="23"/>
      <c r="BO1301" s="23"/>
      <c r="BP1301" s="23"/>
      <c r="BQ1301" s="23"/>
      <c r="BR1301" s="23"/>
      <c r="BS1301" s="23"/>
      <c r="BT1301" s="23"/>
      <c r="BU1301" s="23"/>
      <c r="BV1301" s="23"/>
      <c r="BW1301" s="23"/>
      <c r="BX1301" s="23"/>
      <c r="BY1301" s="23"/>
      <c r="BZ1301" s="23"/>
      <c r="CA1301" s="23"/>
      <c r="CB1301" s="23"/>
      <c r="CC1301" s="23"/>
      <c r="CD1301" s="23"/>
      <c r="CE1301" s="23"/>
      <c r="CF1301" s="23"/>
      <c r="CG1301" s="23"/>
      <c r="CH1301" s="23"/>
      <c r="CI1301" s="23"/>
      <c r="CJ1301" s="23"/>
      <c r="CK1301" s="23"/>
    </row>
    <row r="1302" spans="1:89">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c r="AV1302" s="23"/>
      <c r="AW1302" s="23"/>
      <c r="AX1302" s="23"/>
      <c r="AY1302" s="23"/>
      <c r="AZ1302" s="23"/>
      <c r="BA1302" s="23"/>
      <c r="BB1302" s="23"/>
      <c r="BC1302" s="23"/>
      <c r="BD1302" s="23"/>
      <c r="BE1302" s="23"/>
      <c r="BF1302" s="23"/>
      <c r="BG1302" s="23"/>
      <c r="BH1302" s="23"/>
      <c r="BI1302" s="23"/>
      <c r="BJ1302" s="23"/>
      <c r="BK1302" s="23"/>
      <c r="BL1302" s="23"/>
      <c r="BM1302" s="23"/>
      <c r="BN1302" s="23"/>
      <c r="BO1302" s="23"/>
      <c r="BP1302" s="23"/>
      <c r="BQ1302" s="23"/>
      <c r="BR1302" s="23"/>
      <c r="BS1302" s="23"/>
      <c r="BT1302" s="23"/>
      <c r="BU1302" s="23"/>
      <c r="BV1302" s="23"/>
      <c r="BW1302" s="23"/>
      <c r="BX1302" s="23"/>
      <c r="BY1302" s="23"/>
      <c r="BZ1302" s="23"/>
      <c r="CA1302" s="23"/>
      <c r="CB1302" s="23"/>
      <c r="CC1302" s="23"/>
      <c r="CD1302" s="23"/>
      <c r="CE1302" s="23"/>
      <c r="CF1302" s="23"/>
      <c r="CG1302" s="23"/>
      <c r="CH1302" s="23"/>
      <c r="CI1302" s="23"/>
      <c r="CJ1302" s="23"/>
      <c r="CK1302" s="23"/>
    </row>
    <row r="1303" spans="1:89">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c r="AV1303" s="23"/>
      <c r="AW1303" s="23"/>
      <c r="AX1303" s="23"/>
      <c r="AY1303" s="23"/>
      <c r="AZ1303" s="23"/>
      <c r="BA1303" s="23"/>
      <c r="BB1303" s="23"/>
      <c r="BC1303" s="23"/>
      <c r="BD1303" s="23"/>
      <c r="BE1303" s="23"/>
      <c r="BF1303" s="23"/>
      <c r="BG1303" s="23"/>
      <c r="BH1303" s="23"/>
      <c r="BI1303" s="23"/>
      <c r="BJ1303" s="23"/>
      <c r="BK1303" s="23"/>
      <c r="BL1303" s="23"/>
      <c r="BM1303" s="23"/>
      <c r="BN1303" s="23"/>
      <c r="BO1303" s="23"/>
      <c r="BP1303" s="23"/>
      <c r="BQ1303" s="23"/>
      <c r="BR1303" s="23"/>
      <c r="BS1303" s="23"/>
      <c r="BT1303" s="23"/>
      <c r="BU1303" s="23"/>
      <c r="BV1303" s="23"/>
      <c r="BW1303" s="23"/>
      <c r="BX1303" s="23"/>
      <c r="BY1303" s="23"/>
      <c r="BZ1303" s="23"/>
      <c r="CA1303" s="23"/>
      <c r="CB1303" s="23"/>
      <c r="CC1303" s="23"/>
      <c r="CD1303" s="23"/>
      <c r="CE1303" s="23"/>
      <c r="CF1303" s="23"/>
      <c r="CG1303" s="23"/>
      <c r="CH1303" s="23"/>
      <c r="CI1303" s="23"/>
      <c r="CJ1303" s="23"/>
      <c r="CK1303" s="23"/>
    </row>
    <row r="1304" spans="1:89">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c r="AV1304" s="23"/>
      <c r="AW1304" s="23"/>
      <c r="AX1304" s="23"/>
      <c r="AY1304" s="23"/>
      <c r="AZ1304" s="23"/>
      <c r="BA1304" s="23"/>
      <c r="BB1304" s="23"/>
      <c r="BC1304" s="23"/>
      <c r="BD1304" s="23"/>
      <c r="BE1304" s="23"/>
      <c r="BF1304" s="23"/>
      <c r="BG1304" s="23"/>
      <c r="BH1304" s="23"/>
      <c r="BI1304" s="23"/>
      <c r="BJ1304" s="23"/>
      <c r="BK1304" s="23"/>
      <c r="BL1304" s="23"/>
      <c r="BM1304" s="23"/>
      <c r="BN1304" s="23"/>
      <c r="BO1304" s="23"/>
      <c r="BP1304" s="23"/>
      <c r="BQ1304" s="23"/>
      <c r="BR1304" s="23"/>
      <c r="BS1304" s="23"/>
      <c r="BT1304" s="23"/>
      <c r="BU1304" s="23"/>
      <c r="BV1304" s="23"/>
      <c r="BW1304" s="23"/>
      <c r="BX1304" s="23"/>
      <c r="BY1304" s="23"/>
      <c r="BZ1304" s="23"/>
      <c r="CA1304" s="23"/>
      <c r="CB1304" s="23"/>
      <c r="CC1304" s="23"/>
      <c r="CD1304" s="23"/>
      <c r="CE1304" s="23"/>
      <c r="CF1304" s="23"/>
      <c r="CG1304" s="23"/>
      <c r="CH1304" s="23"/>
      <c r="CI1304" s="23"/>
      <c r="CJ1304" s="23"/>
      <c r="CK1304" s="23"/>
    </row>
    <row r="1305" spans="1:89">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c r="AV1305" s="23"/>
      <c r="AW1305" s="23"/>
      <c r="AX1305" s="23"/>
      <c r="AY1305" s="23"/>
      <c r="AZ1305" s="23"/>
      <c r="BA1305" s="23"/>
      <c r="BB1305" s="23"/>
      <c r="BC1305" s="23"/>
      <c r="BD1305" s="23"/>
      <c r="BE1305" s="23"/>
      <c r="BF1305" s="23"/>
      <c r="BG1305" s="23"/>
      <c r="BH1305" s="23"/>
      <c r="BI1305" s="23"/>
      <c r="BJ1305" s="23"/>
      <c r="BK1305" s="23"/>
      <c r="BL1305" s="23"/>
      <c r="BM1305" s="23"/>
      <c r="BN1305" s="23"/>
      <c r="BO1305" s="23"/>
      <c r="BP1305" s="23"/>
      <c r="BQ1305" s="23"/>
      <c r="BR1305" s="23"/>
      <c r="BS1305" s="23"/>
      <c r="BT1305" s="23"/>
      <c r="BU1305" s="23"/>
      <c r="BV1305" s="23"/>
      <c r="BW1305" s="23"/>
      <c r="BX1305" s="23"/>
      <c r="BY1305" s="23"/>
      <c r="BZ1305" s="23"/>
      <c r="CA1305" s="23"/>
      <c r="CB1305" s="23"/>
      <c r="CC1305" s="23"/>
      <c r="CD1305" s="23"/>
      <c r="CE1305" s="23"/>
      <c r="CF1305" s="23"/>
      <c r="CG1305" s="23"/>
      <c r="CH1305" s="23"/>
      <c r="CI1305" s="23"/>
      <c r="CJ1305" s="23"/>
      <c r="CK1305" s="23"/>
    </row>
    <row r="1306" spans="1:89">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c r="AV1306" s="23"/>
      <c r="AW1306" s="23"/>
      <c r="AX1306" s="23"/>
      <c r="AY1306" s="23"/>
      <c r="AZ1306" s="23"/>
      <c r="BA1306" s="23"/>
      <c r="BB1306" s="23"/>
      <c r="BC1306" s="23"/>
      <c r="BD1306" s="23"/>
      <c r="BE1306" s="23"/>
      <c r="BF1306" s="23"/>
      <c r="BG1306" s="23"/>
      <c r="BH1306" s="23"/>
      <c r="BI1306" s="23"/>
      <c r="BJ1306" s="23"/>
      <c r="BK1306" s="23"/>
      <c r="BL1306" s="23"/>
      <c r="BM1306" s="23"/>
      <c r="BN1306" s="23"/>
      <c r="BO1306" s="23"/>
      <c r="BP1306" s="23"/>
      <c r="BQ1306" s="23"/>
      <c r="BR1306" s="23"/>
      <c r="BS1306" s="23"/>
      <c r="BT1306" s="23"/>
      <c r="BU1306" s="23"/>
      <c r="BV1306" s="23"/>
      <c r="BW1306" s="23"/>
      <c r="BX1306" s="23"/>
      <c r="BY1306" s="23"/>
      <c r="BZ1306" s="23"/>
      <c r="CA1306" s="23"/>
      <c r="CB1306" s="23"/>
      <c r="CC1306" s="23"/>
      <c r="CD1306" s="23"/>
      <c r="CE1306" s="23"/>
      <c r="CF1306" s="23"/>
      <c r="CG1306" s="23"/>
      <c r="CH1306" s="23"/>
      <c r="CI1306" s="23"/>
      <c r="CJ1306" s="23"/>
      <c r="CK1306" s="23"/>
    </row>
    <row r="1307" spans="1:89">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c r="AV1307" s="23"/>
      <c r="AW1307" s="23"/>
      <c r="AX1307" s="23"/>
      <c r="AY1307" s="23"/>
      <c r="AZ1307" s="23"/>
      <c r="BA1307" s="23"/>
      <c r="BB1307" s="23"/>
      <c r="BC1307" s="23"/>
      <c r="BD1307" s="23"/>
      <c r="BE1307" s="23"/>
      <c r="BF1307" s="23"/>
      <c r="BG1307" s="23"/>
      <c r="BH1307" s="23"/>
      <c r="BI1307" s="23"/>
      <c r="BJ1307" s="23"/>
      <c r="BK1307" s="23"/>
      <c r="BL1307" s="23"/>
      <c r="BM1307" s="23"/>
      <c r="BN1307" s="23"/>
      <c r="BO1307" s="23"/>
      <c r="BP1307" s="23"/>
      <c r="BQ1307" s="23"/>
      <c r="BR1307" s="23"/>
      <c r="BS1307" s="23"/>
      <c r="BT1307" s="23"/>
      <c r="BU1307" s="23"/>
      <c r="BV1307" s="23"/>
      <c r="BW1307" s="23"/>
      <c r="BX1307" s="23"/>
      <c r="BY1307" s="23"/>
      <c r="BZ1307" s="23"/>
      <c r="CA1307" s="23"/>
      <c r="CB1307" s="23"/>
      <c r="CC1307" s="23"/>
      <c r="CD1307" s="23"/>
      <c r="CE1307" s="23"/>
      <c r="CF1307" s="23"/>
      <c r="CG1307" s="23"/>
      <c r="CH1307" s="23"/>
      <c r="CI1307" s="23"/>
      <c r="CJ1307" s="23"/>
      <c r="CK1307" s="23"/>
    </row>
    <row r="1308" spans="1:89">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c r="AV1308" s="23"/>
      <c r="AW1308" s="23"/>
      <c r="AX1308" s="23"/>
      <c r="AY1308" s="23"/>
      <c r="AZ1308" s="23"/>
      <c r="BA1308" s="23"/>
      <c r="BB1308" s="23"/>
      <c r="BC1308" s="23"/>
      <c r="BD1308" s="23"/>
      <c r="BE1308" s="23"/>
      <c r="BF1308" s="23"/>
      <c r="BG1308" s="23"/>
      <c r="BH1308" s="23"/>
      <c r="BI1308" s="23"/>
      <c r="BJ1308" s="23"/>
      <c r="BK1308" s="23"/>
      <c r="BL1308" s="23"/>
      <c r="BM1308" s="23"/>
      <c r="BN1308" s="23"/>
      <c r="BO1308" s="23"/>
      <c r="BP1308" s="23"/>
      <c r="BQ1308" s="23"/>
      <c r="BR1308" s="23"/>
      <c r="BS1308" s="23"/>
      <c r="BT1308" s="23"/>
      <c r="BU1308" s="23"/>
      <c r="BV1308" s="23"/>
      <c r="BW1308" s="23"/>
      <c r="BX1308" s="23"/>
      <c r="BY1308" s="23"/>
      <c r="BZ1308" s="23"/>
      <c r="CA1308" s="23"/>
      <c r="CB1308" s="23"/>
      <c r="CC1308" s="23"/>
      <c r="CD1308" s="23"/>
      <c r="CE1308" s="23"/>
      <c r="CF1308" s="23"/>
      <c r="CG1308" s="23"/>
      <c r="CH1308" s="23"/>
      <c r="CI1308" s="23"/>
      <c r="CJ1308" s="23"/>
      <c r="CK1308" s="23"/>
    </row>
    <row r="1309" spans="1:89">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c r="AV1309" s="23"/>
      <c r="AW1309" s="23"/>
      <c r="AX1309" s="23"/>
      <c r="AY1309" s="23"/>
      <c r="AZ1309" s="23"/>
      <c r="BA1309" s="23"/>
      <c r="BB1309" s="23"/>
      <c r="BC1309" s="23"/>
      <c r="BD1309" s="23"/>
      <c r="BE1309" s="23"/>
      <c r="BF1309" s="23"/>
      <c r="BG1309" s="23"/>
      <c r="BH1309" s="23"/>
      <c r="BI1309" s="23"/>
      <c r="BJ1309" s="23"/>
      <c r="BK1309" s="23"/>
      <c r="BL1309" s="23"/>
      <c r="BM1309" s="23"/>
      <c r="BN1309" s="23"/>
      <c r="BO1309" s="23"/>
      <c r="BP1309" s="23"/>
      <c r="BQ1309" s="23"/>
      <c r="BR1309" s="23"/>
      <c r="BS1309" s="23"/>
      <c r="BT1309" s="23"/>
      <c r="BU1309" s="23"/>
      <c r="BV1309" s="23"/>
      <c r="BW1309" s="23"/>
      <c r="BX1309" s="23"/>
      <c r="BY1309" s="23"/>
      <c r="BZ1309" s="23"/>
      <c r="CA1309" s="23"/>
      <c r="CB1309" s="23"/>
      <c r="CC1309" s="23"/>
      <c r="CD1309" s="23"/>
      <c r="CE1309" s="23"/>
      <c r="CF1309" s="23"/>
      <c r="CG1309" s="23"/>
      <c r="CH1309" s="23"/>
      <c r="CI1309" s="23"/>
      <c r="CJ1309" s="23"/>
      <c r="CK1309" s="23"/>
    </row>
    <row r="1310" spans="1:89">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c r="AV1310" s="23"/>
      <c r="AW1310" s="23"/>
      <c r="AX1310" s="23"/>
      <c r="AY1310" s="23"/>
      <c r="AZ1310" s="23"/>
      <c r="BA1310" s="23"/>
      <c r="BB1310" s="23"/>
      <c r="BC1310" s="23"/>
      <c r="BD1310" s="23"/>
      <c r="BE1310" s="23"/>
      <c r="BF1310" s="23"/>
      <c r="BG1310" s="23"/>
      <c r="BH1310" s="23"/>
      <c r="BI1310" s="23"/>
      <c r="BJ1310" s="23"/>
      <c r="BK1310" s="23"/>
      <c r="BL1310" s="23"/>
      <c r="BM1310" s="23"/>
      <c r="BN1310" s="23"/>
      <c r="BO1310" s="23"/>
      <c r="BP1310" s="23"/>
      <c r="BQ1310" s="23"/>
      <c r="BR1310" s="23"/>
      <c r="BS1310" s="23"/>
      <c r="BT1310" s="23"/>
      <c r="BU1310" s="23"/>
      <c r="BV1310" s="23"/>
      <c r="BW1310" s="23"/>
      <c r="BX1310" s="23"/>
      <c r="BY1310" s="23"/>
      <c r="BZ1310" s="23"/>
      <c r="CA1310" s="23"/>
      <c r="CB1310" s="23"/>
      <c r="CC1310" s="23"/>
      <c r="CD1310" s="23"/>
      <c r="CE1310" s="23"/>
      <c r="CF1310" s="23"/>
      <c r="CG1310" s="23"/>
      <c r="CH1310" s="23"/>
      <c r="CI1310" s="23"/>
      <c r="CJ1310" s="23"/>
      <c r="CK1310" s="23"/>
    </row>
    <row r="1311" spans="1:89">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c r="AV1311" s="23"/>
      <c r="AW1311" s="23"/>
      <c r="AX1311" s="23"/>
      <c r="AY1311" s="23"/>
      <c r="AZ1311" s="23"/>
      <c r="BA1311" s="23"/>
      <c r="BB1311" s="23"/>
      <c r="BC1311" s="23"/>
      <c r="BD1311" s="23"/>
      <c r="BE1311" s="23"/>
      <c r="BF1311" s="23"/>
      <c r="BG1311" s="23"/>
      <c r="BH1311" s="23"/>
      <c r="BI1311" s="23"/>
      <c r="BJ1311" s="23"/>
      <c r="BK1311" s="23"/>
      <c r="BL1311" s="23"/>
      <c r="BM1311" s="23"/>
      <c r="BN1311" s="23"/>
      <c r="BO1311" s="23"/>
      <c r="BP1311" s="23"/>
      <c r="BQ1311" s="23"/>
      <c r="BR1311" s="23"/>
      <c r="BS1311" s="23"/>
      <c r="BT1311" s="23"/>
      <c r="BU1311" s="23"/>
      <c r="BV1311" s="23"/>
      <c r="BW1311" s="23"/>
      <c r="BX1311" s="23"/>
      <c r="BY1311" s="23"/>
      <c r="BZ1311" s="23"/>
      <c r="CA1311" s="23"/>
      <c r="CB1311" s="23"/>
      <c r="CC1311" s="23"/>
      <c r="CD1311" s="23"/>
      <c r="CE1311" s="23"/>
      <c r="CF1311" s="23"/>
      <c r="CG1311" s="23"/>
      <c r="CH1311" s="23"/>
      <c r="CI1311" s="23"/>
      <c r="CJ1311" s="23"/>
      <c r="CK1311" s="23"/>
    </row>
    <row r="1312" spans="1:89">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c r="AV1312" s="23"/>
      <c r="AW1312" s="23"/>
      <c r="AX1312" s="23"/>
      <c r="AY1312" s="23"/>
      <c r="AZ1312" s="23"/>
      <c r="BA1312" s="23"/>
      <c r="BB1312" s="23"/>
      <c r="BC1312" s="23"/>
      <c r="BD1312" s="23"/>
      <c r="BE1312" s="23"/>
      <c r="BF1312" s="23"/>
      <c r="BG1312" s="23"/>
      <c r="BH1312" s="23"/>
      <c r="BI1312" s="23"/>
      <c r="BJ1312" s="23"/>
      <c r="BK1312" s="23"/>
      <c r="BL1312" s="23"/>
      <c r="BM1312" s="23"/>
      <c r="BN1312" s="23"/>
      <c r="BO1312" s="23"/>
      <c r="BP1312" s="23"/>
      <c r="BQ1312" s="23"/>
      <c r="BR1312" s="23"/>
      <c r="BS1312" s="23"/>
      <c r="BT1312" s="23"/>
      <c r="BU1312" s="23"/>
      <c r="BV1312" s="23"/>
      <c r="BW1312" s="23"/>
      <c r="BX1312" s="23"/>
      <c r="BY1312" s="23"/>
      <c r="BZ1312" s="23"/>
      <c r="CA1312" s="23"/>
      <c r="CB1312" s="23"/>
      <c r="CC1312" s="23"/>
      <c r="CD1312" s="23"/>
      <c r="CE1312" s="23"/>
      <c r="CF1312" s="23"/>
      <c r="CG1312" s="23"/>
      <c r="CH1312" s="23"/>
      <c r="CI1312" s="23"/>
      <c r="CJ1312" s="23"/>
      <c r="CK1312" s="23"/>
    </row>
    <row r="1313" spans="1:89">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c r="AV1313" s="23"/>
      <c r="AW1313" s="23"/>
      <c r="AX1313" s="23"/>
      <c r="AY1313" s="23"/>
      <c r="AZ1313" s="23"/>
      <c r="BA1313" s="23"/>
      <c r="BB1313" s="23"/>
      <c r="BC1313" s="23"/>
      <c r="BD1313" s="23"/>
      <c r="BE1313" s="23"/>
      <c r="BF1313" s="23"/>
      <c r="BG1313" s="23"/>
      <c r="BH1313" s="23"/>
      <c r="BI1313" s="23"/>
      <c r="BJ1313" s="23"/>
      <c r="BK1313" s="23"/>
      <c r="BL1313" s="23"/>
      <c r="BM1313" s="23"/>
      <c r="BN1313" s="23"/>
      <c r="BO1313" s="23"/>
      <c r="BP1313" s="23"/>
      <c r="BQ1313" s="23"/>
      <c r="BR1313" s="23"/>
      <c r="BS1313" s="23"/>
      <c r="BT1313" s="23"/>
      <c r="BU1313" s="23"/>
      <c r="BV1313" s="23"/>
      <c r="BW1313" s="23"/>
      <c r="BX1313" s="23"/>
      <c r="BY1313" s="23"/>
      <c r="BZ1313" s="23"/>
      <c r="CA1313" s="23"/>
      <c r="CB1313" s="23"/>
      <c r="CC1313" s="23"/>
      <c r="CD1313" s="23"/>
      <c r="CE1313" s="23"/>
      <c r="CF1313" s="23"/>
      <c r="CG1313" s="23"/>
      <c r="CH1313" s="23"/>
      <c r="CI1313" s="23"/>
      <c r="CJ1313" s="23"/>
      <c r="CK1313" s="23"/>
    </row>
    <row r="1314" spans="1:89">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c r="AV1314" s="23"/>
      <c r="AW1314" s="23"/>
      <c r="AX1314" s="23"/>
      <c r="AY1314" s="23"/>
      <c r="AZ1314" s="23"/>
      <c r="BA1314" s="23"/>
      <c r="BB1314" s="23"/>
      <c r="BC1314" s="23"/>
      <c r="BD1314" s="23"/>
      <c r="BE1314" s="23"/>
      <c r="BF1314" s="23"/>
      <c r="BG1314" s="23"/>
      <c r="BH1314" s="23"/>
      <c r="BI1314" s="23"/>
      <c r="BJ1314" s="23"/>
      <c r="BK1314" s="23"/>
      <c r="BL1314" s="23"/>
      <c r="BM1314" s="23"/>
      <c r="BN1314" s="23"/>
      <c r="BO1314" s="23"/>
      <c r="BP1314" s="23"/>
      <c r="BQ1314" s="23"/>
      <c r="BR1314" s="23"/>
      <c r="BS1314" s="23"/>
      <c r="BT1314" s="23"/>
      <c r="BU1314" s="23"/>
      <c r="BV1314" s="23"/>
      <c r="BW1314" s="23"/>
      <c r="BX1314" s="23"/>
      <c r="BY1314" s="23"/>
      <c r="BZ1314" s="23"/>
      <c r="CA1314" s="23"/>
      <c r="CB1314" s="23"/>
      <c r="CC1314" s="23"/>
      <c r="CD1314" s="23"/>
      <c r="CE1314" s="23"/>
      <c r="CF1314" s="23"/>
      <c r="CG1314" s="23"/>
      <c r="CH1314" s="23"/>
      <c r="CI1314" s="23"/>
      <c r="CJ1314" s="23"/>
      <c r="CK1314" s="23"/>
    </row>
    <row r="1315" spans="1:89">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c r="AV1315" s="23"/>
      <c r="AW1315" s="23"/>
      <c r="AX1315" s="23"/>
      <c r="AY1315" s="23"/>
      <c r="AZ1315" s="23"/>
      <c r="BA1315" s="23"/>
      <c r="BB1315" s="23"/>
      <c r="BC1315" s="23"/>
      <c r="BD1315" s="23"/>
      <c r="BE1315" s="23"/>
      <c r="BF1315" s="23"/>
      <c r="BG1315" s="23"/>
      <c r="BH1315" s="23"/>
      <c r="BI1315" s="23"/>
      <c r="BJ1315" s="23"/>
      <c r="BK1315" s="23"/>
      <c r="BL1315" s="23"/>
      <c r="BM1315" s="23"/>
      <c r="BN1315" s="23"/>
      <c r="BO1315" s="23"/>
      <c r="BP1315" s="23"/>
      <c r="BQ1315" s="23"/>
      <c r="BR1315" s="23"/>
      <c r="BS1315" s="23"/>
      <c r="BT1315" s="23"/>
      <c r="BU1315" s="23"/>
      <c r="BV1315" s="23"/>
      <c r="BW1315" s="23"/>
      <c r="BX1315" s="23"/>
      <c r="BY1315" s="23"/>
      <c r="BZ1315" s="23"/>
      <c r="CA1315" s="23"/>
      <c r="CB1315" s="23"/>
      <c r="CC1315" s="23"/>
      <c r="CD1315" s="23"/>
      <c r="CE1315" s="23"/>
      <c r="CF1315" s="23"/>
      <c r="CG1315" s="23"/>
      <c r="CH1315" s="23"/>
      <c r="CI1315" s="23"/>
      <c r="CJ1315" s="23"/>
      <c r="CK1315" s="23"/>
    </row>
    <row r="1316" spans="1:89">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c r="AV1316" s="23"/>
      <c r="AW1316" s="23"/>
      <c r="AX1316" s="23"/>
      <c r="AY1316" s="23"/>
      <c r="AZ1316" s="23"/>
      <c r="BA1316" s="23"/>
      <c r="BB1316" s="23"/>
      <c r="BC1316" s="23"/>
      <c r="BD1316" s="23"/>
      <c r="BE1316" s="23"/>
      <c r="BF1316" s="23"/>
      <c r="BG1316" s="23"/>
      <c r="BH1316" s="23"/>
      <c r="BI1316" s="23"/>
      <c r="BJ1316" s="23"/>
      <c r="BK1316" s="23"/>
      <c r="BL1316" s="23"/>
      <c r="BM1316" s="23"/>
      <c r="BN1316" s="23"/>
      <c r="BO1316" s="23"/>
      <c r="BP1316" s="23"/>
      <c r="BQ1316" s="23"/>
      <c r="BR1316" s="23"/>
      <c r="BS1316" s="23"/>
      <c r="BT1316" s="23"/>
      <c r="BU1316" s="23"/>
      <c r="BV1316" s="23"/>
      <c r="BW1316" s="23"/>
      <c r="BX1316" s="23"/>
      <c r="BY1316" s="23"/>
      <c r="BZ1316" s="23"/>
      <c r="CA1316" s="23"/>
      <c r="CB1316" s="23"/>
      <c r="CC1316" s="23"/>
      <c r="CD1316" s="23"/>
      <c r="CE1316" s="23"/>
      <c r="CF1316" s="23"/>
      <c r="CG1316" s="23"/>
      <c r="CH1316" s="23"/>
      <c r="CI1316" s="23"/>
      <c r="CJ1316" s="23"/>
      <c r="CK1316" s="23"/>
    </row>
    <row r="1317" spans="1:89">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c r="AV1317" s="23"/>
      <c r="AW1317" s="23"/>
      <c r="AX1317" s="23"/>
      <c r="AY1317" s="23"/>
      <c r="AZ1317" s="23"/>
      <c r="BA1317" s="23"/>
      <c r="BB1317" s="23"/>
      <c r="BC1317" s="23"/>
      <c r="BD1317" s="23"/>
      <c r="BE1317" s="23"/>
      <c r="BF1317" s="23"/>
      <c r="BG1317" s="23"/>
      <c r="BH1317" s="23"/>
      <c r="BI1317" s="23"/>
      <c r="BJ1317" s="23"/>
      <c r="BK1317" s="23"/>
      <c r="BL1317" s="23"/>
      <c r="BM1317" s="23"/>
      <c r="BN1317" s="23"/>
      <c r="BO1317" s="23"/>
      <c r="BP1317" s="23"/>
      <c r="BQ1317" s="23"/>
      <c r="BR1317" s="23"/>
      <c r="BS1317" s="23"/>
      <c r="BT1317" s="23"/>
      <c r="BU1317" s="23"/>
      <c r="BV1317" s="23"/>
      <c r="BW1317" s="23"/>
      <c r="BX1317" s="23"/>
      <c r="BY1317" s="23"/>
      <c r="BZ1317" s="23"/>
      <c r="CA1317" s="23"/>
      <c r="CB1317" s="23"/>
      <c r="CC1317" s="23"/>
      <c r="CD1317" s="23"/>
      <c r="CE1317" s="23"/>
      <c r="CF1317" s="23"/>
      <c r="CG1317" s="23"/>
      <c r="CH1317" s="23"/>
      <c r="CI1317" s="23"/>
      <c r="CJ1317" s="23"/>
      <c r="CK1317" s="23"/>
    </row>
    <row r="1318" spans="1:89">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c r="AV1318" s="23"/>
      <c r="AW1318" s="23"/>
      <c r="AX1318" s="23"/>
      <c r="AY1318" s="23"/>
      <c r="AZ1318" s="23"/>
      <c r="BA1318" s="23"/>
      <c r="BB1318" s="23"/>
      <c r="BC1318" s="23"/>
      <c r="BD1318" s="23"/>
      <c r="BE1318" s="23"/>
      <c r="BF1318" s="23"/>
      <c r="BG1318" s="23"/>
      <c r="BH1318" s="23"/>
      <c r="BI1318" s="23"/>
      <c r="BJ1318" s="23"/>
      <c r="BK1318" s="23"/>
      <c r="BL1318" s="23"/>
      <c r="BM1318" s="23"/>
      <c r="BN1318" s="23"/>
      <c r="BO1318" s="23"/>
      <c r="BP1318" s="23"/>
      <c r="BQ1318" s="23"/>
      <c r="BR1318" s="23"/>
      <c r="BS1318" s="23"/>
      <c r="BT1318" s="23"/>
      <c r="BU1318" s="23"/>
      <c r="BV1318" s="23"/>
      <c r="BW1318" s="23"/>
      <c r="BX1318" s="23"/>
      <c r="BY1318" s="23"/>
      <c r="BZ1318" s="23"/>
      <c r="CA1318" s="23"/>
      <c r="CB1318" s="23"/>
      <c r="CC1318" s="23"/>
      <c r="CD1318" s="23"/>
      <c r="CE1318" s="23"/>
      <c r="CF1318" s="23"/>
      <c r="CG1318" s="23"/>
      <c r="CH1318" s="23"/>
      <c r="CI1318" s="23"/>
      <c r="CJ1318" s="23"/>
      <c r="CK1318" s="23"/>
    </row>
    <row r="1319" spans="1:89">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c r="AV1319" s="23"/>
      <c r="AW1319" s="23"/>
      <c r="AX1319" s="23"/>
      <c r="AY1319" s="23"/>
      <c r="AZ1319" s="23"/>
      <c r="BA1319" s="23"/>
      <c r="BB1319" s="23"/>
      <c r="BC1319" s="23"/>
      <c r="BD1319" s="23"/>
      <c r="BE1319" s="23"/>
      <c r="BF1319" s="23"/>
      <c r="BG1319" s="23"/>
      <c r="BH1319" s="23"/>
      <c r="BI1319" s="23"/>
      <c r="BJ1319" s="23"/>
      <c r="BK1319" s="23"/>
      <c r="BL1319" s="23"/>
      <c r="BM1319" s="23"/>
      <c r="BN1319" s="23"/>
      <c r="BO1319" s="23"/>
      <c r="BP1319" s="23"/>
      <c r="BQ1319" s="23"/>
      <c r="BR1319" s="23"/>
      <c r="BS1319" s="23"/>
      <c r="BT1319" s="23"/>
      <c r="BU1319" s="23"/>
      <c r="BV1319" s="23"/>
      <c r="BW1319" s="23"/>
      <c r="BX1319" s="23"/>
      <c r="BY1319" s="23"/>
      <c r="BZ1319" s="23"/>
      <c r="CA1319" s="23"/>
      <c r="CB1319" s="23"/>
      <c r="CC1319" s="23"/>
      <c r="CD1319" s="23"/>
      <c r="CE1319" s="23"/>
      <c r="CF1319" s="23"/>
      <c r="CG1319" s="23"/>
      <c r="CH1319" s="23"/>
      <c r="CI1319" s="23"/>
      <c r="CJ1319" s="23"/>
      <c r="CK1319" s="23"/>
    </row>
    <row r="1320" spans="1:89">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c r="AV1320" s="23"/>
      <c r="AW1320" s="23"/>
      <c r="AX1320" s="23"/>
      <c r="AY1320" s="23"/>
      <c r="AZ1320" s="23"/>
      <c r="BA1320" s="23"/>
      <c r="BB1320" s="23"/>
      <c r="BC1320" s="23"/>
      <c r="BD1320" s="23"/>
      <c r="BE1320" s="23"/>
      <c r="BF1320" s="23"/>
      <c r="BG1320" s="23"/>
      <c r="BH1320" s="23"/>
      <c r="BI1320" s="23"/>
      <c r="BJ1320" s="23"/>
      <c r="BK1320" s="23"/>
      <c r="BL1320" s="23"/>
      <c r="BM1320" s="23"/>
      <c r="BN1320" s="23"/>
      <c r="BO1320" s="23"/>
      <c r="BP1320" s="23"/>
      <c r="BQ1320" s="23"/>
      <c r="BR1320" s="23"/>
      <c r="BS1320" s="23"/>
      <c r="BT1320" s="23"/>
      <c r="BU1320" s="23"/>
      <c r="BV1320" s="23"/>
      <c r="BW1320" s="23"/>
      <c r="BX1320" s="23"/>
      <c r="BY1320" s="23"/>
      <c r="BZ1320" s="23"/>
      <c r="CA1320" s="23"/>
      <c r="CB1320" s="23"/>
      <c r="CC1320" s="23"/>
      <c r="CD1320" s="23"/>
      <c r="CE1320" s="23"/>
      <c r="CF1320" s="23"/>
      <c r="CG1320" s="23"/>
      <c r="CH1320" s="23"/>
      <c r="CI1320" s="23"/>
      <c r="CJ1320" s="23"/>
      <c r="CK1320" s="23"/>
    </row>
    <row r="1321" spans="1:89">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c r="AV1321" s="23"/>
      <c r="AW1321" s="23"/>
      <c r="AX1321" s="23"/>
      <c r="AY1321" s="23"/>
      <c r="AZ1321" s="23"/>
      <c r="BA1321" s="23"/>
      <c r="BB1321" s="23"/>
      <c r="BC1321" s="23"/>
      <c r="BD1321" s="23"/>
      <c r="BE1321" s="23"/>
      <c r="BF1321" s="23"/>
      <c r="BG1321" s="23"/>
      <c r="BH1321" s="23"/>
      <c r="BI1321" s="23"/>
      <c r="BJ1321" s="23"/>
      <c r="BK1321" s="23"/>
      <c r="BL1321" s="23"/>
      <c r="BM1321" s="23"/>
      <c r="BN1321" s="23"/>
      <c r="BO1321" s="23"/>
      <c r="BP1321" s="23"/>
      <c r="BQ1321" s="23"/>
      <c r="BR1321" s="23"/>
      <c r="BS1321" s="23"/>
      <c r="BT1321" s="23"/>
      <c r="BU1321" s="23"/>
      <c r="BV1321" s="23"/>
      <c r="BW1321" s="23"/>
      <c r="BX1321" s="23"/>
      <c r="BY1321" s="23"/>
      <c r="BZ1321" s="23"/>
      <c r="CA1321" s="23"/>
      <c r="CB1321" s="23"/>
      <c r="CC1321" s="23"/>
      <c r="CD1321" s="23"/>
      <c r="CE1321" s="23"/>
      <c r="CF1321" s="23"/>
      <c r="CG1321" s="23"/>
      <c r="CH1321" s="23"/>
      <c r="CI1321" s="23"/>
      <c r="CJ1321" s="23"/>
      <c r="CK1321" s="23"/>
    </row>
    <row r="1322" spans="1:89">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c r="AV1322" s="23"/>
      <c r="AW1322" s="23"/>
      <c r="AX1322" s="23"/>
      <c r="AY1322" s="23"/>
      <c r="AZ1322" s="23"/>
      <c r="BA1322" s="23"/>
      <c r="BB1322" s="23"/>
      <c r="BC1322" s="23"/>
      <c r="BD1322" s="23"/>
      <c r="BE1322" s="23"/>
      <c r="BF1322" s="23"/>
      <c r="BG1322" s="23"/>
      <c r="BH1322" s="23"/>
      <c r="BI1322" s="23"/>
      <c r="BJ1322" s="23"/>
      <c r="BK1322" s="23"/>
      <c r="BL1322" s="23"/>
      <c r="BM1322" s="23"/>
      <c r="BN1322" s="23"/>
      <c r="BO1322" s="23"/>
      <c r="BP1322" s="23"/>
      <c r="BQ1322" s="23"/>
      <c r="BR1322" s="23"/>
      <c r="BS1322" s="23"/>
      <c r="BT1322" s="23"/>
      <c r="BU1322" s="23"/>
      <c r="BV1322" s="23"/>
      <c r="BW1322" s="23"/>
      <c r="BX1322" s="23"/>
      <c r="BY1322" s="23"/>
      <c r="BZ1322" s="23"/>
      <c r="CA1322" s="23"/>
      <c r="CB1322" s="23"/>
      <c r="CC1322" s="23"/>
      <c r="CD1322" s="23"/>
      <c r="CE1322" s="23"/>
      <c r="CF1322" s="23"/>
      <c r="CG1322" s="23"/>
      <c r="CH1322" s="23"/>
      <c r="CI1322" s="23"/>
      <c r="CJ1322" s="23"/>
      <c r="CK1322" s="23"/>
    </row>
    <row r="1323" spans="1:89">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c r="AV1323" s="23"/>
      <c r="AW1323" s="23"/>
      <c r="AX1323" s="23"/>
      <c r="AY1323" s="23"/>
      <c r="AZ1323" s="23"/>
      <c r="BA1323" s="23"/>
      <c r="BB1323" s="23"/>
      <c r="BC1323" s="23"/>
      <c r="BD1323" s="23"/>
      <c r="BE1323" s="23"/>
      <c r="BF1323" s="23"/>
      <c r="BG1323" s="23"/>
      <c r="BH1323" s="23"/>
      <c r="BI1323" s="23"/>
      <c r="BJ1323" s="23"/>
      <c r="BK1323" s="23"/>
      <c r="BL1323" s="23"/>
      <c r="BM1323" s="23"/>
      <c r="BN1323" s="23"/>
      <c r="BO1323" s="23"/>
      <c r="BP1323" s="23"/>
      <c r="BQ1323" s="23"/>
      <c r="BR1323" s="23"/>
      <c r="BS1323" s="23"/>
      <c r="BT1323" s="23"/>
      <c r="BU1323" s="23"/>
      <c r="BV1323" s="23"/>
      <c r="BW1323" s="23"/>
      <c r="BX1323" s="23"/>
      <c r="BY1323" s="23"/>
      <c r="BZ1323" s="23"/>
      <c r="CA1323" s="23"/>
      <c r="CB1323" s="23"/>
      <c r="CC1323" s="23"/>
      <c r="CD1323" s="23"/>
      <c r="CE1323" s="23"/>
      <c r="CF1323" s="23"/>
      <c r="CG1323" s="23"/>
      <c r="CH1323" s="23"/>
      <c r="CI1323" s="23"/>
      <c r="CJ1323" s="23"/>
      <c r="CK1323" s="23"/>
    </row>
    <row r="1324" spans="1:89">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c r="AV1324" s="23"/>
      <c r="AW1324" s="23"/>
      <c r="AX1324" s="23"/>
      <c r="AY1324" s="23"/>
      <c r="AZ1324" s="23"/>
      <c r="BA1324" s="23"/>
      <c r="BB1324" s="23"/>
      <c r="BC1324" s="23"/>
      <c r="BD1324" s="23"/>
      <c r="BE1324" s="23"/>
      <c r="BF1324" s="23"/>
      <c r="BG1324" s="23"/>
      <c r="BH1324" s="23"/>
      <c r="BI1324" s="23"/>
      <c r="BJ1324" s="23"/>
      <c r="BK1324" s="23"/>
      <c r="BL1324" s="23"/>
      <c r="BM1324" s="23"/>
      <c r="BN1324" s="23"/>
      <c r="BO1324" s="23"/>
      <c r="BP1324" s="23"/>
      <c r="BQ1324" s="23"/>
      <c r="BR1324" s="23"/>
      <c r="BS1324" s="23"/>
      <c r="BT1324" s="23"/>
      <c r="BU1324" s="23"/>
      <c r="BV1324" s="23"/>
      <c r="BW1324" s="23"/>
      <c r="BX1324" s="23"/>
      <c r="BY1324" s="23"/>
      <c r="BZ1324" s="23"/>
      <c r="CA1324" s="23"/>
      <c r="CB1324" s="23"/>
      <c r="CC1324" s="23"/>
      <c r="CD1324" s="23"/>
      <c r="CE1324" s="23"/>
      <c r="CF1324" s="23"/>
      <c r="CG1324" s="23"/>
      <c r="CH1324" s="23"/>
      <c r="CI1324" s="23"/>
      <c r="CJ1324" s="23"/>
      <c r="CK1324" s="23"/>
    </row>
    <row r="1325" spans="1:89">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c r="AV1325" s="23"/>
      <c r="AW1325" s="23"/>
      <c r="AX1325" s="23"/>
      <c r="AY1325" s="23"/>
      <c r="AZ1325" s="23"/>
      <c r="BA1325" s="23"/>
      <c r="BB1325" s="23"/>
      <c r="BC1325" s="23"/>
      <c r="BD1325" s="23"/>
      <c r="BE1325" s="23"/>
      <c r="BF1325" s="23"/>
      <c r="BG1325" s="23"/>
      <c r="BH1325" s="23"/>
      <c r="BI1325" s="23"/>
      <c r="BJ1325" s="23"/>
      <c r="BK1325" s="23"/>
      <c r="BL1325" s="23"/>
      <c r="BM1325" s="23"/>
      <c r="BN1325" s="23"/>
      <c r="BO1325" s="23"/>
      <c r="BP1325" s="23"/>
      <c r="BQ1325" s="23"/>
      <c r="BR1325" s="23"/>
      <c r="BS1325" s="23"/>
      <c r="BT1325" s="23"/>
      <c r="BU1325" s="23"/>
      <c r="BV1325" s="23"/>
      <c r="BW1325" s="23"/>
      <c r="BX1325" s="23"/>
      <c r="BY1325" s="23"/>
      <c r="BZ1325" s="23"/>
      <c r="CA1325" s="23"/>
      <c r="CB1325" s="23"/>
      <c r="CC1325" s="23"/>
      <c r="CD1325" s="23"/>
      <c r="CE1325" s="23"/>
      <c r="CF1325" s="23"/>
      <c r="CG1325" s="23"/>
      <c r="CH1325" s="23"/>
      <c r="CI1325" s="23"/>
      <c r="CJ1325" s="23"/>
      <c r="CK1325" s="23"/>
    </row>
    <row r="1326" spans="1:89">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c r="AV1326" s="23"/>
      <c r="AW1326" s="23"/>
      <c r="AX1326" s="23"/>
      <c r="AY1326" s="23"/>
      <c r="AZ1326" s="23"/>
      <c r="BA1326" s="23"/>
      <c r="BB1326" s="23"/>
      <c r="BC1326" s="23"/>
      <c r="BD1326" s="23"/>
      <c r="BE1326" s="23"/>
      <c r="BF1326" s="23"/>
      <c r="BG1326" s="23"/>
      <c r="BH1326" s="23"/>
      <c r="BI1326" s="23"/>
      <c r="BJ1326" s="23"/>
      <c r="BK1326" s="23"/>
      <c r="BL1326" s="23"/>
      <c r="BM1326" s="23"/>
      <c r="BN1326" s="23"/>
      <c r="BO1326" s="23"/>
      <c r="BP1326" s="23"/>
      <c r="BQ1326" s="23"/>
      <c r="BR1326" s="23"/>
      <c r="BS1326" s="23"/>
      <c r="BT1326" s="23"/>
      <c r="BU1326" s="23"/>
      <c r="BV1326" s="23"/>
      <c r="BW1326" s="23"/>
      <c r="BX1326" s="23"/>
      <c r="BY1326" s="23"/>
      <c r="BZ1326" s="23"/>
      <c r="CA1326" s="23"/>
      <c r="CB1326" s="23"/>
      <c r="CC1326" s="23"/>
      <c r="CD1326" s="23"/>
      <c r="CE1326" s="23"/>
      <c r="CF1326" s="23"/>
      <c r="CG1326" s="23"/>
      <c r="CH1326" s="23"/>
      <c r="CI1326" s="23"/>
      <c r="CJ1326" s="23"/>
      <c r="CK1326" s="23"/>
    </row>
    <row r="1327" spans="1:89">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c r="AV1327" s="23"/>
      <c r="AW1327" s="23"/>
      <c r="AX1327" s="23"/>
      <c r="AY1327" s="23"/>
      <c r="AZ1327" s="23"/>
      <c r="BA1327" s="23"/>
      <c r="BB1327" s="23"/>
      <c r="BC1327" s="23"/>
      <c r="BD1327" s="23"/>
      <c r="BE1327" s="23"/>
      <c r="BF1327" s="23"/>
      <c r="BG1327" s="23"/>
      <c r="BH1327" s="23"/>
      <c r="BI1327" s="23"/>
      <c r="BJ1327" s="23"/>
      <c r="BK1327" s="23"/>
      <c r="BL1327" s="23"/>
      <c r="BM1327" s="23"/>
      <c r="BN1327" s="23"/>
      <c r="BO1327" s="23"/>
      <c r="BP1327" s="23"/>
      <c r="BQ1327" s="23"/>
      <c r="BR1327" s="23"/>
      <c r="BS1327" s="23"/>
      <c r="BT1327" s="23"/>
      <c r="BU1327" s="23"/>
      <c r="BV1327" s="23"/>
      <c r="BW1327" s="23"/>
      <c r="BX1327" s="23"/>
      <c r="BY1327" s="23"/>
      <c r="BZ1327" s="23"/>
      <c r="CA1327" s="23"/>
      <c r="CB1327" s="23"/>
      <c r="CC1327" s="23"/>
      <c r="CD1327" s="23"/>
      <c r="CE1327" s="23"/>
      <c r="CF1327" s="23"/>
      <c r="CG1327" s="23"/>
      <c r="CH1327" s="23"/>
      <c r="CI1327" s="23"/>
      <c r="CJ1327" s="23"/>
      <c r="CK1327" s="23"/>
    </row>
    <row r="1328" spans="1:89">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c r="AV1328" s="23"/>
      <c r="AW1328" s="23"/>
      <c r="AX1328" s="23"/>
      <c r="AY1328" s="23"/>
      <c r="AZ1328" s="23"/>
      <c r="BA1328" s="23"/>
      <c r="BB1328" s="23"/>
      <c r="BC1328" s="23"/>
      <c r="BD1328" s="23"/>
      <c r="BE1328" s="23"/>
      <c r="BF1328" s="23"/>
      <c r="BG1328" s="23"/>
      <c r="BH1328" s="23"/>
      <c r="BI1328" s="23"/>
      <c r="BJ1328" s="23"/>
      <c r="BK1328" s="23"/>
      <c r="BL1328" s="23"/>
      <c r="BM1328" s="23"/>
      <c r="BN1328" s="23"/>
      <c r="BO1328" s="23"/>
      <c r="BP1328" s="23"/>
      <c r="BQ1328" s="23"/>
      <c r="BR1328" s="23"/>
      <c r="BS1328" s="23"/>
      <c r="BT1328" s="23"/>
      <c r="BU1328" s="23"/>
      <c r="BV1328" s="23"/>
      <c r="BW1328" s="23"/>
      <c r="BX1328" s="23"/>
      <c r="BY1328" s="23"/>
      <c r="BZ1328" s="23"/>
      <c r="CA1328" s="23"/>
      <c r="CB1328" s="23"/>
      <c r="CC1328" s="23"/>
      <c r="CD1328" s="23"/>
      <c r="CE1328" s="23"/>
      <c r="CF1328" s="23"/>
      <c r="CG1328" s="23"/>
      <c r="CH1328" s="23"/>
      <c r="CI1328" s="23"/>
      <c r="CJ1328" s="23"/>
      <c r="CK1328" s="23"/>
    </row>
    <row r="1329" spans="1:89">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c r="AV1329" s="23"/>
      <c r="AW1329" s="23"/>
      <c r="AX1329" s="23"/>
      <c r="AY1329" s="23"/>
      <c r="AZ1329" s="23"/>
      <c r="BA1329" s="23"/>
      <c r="BB1329" s="23"/>
      <c r="BC1329" s="23"/>
      <c r="BD1329" s="23"/>
      <c r="BE1329" s="23"/>
      <c r="BF1329" s="23"/>
      <c r="BG1329" s="23"/>
      <c r="BH1329" s="23"/>
      <c r="BI1329" s="23"/>
      <c r="BJ1329" s="23"/>
      <c r="BK1329" s="23"/>
      <c r="BL1329" s="23"/>
      <c r="BM1329" s="23"/>
      <c r="BN1329" s="23"/>
      <c r="BO1329" s="23"/>
      <c r="BP1329" s="23"/>
      <c r="BQ1329" s="23"/>
      <c r="BR1329" s="23"/>
      <c r="BS1329" s="23"/>
      <c r="BT1329" s="23"/>
      <c r="BU1329" s="23"/>
      <c r="BV1329" s="23"/>
      <c r="BW1329" s="23"/>
      <c r="BX1329" s="23"/>
      <c r="BY1329" s="23"/>
      <c r="BZ1329" s="23"/>
      <c r="CA1329" s="23"/>
      <c r="CB1329" s="23"/>
      <c r="CC1329" s="23"/>
      <c r="CD1329" s="23"/>
      <c r="CE1329" s="23"/>
      <c r="CF1329" s="23"/>
      <c r="CG1329" s="23"/>
      <c r="CH1329" s="23"/>
      <c r="CI1329" s="23"/>
      <c r="CJ1329" s="23"/>
      <c r="CK1329" s="23"/>
    </row>
    <row r="1330" spans="1:89">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c r="AV1330" s="23"/>
      <c r="AW1330" s="23"/>
      <c r="AX1330" s="23"/>
      <c r="AY1330" s="23"/>
      <c r="AZ1330" s="23"/>
      <c r="BA1330" s="23"/>
      <c r="BB1330" s="23"/>
      <c r="BC1330" s="23"/>
      <c r="BD1330" s="23"/>
      <c r="BE1330" s="23"/>
      <c r="BF1330" s="23"/>
      <c r="BG1330" s="23"/>
      <c r="BH1330" s="23"/>
      <c r="BI1330" s="23"/>
      <c r="BJ1330" s="23"/>
      <c r="BK1330" s="23"/>
      <c r="BL1330" s="23"/>
      <c r="BM1330" s="23"/>
      <c r="BN1330" s="23"/>
      <c r="BO1330" s="23"/>
      <c r="BP1330" s="23"/>
      <c r="BQ1330" s="23"/>
      <c r="BR1330" s="23"/>
      <c r="BS1330" s="23"/>
      <c r="BT1330" s="23"/>
      <c r="BU1330" s="23"/>
      <c r="BV1330" s="23"/>
      <c r="BW1330" s="23"/>
      <c r="BX1330" s="23"/>
      <c r="BY1330" s="23"/>
      <c r="BZ1330" s="23"/>
      <c r="CA1330" s="23"/>
      <c r="CB1330" s="23"/>
      <c r="CC1330" s="23"/>
      <c r="CD1330" s="23"/>
      <c r="CE1330" s="23"/>
      <c r="CF1330" s="23"/>
      <c r="CG1330" s="23"/>
      <c r="CH1330" s="23"/>
      <c r="CI1330" s="23"/>
      <c r="CJ1330" s="23"/>
      <c r="CK1330" s="23"/>
    </row>
    <row r="1331" spans="1:89">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c r="AV1331" s="23"/>
      <c r="AW1331" s="23"/>
      <c r="AX1331" s="23"/>
      <c r="AY1331" s="23"/>
      <c r="AZ1331" s="23"/>
      <c r="BA1331" s="23"/>
      <c r="BB1331" s="23"/>
      <c r="BC1331" s="23"/>
      <c r="BD1331" s="23"/>
      <c r="BE1331" s="23"/>
      <c r="BF1331" s="23"/>
      <c r="BG1331" s="23"/>
      <c r="BH1331" s="23"/>
      <c r="BI1331" s="23"/>
      <c r="BJ1331" s="23"/>
      <c r="BK1331" s="23"/>
      <c r="BL1331" s="23"/>
      <c r="BM1331" s="23"/>
      <c r="BN1331" s="23"/>
      <c r="BO1331" s="23"/>
      <c r="BP1331" s="23"/>
      <c r="BQ1331" s="23"/>
      <c r="BR1331" s="23"/>
      <c r="BS1331" s="23"/>
      <c r="BT1331" s="23"/>
      <c r="BU1331" s="23"/>
      <c r="BV1331" s="23"/>
      <c r="BW1331" s="23"/>
      <c r="BX1331" s="23"/>
      <c r="BY1331" s="23"/>
      <c r="BZ1331" s="23"/>
      <c r="CA1331" s="23"/>
      <c r="CB1331" s="23"/>
      <c r="CC1331" s="23"/>
      <c r="CD1331" s="23"/>
      <c r="CE1331" s="23"/>
      <c r="CF1331" s="23"/>
      <c r="CG1331" s="23"/>
      <c r="CH1331" s="23"/>
      <c r="CI1331" s="23"/>
      <c r="CJ1331" s="23"/>
      <c r="CK1331" s="23"/>
    </row>
    <row r="1332" spans="1:89">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c r="AV1332" s="23"/>
      <c r="AW1332" s="23"/>
      <c r="AX1332" s="23"/>
      <c r="AY1332" s="23"/>
      <c r="AZ1332" s="23"/>
      <c r="BA1332" s="23"/>
      <c r="BB1332" s="23"/>
      <c r="BC1332" s="23"/>
      <c r="BD1332" s="23"/>
      <c r="BE1332" s="23"/>
      <c r="BF1332" s="23"/>
      <c r="BG1332" s="23"/>
      <c r="BH1332" s="23"/>
      <c r="BI1332" s="23"/>
      <c r="BJ1332" s="23"/>
      <c r="BK1332" s="23"/>
      <c r="BL1332" s="23"/>
      <c r="BM1332" s="23"/>
      <c r="BN1332" s="23"/>
      <c r="BO1332" s="23"/>
      <c r="BP1332" s="23"/>
      <c r="BQ1332" s="23"/>
      <c r="BR1332" s="23"/>
      <c r="BS1332" s="23"/>
      <c r="BT1332" s="23"/>
      <c r="BU1332" s="23"/>
      <c r="BV1332" s="23"/>
      <c r="BW1332" s="23"/>
      <c r="BX1332" s="23"/>
      <c r="BY1332" s="23"/>
      <c r="BZ1332" s="23"/>
      <c r="CA1332" s="23"/>
      <c r="CB1332" s="23"/>
      <c r="CC1332" s="23"/>
      <c r="CD1332" s="23"/>
      <c r="CE1332" s="23"/>
      <c r="CF1332" s="23"/>
      <c r="CG1332" s="23"/>
      <c r="CH1332" s="23"/>
      <c r="CI1332" s="23"/>
      <c r="CJ1332" s="23"/>
      <c r="CK1332" s="23"/>
    </row>
    <row r="1333" spans="1:89">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c r="AV1333" s="23"/>
      <c r="AW1333" s="23"/>
      <c r="AX1333" s="23"/>
      <c r="AY1333" s="23"/>
      <c r="AZ1333" s="23"/>
      <c r="BA1333" s="23"/>
      <c r="BB1333" s="23"/>
      <c r="BC1333" s="23"/>
      <c r="BD1333" s="23"/>
      <c r="BE1333" s="23"/>
      <c r="BF1333" s="23"/>
      <c r="BG1333" s="23"/>
      <c r="BH1333" s="23"/>
      <c r="BI1333" s="23"/>
      <c r="BJ1333" s="23"/>
      <c r="BK1333" s="23"/>
      <c r="BL1333" s="23"/>
      <c r="BM1333" s="23"/>
      <c r="BN1333" s="23"/>
      <c r="BO1333" s="23"/>
      <c r="BP1333" s="23"/>
      <c r="BQ1333" s="23"/>
      <c r="BR1333" s="23"/>
      <c r="BS1333" s="23"/>
      <c r="BT1333" s="23"/>
      <c r="BU1333" s="23"/>
      <c r="BV1333" s="23"/>
      <c r="BW1333" s="23"/>
      <c r="BX1333" s="23"/>
      <c r="BY1333" s="23"/>
      <c r="BZ1333" s="23"/>
      <c r="CA1333" s="23"/>
      <c r="CB1333" s="23"/>
      <c r="CC1333" s="23"/>
      <c r="CD1333" s="23"/>
      <c r="CE1333" s="23"/>
      <c r="CF1333" s="23"/>
      <c r="CG1333" s="23"/>
      <c r="CH1333" s="23"/>
      <c r="CI1333" s="23"/>
      <c r="CJ1333" s="23"/>
      <c r="CK1333" s="23"/>
    </row>
    <row r="1334" spans="1:89">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c r="AV1334" s="23"/>
      <c r="AW1334" s="23"/>
      <c r="AX1334" s="23"/>
      <c r="AY1334" s="23"/>
      <c r="AZ1334" s="23"/>
      <c r="BA1334" s="23"/>
      <c r="BB1334" s="23"/>
      <c r="BC1334" s="23"/>
      <c r="BD1334" s="23"/>
      <c r="BE1334" s="23"/>
      <c r="BF1334" s="23"/>
      <c r="BG1334" s="23"/>
      <c r="BH1334" s="23"/>
      <c r="BI1334" s="23"/>
      <c r="BJ1334" s="23"/>
      <c r="BK1334" s="23"/>
      <c r="BL1334" s="23"/>
      <c r="BM1334" s="23"/>
      <c r="BN1334" s="23"/>
      <c r="BO1334" s="23"/>
      <c r="BP1334" s="23"/>
      <c r="BQ1334" s="23"/>
      <c r="BR1334" s="23"/>
      <c r="BS1334" s="23"/>
      <c r="BT1334" s="23"/>
      <c r="BU1334" s="23"/>
      <c r="BV1334" s="23"/>
      <c r="BW1334" s="23"/>
      <c r="BX1334" s="23"/>
      <c r="BY1334" s="23"/>
      <c r="BZ1334" s="23"/>
      <c r="CA1334" s="23"/>
      <c r="CB1334" s="23"/>
      <c r="CC1334" s="23"/>
      <c r="CD1334" s="23"/>
      <c r="CE1334" s="23"/>
      <c r="CF1334" s="23"/>
      <c r="CG1334" s="23"/>
      <c r="CH1334" s="23"/>
      <c r="CI1334" s="23"/>
      <c r="CJ1334" s="23"/>
      <c r="CK1334" s="23"/>
    </row>
    <row r="1335" spans="1:89">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c r="AV1335" s="23"/>
      <c r="AW1335" s="23"/>
      <c r="AX1335" s="23"/>
      <c r="AY1335" s="23"/>
      <c r="AZ1335" s="23"/>
      <c r="BA1335" s="23"/>
      <c r="BB1335" s="23"/>
      <c r="BC1335" s="23"/>
      <c r="BD1335" s="23"/>
      <c r="BE1335" s="23"/>
      <c r="BF1335" s="23"/>
      <c r="BG1335" s="23"/>
      <c r="BH1335" s="23"/>
      <c r="BI1335" s="23"/>
      <c r="BJ1335" s="23"/>
      <c r="BK1335" s="23"/>
      <c r="BL1335" s="23"/>
      <c r="BM1335" s="23"/>
      <c r="BN1335" s="23"/>
      <c r="BO1335" s="23"/>
      <c r="BP1335" s="23"/>
      <c r="BQ1335" s="23"/>
      <c r="BR1335" s="23"/>
      <c r="BS1335" s="23"/>
      <c r="BT1335" s="23"/>
      <c r="BU1335" s="23"/>
      <c r="BV1335" s="23"/>
      <c r="BW1335" s="23"/>
      <c r="BX1335" s="23"/>
      <c r="BY1335" s="23"/>
      <c r="BZ1335" s="23"/>
      <c r="CA1335" s="23"/>
      <c r="CB1335" s="23"/>
      <c r="CC1335" s="23"/>
      <c r="CD1335" s="23"/>
      <c r="CE1335" s="23"/>
      <c r="CF1335" s="23"/>
      <c r="CG1335" s="23"/>
      <c r="CH1335" s="23"/>
      <c r="CI1335" s="23"/>
      <c r="CJ1335" s="23"/>
      <c r="CK1335" s="23"/>
    </row>
    <row r="1336" spans="1:89">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c r="AV1336" s="23"/>
      <c r="AW1336" s="23"/>
      <c r="AX1336" s="23"/>
      <c r="AY1336" s="23"/>
      <c r="AZ1336" s="23"/>
      <c r="BA1336" s="23"/>
      <c r="BB1336" s="23"/>
      <c r="BC1336" s="23"/>
      <c r="BD1336" s="23"/>
      <c r="BE1336" s="23"/>
      <c r="BF1336" s="23"/>
      <c r="BG1336" s="23"/>
      <c r="BH1336" s="23"/>
      <c r="BI1336" s="23"/>
      <c r="BJ1336" s="23"/>
      <c r="BK1336" s="23"/>
      <c r="BL1336" s="23"/>
      <c r="BM1336" s="23"/>
      <c r="BN1336" s="23"/>
      <c r="BO1336" s="23"/>
      <c r="BP1336" s="23"/>
      <c r="BQ1336" s="23"/>
      <c r="BR1336" s="23"/>
      <c r="BS1336" s="23"/>
      <c r="BT1336" s="23"/>
      <c r="BU1336" s="23"/>
      <c r="BV1336" s="23"/>
      <c r="BW1336" s="23"/>
      <c r="BX1336" s="23"/>
      <c r="BY1336" s="23"/>
      <c r="BZ1336" s="23"/>
      <c r="CA1336" s="23"/>
      <c r="CB1336" s="23"/>
      <c r="CC1336" s="23"/>
      <c r="CD1336" s="23"/>
      <c r="CE1336" s="23"/>
      <c r="CF1336" s="23"/>
      <c r="CG1336" s="23"/>
      <c r="CH1336" s="23"/>
      <c r="CI1336" s="23"/>
      <c r="CJ1336" s="23"/>
      <c r="CK1336" s="23"/>
    </row>
    <row r="1337" spans="1:89">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c r="AV1337" s="23"/>
      <c r="AW1337" s="23"/>
      <c r="AX1337" s="23"/>
      <c r="AY1337" s="23"/>
      <c r="AZ1337" s="23"/>
      <c r="BA1337" s="23"/>
      <c r="BB1337" s="23"/>
      <c r="BC1337" s="23"/>
      <c r="BD1337" s="23"/>
      <c r="BE1337" s="23"/>
      <c r="BF1337" s="23"/>
      <c r="BG1337" s="23"/>
      <c r="BH1337" s="23"/>
      <c r="BI1337" s="23"/>
      <c r="BJ1337" s="23"/>
      <c r="BK1337" s="23"/>
      <c r="BL1337" s="23"/>
      <c r="BM1337" s="23"/>
      <c r="BN1337" s="23"/>
      <c r="BO1337" s="23"/>
      <c r="BP1337" s="23"/>
      <c r="BQ1337" s="23"/>
      <c r="BR1337" s="23"/>
      <c r="BS1337" s="23"/>
      <c r="BT1337" s="23"/>
      <c r="BU1337" s="23"/>
      <c r="BV1337" s="23"/>
      <c r="BW1337" s="23"/>
      <c r="BX1337" s="23"/>
      <c r="BY1337" s="23"/>
      <c r="BZ1337" s="23"/>
      <c r="CA1337" s="23"/>
      <c r="CB1337" s="23"/>
      <c r="CC1337" s="23"/>
      <c r="CD1337" s="23"/>
      <c r="CE1337" s="23"/>
      <c r="CF1337" s="23"/>
      <c r="CG1337" s="23"/>
      <c r="CH1337" s="23"/>
      <c r="CI1337" s="23"/>
      <c r="CJ1337" s="23"/>
      <c r="CK1337" s="23"/>
    </row>
    <row r="1338" spans="1:89">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c r="AV1338" s="23"/>
      <c r="AW1338" s="23"/>
      <c r="AX1338" s="23"/>
      <c r="AY1338" s="23"/>
      <c r="AZ1338" s="23"/>
      <c r="BA1338" s="23"/>
      <c r="BB1338" s="23"/>
      <c r="BC1338" s="23"/>
      <c r="BD1338" s="23"/>
      <c r="BE1338" s="23"/>
      <c r="BF1338" s="23"/>
      <c r="BG1338" s="23"/>
      <c r="BH1338" s="23"/>
      <c r="BI1338" s="23"/>
      <c r="BJ1338" s="23"/>
      <c r="BK1338" s="23"/>
      <c r="BL1338" s="23"/>
      <c r="BM1338" s="23"/>
      <c r="BN1338" s="23"/>
      <c r="BO1338" s="23"/>
      <c r="BP1338" s="23"/>
      <c r="BQ1338" s="23"/>
      <c r="BR1338" s="23"/>
      <c r="BS1338" s="23"/>
      <c r="BT1338" s="23"/>
      <c r="BU1338" s="23"/>
      <c r="BV1338" s="23"/>
      <c r="BW1338" s="23"/>
      <c r="BX1338" s="23"/>
      <c r="BY1338" s="23"/>
      <c r="BZ1338" s="23"/>
      <c r="CA1338" s="23"/>
      <c r="CB1338" s="23"/>
      <c r="CC1338" s="23"/>
      <c r="CD1338" s="23"/>
      <c r="CE1338" s="23"/>
      <c r="CF1338" s="23"/>
      <c r="CG1338" s="23"/>
      <c r="CH1338" s="23"/>
      <c r="CI1338" s="23"/>
      <c r="CJ1338" s="23"/>
      <c r="CK1338" s="23"/>
    </row>
    <row r="1339" spans="1:89">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c r="AV1339" s="23"/>
      <c r="AW1339" s="23"/>
      <c r="AX1339" s="23"/>
      <c r="AY1339" s="23"/>
      <c r="AZ1339" s="23"/>
      <c r="BA1339" s="23"/>
      <c r="BB1339" s="23"/>
      <c r="BC1339" s="23"/>
      <c r="BD1339" s="23"/>
      <c r="BE1339" s="23"/>
      <c r="BF1339" s="23"/>
      <c r="BG1339" s="23"/>
      <c r="BH1339" s="23"/>
      <c r="BI1339" s="23"/>
      <c r="BJ1339" s="23"/>
      <c r="BK1339" s="23"/>
      <c r="BL1339" s="23"/>
      <c r="BM1339" s="23"/>
      <c r="BN1339" s="23"/>
      <c r="BO1339" s="23"/>
      <c r="BP1339" s="23"/>
      <c r="BQ1339" s="23"/>
      <c r="BR1339" s="23"/>
      <c r="BS1339" s="23"/>
      <c r="BT1339" s="23"/>
      <c r="BU1339" s="23"/>
      <c r="BV1339" s="23"/>
      <c r="BW1339" s="23"/>
      <c r="BX1339" s="23"/>
      <c r="BY1339" s="23"/>
      <c r="BZ1339" s="23"/>
      <c r="CA1339" s="23"/>
      <c r="CB1339" s="23"/>
      <c r="CC1339" s="23"/>
      <c r="CD1339" s="23"/>
      <c r="CE1339" s="23"/>
      <c r="CF1339" s="23"/>
      <c r="CG1339" s="23"/>
      <c r="CH1339" s="23"/>
      <c r="CI1339" s="23"/>
      <c r="CJ1339" s="23"/>
      <c r="CK1339" s="23"/>
    </row>
    <row r="1340" spans="1:89">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c r="AV1340" s="23"/>
      <c r="AW1340" s="23"/>
      <c r="AX1340" s="23"/>
      <c r="AY1340" s="23"/>
      <c r="AZ1340" s="23"/>
      <c r="BA1340" s="23"/>
      <c r="BB1340" s="23"/>
      <c r="BC1340" s="23"/>
      <c r="BD1340" s="23"/>
      <c r="BE1340" s="23"/>
      <c r="BF1340" s="23"/>
      <c r="BG1340" s="23"/>
      <c r="BH1340" s="23"/>
      <c r="BI1340" s="23"/>
      <c r="BJ1340" s="23"/>
      <c r="BK1340" s="23"/>
      <c r="BL1340" s="23"/>
      <c r="BM1340" s="23"/>
      <c r="BN1340" s="23"/>
      <c r="BO1340" s="23"/>
      <c r="BP1340" s="23"/>
      <c r="BQ1340" s="23"/>
      <c r="BR1340" s="23"/>
      <c r="BS1340" s="23"/>
      <c r="BT1340" s="23"/>
      <c r="BU1340" s="23"/>
      <c r="BV1340" s="23"/>
      <c r="BW1340" s="23"/>
      <c r="BX1340" s="23"/>
      <c r="BY1340" s="23"/>
      <c r="BZ1340" s="23"/>
      <c r="CA1340" s="23"/>
      <c r="CB1340" s="23"/>
      <c r="CC1340" s="23"/>
      <c r="CD1340" s="23"/>
      <c r="CE1340" s="23"/>
      <c r="CF1340" s="23"/>
      <c r="CG1340" s="23"/>
      <c r="CH1340" s="23"/>
      <c r="CI1340" s="23"/>
      <c r="CJ1340" s="23"/>
      <c r="CK1340" s="23"/>
    </row>
    <row r="1341" spans="1:89">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c r="AV1341" s="23"/>
      <c r="AW1341" s="23"/>
      <c r="AX1341" s="23"/>
      <c r="AY1341" s="23"/>
      <c r="AZ1341" s="23"/>
      <c r="BA1341" s="23"/>
      <c r="BB1341" s="23"/>
      <c r="BC1341" s="23"/>
      <c r="BD1341" s="23"/>
      <c r="BE1341" s="23"/>
      <c r="BF1341" s="23"/>
      <c r="BG1341" s="23"/>
      <c r="BH1341" s="23"/>
      <c r="BI1341" s="23"/>
      <c r="BJ1341" s="23"/>
      <c r="BK1341" s="23"/>
      <c r="BL1341" s="23"/>
      <c r="BM1341" s="23"/>
      <c r="BN1341" s="23"/>
      <c r="BO1341" s="23"/>
      <c r="BP1341" s="23"/>
      <c r="BQ1341" s="23"/>
      <c r="BR1341" s="23"/>
      <c r="BS1341" s="23"/>
      <c r="BT1341" s="23"/>
      <c r="BU1341" s="23"/>
      <c r="BV1341" s="23"/>
      <c r="BW1341" s="23"/>
      <c r="BX1341" s="23"/>
      <c r="BY1341" s="23"/>
      <c r="BZ1341" s="23"/>
      <c r="CA1341" s="23"/>
      <c r="CB1341" s="23"/>
      <c r="CC1341" s="23"/>
      <c r="CD1341" s="23"/>
      <c r="CE1341" s="23"/>
      <c r="CF1341" s="23"/>
      <c r="CG1341" s="23"/>
      <c r="CH1341" s="23"/>
      <c r="CI1341" s="23"/>
      <c r="CJ1341" s="23"/>
      <c r="CK1341" s="23"/>
    </row>
    <row r="1342" spans="1:89">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c r="AV1342" s="23"/>
      <c r="AW1342" s="23"/>
      <c r="AX1342" s="23"/>
      <c r="AY1342" s="23"/>
      <c r="AZ1342" s="23"/>
      <c r="BA1342" s="23"/>
      <c r="BB1342" s="23"/>
      <c r="BC1342" s="23"/>
      <c r="BD1342" s="23"/>
      <c r="BE1342" s="23"/>
      <c r="BF1342" s="23"/>
      <c r="BG1342" s="23"/>
      <c r="BH1342" s="23"/>
      <c r="BI1342" s="23"/>
      <c r="BJ1342" s="23"/>
      <c r="BK1342" s="23"/>
      <c r="BL1342" s="23"/>
      <c r="BM1342" s="23"/>
      <c r="BN1342" s="23"/>
      <c r="BO1342" s="23"/>
      <c r="BP1342" s="23"/>
      <c r="BQ1342" s="23"/>
      <c r="BR1342" s="23"/>
      <c r="BS1342" s="23"/>
      <c r="BT1342" s="23"/>
      <c r="BU1342" s="23"/>
      <c r="BV1342" s="23"/>
      <c r="BW1342" s="23"/>
      <c r="BX1342" s="23"/>
      <c r="BY1342" s="23"/>
      <c r="BZ1342" s="23"/>
      <c r="CA1342" s="23"/>
      <c r="CB1342" s="23"/>
      <c r="CC1342" s="23"/>
      <c r="CD1342" s="23"/>
      <c r="CE1342" s="23"/>
      <c r="CF1342" s="23"/>
      <c r="CG1342" s="23"/>
      <c r="CH1342" s="23"/>
      <c r="CI1342" s="23"/>
      <c r="CJ1342" s="23"/>
      <c r="CK1342" s="23"/>
    </row>
    <row r="1343" spans="1:89">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c r="AV1343" s="23"/>
      <c r="AW1343" s="23"/>
      <c r="AX1343" s="23"/>
      <c r="AY1343" s="23"/>
      <c r="AZ1343" s="23"/>
      <c r="BA1343" s="23"/>
      <c r="BB1343" s="23"/>
      <c r="BC1343" s="23"/>
      <c r="BD1343" s="23"/>
      <c r="BE1343" s="23"/>
      <c r="BF1343" s="23"/>
      <c r="BG1343" s="23"/>
      <c r="BH1343" s="23"/>
      <c r="BI1343" s="23"/>
      <c r="BJ1343" s="23"/>
      <c r="BK1343" s="23"/>
      <c r="BL1343" s="23"/>
      <c r="BM1343" s="23"/>
      <c r="BN1343" s="23"/>
      <c r="BO1343" s="23"/>
      <c r="BP1343" s="23"/>
      <c r="BQ1343" s="23"/>
      <c r="BR1343" s="23"/>
      <c r="BS1343" s="23"/>
      <c r="BT1343" s="23"/>
      <c r="BU1343" s="23"/>
      <c r="BV1343" s="23"/>
      <c r="BW1343" s="23"/>
      <c r="BX1343" s="23"/>
      <c r="BY1343" s="23"/>
      <c r="BZ1343" s="23"/>
      <c r="CA1343" s="23"/>
      <c r="CB1343" s="23"/>
      <c r="CC1343" s="23"/>
      <c r="CD1343" s="23"/>
      <c r="CE1343" s="23"/>
      <c r="CF1343" s="23"/>
      <c r="CG1343" s="23"/>
      <c r="CH1343" s="23"/>
      <c r="CI1343" s="23"/>
      <c r="CJ1343" s="23"/>
      <c r="CK1343" s="23"/>
    </row>
    <row r="1344" spans="1:89">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c r="AV1344" s="23"/>
      <c r="AW1344" s="23"/>
      <c r="AX1344" s="23"/>
      <c r="AY1344" s="23"/>
      <c r="AZ1344" s="23"/>
      <c r="BA1344" s="23"/>
      <c r="BB1344" s="23"/>
      <c r="BC1344" s="23"/>
      <c r="BD1344" s="23"/>
      <c r="BE1344" s="23"/>
      <c r="BF1344" s="23"/>
      <c r="BG1344" s="23"/>
      <c r="BH1344" s="23"/>
      <c r="BI1344" s="23"/>
      <c r="BJ1344" s="23"/>
      <c r="BK1344" s="23"/>
      <c r="BL1344" s="23"/>
      <c r="BM1344" s="23"/>
      <c r="BN1344" s="23"/>
      <c r="BO1344" s="23"/>
      <c r="BP1344" s="23"/>
      <c r="BQ1344" s="23"/>
      <c r="BR1344" s="23"/>
      <c r="BS1344" s="23"/>
      <c r="BT1344" s="23"/>
      <c r="BU1344" s="23"/>
      <c r="BV1344" s="23"/>
      <c r="BW1344" s="23"/>
      <c r="BX1344" s="23"/>
      <c r="BY1344" s="23"/>
      <c r="BZ1344" s="23"/>
      <c r="CA1344" s="23"/>
      <c r="CB1344" s="23"/>
      <c r="CC1344" s="23"/>
      <c r="CD1344" s="23"/>
      <c r="CE1344" s="23"/>
      <c r="CF1344" s="23"/>
      <c r="CG1344" s="23"/>
      <c r="CH1344" s="23"/>
      <c r="CI1344" s="23"/>
      <c r="CJ1344" s="23"/>
      <c r="CK1344" s="23"/>
    </row>
    <row r="1345" spans="1:89">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c r="AV1345" s="23"/>
      <c r="AW1345" s="23"/>
      <c r="AX1345" s="23"/>
      <c r="AY1345" s="23"/>
      <c r="AZ1345" s="23"/>
      <c r="BA1345" s="23"/>
      <c r="BB1345" s="23"/>
      <c r="BC1345" s="23"/>
      <c r="BD1345" s="23"/>
      <c r="BE1345" s="23"/>
      <c r="BF1345" s="23"/>
      <c r="BG1345" s="23"/>
      <c r="BH1345" s="23"/>
      <c r="BI1345" s="23"/>
      <c r="BJ1345" s="23"/>
      <c r="BK1345" s="23"/>
      <c r="BL1345" s="23"/>
      <c r="BM1345" s="23"/>
      <c r="BN1345" s="23"/>
      <c r="BO1345" s="23"/>
      <c r="BP1345" s="23"/>
      <c r="BQ1345" s="23"/>
      <c r="BR1345" s="23"/>
      <c r="BS1345" s="23"/>
      <c r="BT1345" s="23"/>
      <c r="BU1345" s="23"/>
      <c r="BV1345" s="23"/>
      <c r="BW1345" s="23"/>
      <c r="BX1345" s="23"/>
      <c r="BY1345" s="23"/>
      <c r="BZ1345" s="23"/>
      <c r="CA1345" s="23"/>
      <c r="CB1345" s="23"/>
      <c r="CC1345" s="23"/>
      <c r="CD1345" s="23"/>
      <c r="CE1345" s="23"/>
      <c r="CF1345" s="23"/>
      <c r="CG1345" s="23"/>
      <c r="CH1345" s="23"/>
      <c r="CI1345" s="23"/>
      <c r="CJ1345" s="23"/>
      <c r="CK1345" s="23"/>
    </row>
    <row r="1346" spans="1:89">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c r="AV1346" s="23"/>
      <c r="AW1346" s="23"/>
      <c r="AX1346" s="23"/>
      <c r="AY1346" s="23"/>
      <c r="AZ1346" s="23"/>
      <c r="BA1346" s="23"/>
      <c r="BB1346" s="23"/>
      <c r="BC1346" s="23"/>
      <c r="BD1346" s="23"/>
      <c r="BE1346" s="23"/>
      <c r="BF1346" s="23"/>
      <c r="BG1346" s="23"/>
      <c r="BH1346" s="23"/>
      <c r="BI1346" s="23"/>
      <c r="BJ1346" s="23"/>
      <c r="BK1346" s="23"/>
      <c r="BL1346" s="23"/>
      <c r="BM1346" s="23"/>
      <c r="BN1346" s="23"/>
      <c r="BO1346" s="23"/>
      <c r="BP1346" s="23"/>
      <c r="BQ1346" s="23"/>
      <c r="BR1346" s="23"/>
      <c r="BS1346" s="23"/>
      <c r="BT1346" s="23"/>
      <c r="BU1346" s="23"/>
      <c r="BV1346" s="23"/>
      <c r="BW1346" s="23"/>
      <c r="BX1346" s="23"/>
      <c r="BY1346" s="23"/>
      <c r="BZ1346" s="23"/>
      <c r="CA1346" s="23"/>
      <c r="CB1346" s="23"/>
      <c r="CC1346" s="23"/>
      <c r="CD1346" s="23"/>
      <c r="CE1346" s="23"/>
      <c r="CF1346" s="23"/>
      <c r="CG1346" s="23"/>
      <c r="CH1346" s="23"/>
      <c r="CI1346" s="23"/>
      <c r="CJ1346" s="23"/>
      <c r="CK1346" s="23"/>
    </row>
    <row r="1347" spans="1:89">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c r="AV1347" s="23"/>
      <c r="AW1347" s="23"/>
      <c r="AX1347" s="23"/>
      <c r="AY1347" s="23"/>
      <c r="AZ1347" s="23"/>
      <c r="BA1347" s="23"/>
      <c r="BB1347" s="23"/>
      <c r="BC1347" s="23"/>
      <c r="BD1347" s="23"/>
      <c r="BE1347" s="23"/>
      <c r="BF1347" s="23"/>
      <c r="BG1347" s="23"/>
      <c r="BH1347" s="23"/>
      <c r="BI1347" s="23"/>
      <c r="BJ1347" s="23"/>
      <c r="BK1347" s="23"/>
      <c r="BL1347" s="23"/>
      <c r="BM1347" s="23"/>
      <c r="BN1347" s="23"/>
      <c r="BO1347" s="23"/>
      <c r="BP1347" s="23"/>
      <c r="BQ1347" s="23"/>
      <c r="BR1347" s="23"/>
      <c r="BS1347" s="23"/>
      <c r="BT1347" s="23"/>
      <c r="BU1347" s="23"/>
      <c r="BV1347" s="23"/>
      <c r="BW1347" s="23"/>
      <c r="BX1347" s="23"/>
      <c r="BY1347" s="23"/>
      <c r="BZ1347" s="23"/>
      <c r="CA1347" s="23"/>
      <c r="CB1347" s="23"/>
      <c r="CC1347" s="23"/>
      <c r="CD1347" s="23"/>
      <c r="CE1347" s="23"/>
      <c r="CF1347" s="23"/>
      <c r="CG1347" s="23"/>
      <c r="CH1347" s="23"/>
      <c r="CI1347" s="23"/>
      <c r="CJ1347" s="23"/>
      <c r="CK1347" s="23"/>
    </row>
    <row r="1348" spans="1:89">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c r="AV1348" s="23"/>
      <c r="AW1348" s="23"/>
      <c r="AX1348" s="23"/>
      <c r="AY1348" s="23"/>
      <c r="AZ1348" s="23"/>
      <c r="BA1348" s="23"/>
      <c r="BB1348" s="23"/>
      <c r="BC1348" s="23"/>
      <c r="BD1348" s="23"/>
      <c r="BE1348" s="23"/>
      <c r="BF1348" s="23"/>
      <c r="BG1348" s="23"/>
      <c r="BH1348" s="23"/>
      <c r="BI1348" s="23"/>
      <c r="BJ1348" s="23"/>
      <c r="BK1348" s="23"/>
      <c r="BL1348" s="23"/>
      <c r="BM1348" s="23"/>
      <c r="BN1348" s="23"/>
      <c r="BO1348" s="23"/>
      <c r="BP1348" s="23"/>
      <c r="BQ1348" s="23"/>
      <c r="BR1348" s="23"/>
      <c r="BS1348" s="23"/>
      <c r="BT1348" s="23"/>
      <c r="BU1348" s="23"/>
      <c r="BV1348" s="23"/>
      <c r="BW1348" s="23"/>
      <c r="BX1348" s="23"/>
      <c r="BY1348" s="23"/>
      <c r="BZ1348" s="23"/>
      <c r="CA1348" s="23"/>
      <c r="CB1348" s="23"/>
      <c r="CC1348" s="23"/>
      <c r="CD1348" s="23"/>
      <c r="CE1348" s="23"/>
      <c r="CF1348" s="23"/>
      <c r="CG1348" s="23"/>
      <c r="CH1348" s="23"/>
      <c r="CI1348" s="23"/>
      <c r="CJ1348" s="23"/>
      <c r="CK1348" s="23"/>
    </row>
    <row r="1349" spans="1:89">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c r="AV1349" s="23"/>
      <c r="AW1349" s="23"/>
      <c r="AX1349" s="23"/>
      <c r="AY1349" s="23"/>
      <c r="AZ1349" s="23"/>
      <c r="BA1349" s="23"/>
      <c r="BB1349" s="23"/>
      <c r="BC1349" s="23"/>
      <c r="BD1349" s="23"/>
      <c r="BE1349" s="23"/>
      <c r="BF1349" s="23"/>
      <c r="BG1349" s="23"/>
      <c r="BH1349" s="23"/>
      <c r="BI1349" s="23"/>
      <c r="BJ1349" s="23"/>
      <c r="BK1349" s="23"/>
      <c r="BL1349" s="23"/>
      <c r="BM1349" s="23"/>
      <c r="BN1349" s="23"/>
      <c r="BO1349" s="23"/>
      <c r="BP1349" s="23"/>
      <c r="BQ1349" s="23"/>
      <c r="BR1349" s="23"/>
      <c r="BS1349" s="23"/>
      <c r="BT1349" s="23"/>
      <c r="BU1349" s="23"/>
      <c r="BV1349" s="23"/>
      <c r="BW1349" s="23"/>
      <c r="BX1349" s="23"/>
      <c r="BY1349" s="23"/>
      <c r="BZ1349" s="23"/>
      <c r="CA1349" s="23"/>
      <c r="CB1349" s="23"/>
      <c r="CC1349" s="23"/>
      <c r="CD1349" s="23"/>
      <c r="CE1349" s="23"/>
      <c r="CF1349" s="23"/>
      <c r="CG1349" s="23"/>
      <c r="CH1349" s="23"/>
      <c r="CI1349" s="23"/>
      <c r="CJ1349" s="23"/>
      <c r="CK1349" s="23"/>
    </row>
    <row r="1350" spans="1:89">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c r="AV1350" s="23"/>
      <c r="AW1350" s="23"/>
      <c r="AX1350" s="23"/>
      <c r="AY1350" s="23"/>
      <c r="AZ1350" s="23"/>
      <c r="BA1350" s="23"/>
      <c r="BB1350" s="23"/>
      <c r="BC1350" s="23"/>
      <c r="BD1350" s="23"/>
      <c r="BE1350" s="23"/>
      <c r="BF1350" s="23"/>
      <c r="BG1350" s="23"/>
      <c r="BH1350" s="23"/>
      <c r="BI1350" s="23"/>
      <c r="BJ1350" s="23"/>
      <c r="BK1350" s="23"/>
      <c r="BL1350" s="23"/>
      <c r="BM1350" s="23"/>
      <c r="BN1350" s="23"/>
      <c r="BO1350" s="23"/>
      <c r="BP1350" s="23"/>
      <c r="BQ1350" s="23"/>
      <c r="BR1350" s="23"/>
      <c r="BS1350" s="23"/>
      <c r="BT1350" s="23"/>
      <c r="BU1350" s="23"/>
      <c r="BV1350" s="23"/>
      <c r="BW1350" s="23"/>
      <c r="BX1350" s="23"/>
      <c r="BY1350" s="23"/>
      <c r="BZ1350" s="23"/>
      <c r="CA1350" s="23"/>
      <c r="CB1350" s="23"/>
      <c r="CC1350" s="23"/>
      <c r="CD1350" s="23"/>
      <c r="CE1350" s="23"/>
      <c r="CF1350" s="23"/>
      <c r="CG1350" s="23"/>
      <c r="CH1350" s="23"/>
      <c r="CI1350" s="23"/>
      <c r="CJ1350" s="23"/>
      <c r="CK1350" s="23"/>
    </row>
    <row r="1351" spans="1:89">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c r="AV1351" s="23"/>
      <c r="AW1351" s="23"/>
      <c r="AX1351" s="23"/>
      <c r="AY1351" s="23"/>
      <c r="AZ1351" s="23"/>
      <c r="BA1351" s="23"/>
      <c r="BB1351" s="23"/>
      <c r="BC1351" s="23"/>
      <c r="BD1351" s="23"/>
      <c r="BE1351" s="23"/>
      <c r="BF1351" s="23"/>
      <c r="BG1351" s="23"/>
      <c r="BH1351" s="23"/>
      <c r="BI1351" s="23"/>
      <c r="BJ1351" s="23"/>
      <c r="BK1351" s="23"/>
      <c r="BL1351" s="23"/>
      <c r="BM1351" s="23"/>
      <c r="BN1351" s="23"/>
      <c r="BO1351" s="23"/>
      <c r="BP1351" s="23"/>
      <c r="BQ1351" s="23"/>
      <c r="BR1351" s="23"/>
      <c r="BS1351" s="23"/>
      <c r="BT1351" s="23"/>
      <c r="BU1351" s="23"/>
      <c r="BV1351" s="23"/>
      <c r="BW1351" s="23"/>
      <c r="BX1351" s="23"/>
      <c r="BY1351" s="23"/>
      <c r="BZ1351" s="23"/>
      <c r="CA1351" s="23"/>
      <c r="CB1351" s="23"/>
      <c r="CC1351" s="23"/>
      <c r="CD1351" s="23"/>
      <c r="CE1351" s="23"/>
      <c r="CF1351" s="23"/>
      <c r="CG1351" s="23"/>
      <c r="CH1351" s="23"/>
      <c r="CI1351" s="23"/>
      <c r="CJ1351" s="23"/>
      <c r="CK1351" s="23"/>
    </row>
    <row r="1352" spans="1:89">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c r="AV1352" s="23"/>
      <c r="AW1352" s="23"/>
      <c r="AX1352" s="23"/>
      <c r="AY1352" s="23"/>
      <c r="AZ1352" s="23"/>
      <c r="BA1352" s="23"/>
      <c r="BB1352" s="23"/>
      <c r="BC1352" s="23"/>
      <c r="BD1352" s="23"/>
      <c r="BE1352" s="23"/>
      <c r="BF1352" s="23"/>
      <c r="BG1352" s="23"/>
      <c r="BH1352" s="23"/>
      <c r="BI1352" s="23"/>
      <c r="BJ1352" s="23"/>
      <c r="BK1352" s="23"/>
      <c r="BL1352" s="23"/>
      <c r="BM1352" s="23"/>
      <c r="BN1352" s="23"/>
      <c r="BO1352" s="23"/>
      <c r="BP1352" s="23"/>
      <c r="BQ1352" s="23"/>
      <c r="BR1352" s="23"/>
      <c r="BS1352" s="23"/>
      <c r="BT1352" s="23"/>
      <c r="BU1352" s="23"/>
      <c r="BV1352" s="23"/>
      <c r="BW1352" s="23"/>
      <c r="BX1352" s="23"/>
      <c r="BY1352" s="23"/>
      <c r="BZ1352" s="23"/>
      <c r="CA1352" s="23"/>
      <c r="CB1352" s="23"/>
      <c r="CC1352" s="23"/>
      <c r="CD1352" s="23"/>
      <c r="CE1352" s="23"/>
      <c r="CF1352" s="23"/>
      <c r="CG1352" s="23"/>
      <c r="CH1352" s="23"/>
      <c r="CI1352" s="23"/>
      <c r="CJ1352" s="23"/>
      <c r="CK1352" s="23"/>
    </row>
    <row r="1353" spans="1:89">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c r="AV1353" s="23"/>
      <c r="AW1353" s="23"/>
      <c r="AX1353" s="23"/>
      <c r="AY1353" s="23"/>
      <c r="AZ1353" s="23"/>
      <c r="BA1353" s="23"/>
      <c r="BB1353" s="23"/>
      <c r="BC1353" s="23"/>
      <c r="BD1353" s="23"/>
      <c r="BE1353" s="23"/>
      <c r="BF1353" s="23"/>
      <c r="BG1353" s="23"/>
      <c r="BH1353" s="23"/>
      <c r="BI1353" s="23"/>
      <c r="BJ1353" s="23"/>
      <c r="BK1353" s="23"/>
      <c r="BL1353" s="23"/>
      <c r="BM1353" s="23"/>
      <c r="BN1353" s="23"/>
      <c r="BO1353" s="23"/>
      <c r="BP1353" s="23"/>
      <c r="BQ1353" s="23"/>
      <c r="BR1353" s="23"/>
      <c r="BS1353" s="23"/>
      <c r="BT1353" s="23"/>
      <c r="BU1353" s="23"/>
      <c r="BV1353" s="23"/>
      <c r="BW1353" s="23"/>
      <c r="BX1353" s="23"/>
      <c r="BY1353" s="23"/>
      <c r="BZ1353" s="23"/>
      <c r="CA1353" s="23"/>
      <c r="CB1353" s="23"/>
      <c r="CC1353" s="23"/>
      <c r="CD1353" s="23"/>
      <c r="CE1353" s="23"/>
      <c r="CF1353" s="23"/>
      <c r="CG1353" s="23"/>
      <c r="CH1353" s="23"/>
      <c r="CI1353" s="23"/>
      <c r="CJ1353" s="23"/>
      <c r="CK1353" s="23"/>
    </row>
    <row r="1354" spans="1:89">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c r="AV1354" s="23"/>
      <c r="AW1354" s="23"/>
      <c r="AX1354" s="23"/>
      <c r="AY1354" s="23"/>
      <c r="AZ1354" s="23"/>
      <c r="BA1354" s="23"/>
      <c r="BB1354" s="23"/>
      <c r="BC1354" s="23"/>
      <c r="BD1354" s="23"/>
      <c r="BE1354" s="23"/>
      <c r="BF1354" s="23"/>
      <c r="BG1354" s="23"/>
      <c r="BH1354" s="23"/>
      <c r="BI1354" s="23"/>
      <c r="BJ1354" s="23"/>
      <c r="BK1354" s="23"/>
      <c r="BL1354" s="23"/>
      <c r="BM1354" s="23"/>
      <c r="BN1354" s="23"/>
      <c r="BO1354" s="23"/>
      <c r="BP1354" s="23"/>
      <c r="BQ1354" s="23"/>
      <c r="BR1354" s="23"/>
      <c r="BS1354" s="23"/>
      <c r="BT1354" s="23"/>
      <c r="BU1354" s="23"/>
      <c r="BV1354" s="23"/>
      <c r="BW1354" s="23"/>
      <c r="BX1354" s="23"/>
      <c r="BY1354" s="23"/>
      <c r="BZ1354" s="23"/>
      <c r="CA1354" s="23"/>
      <c r="CB1354" s="23"/>
      <c r="CC1354" s="23"/>
      <c r="CD1354" s="23"/>
      <c r="CE1354" s="23"/>
      <c r="CF1354" s="23"/>
      <c r="CG1354" s="23"/>
      <c r="CH1354" s="23"/>
      <c r="CI1354" s="23"/>
      <c r="CJ1354" s="23"/>
      <c r="CK1354" s="23"/>
    </row>
    <row r="1355" spans="1:89">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c r="AV1355" s="23"/>
      <c r="AW1355" s="23"/>
      <c r="AX1355" s="23"/>
      <c r="AY1355" s="23"/>
      <c r="AZ1355" s="23"/>
      <c r="BA1355" s="23"/>
      <c r="BB1355" s="23"/>
      <c r="BC1355" s="23"/>
      <c r="BD1355" s="23"/>
      <c r="BE1355" s="23"/>
      <c r="BF1355" s="23"/>
      <c r="BG1355" s="23"/>
      <c r="BH1355" s="23"/>
      <c r="BI1355" s="23"/>
      <c r="BJ1355" s="23"/>
      <c r="BK1355" s="23"/>
      <c r="BL1355" s="23"/>
      <c r="BM1355" s="23"/>
      <c r="BN1355" s="23"/>
      <c r="BO1355" s="23"/>
      <c r="BP1355" s="23"/>
      <c r="BQ1355" s="23"/>
      <c r="BR1355" s="23"/>
      <c r="BS1355" s="23"/>
      <c r="BT1355" s="23"/>
      <c r="BU1355" s="23"/>
      <c r="BV1355" s="23"/>
      <c r="BW1355" s="23"/>
      <c r="BX1355" s="23"/>
      <c r="BY1355" s="23"/>
      <c r="BZ1355" s="23"/>
      <c r="CA1355" s="23"/>
      <c r="CB1355" s="23"/>
      <c r="CC1355" s="23"/>
      <c r="CD1355" s="23"/>
      <c r="CE1355" s="23"/>
      <c r="CF1355" s="23"/>
      <c r="CG1355" s="23"/>
      <c r="CH1355" s="23"/>
      <c r="CI1355" s="23"/>
      <c r="CJ1355" s="23"/>
      <c r="CK1355" s="23"/>
    </row>
    <row r="1356" spans="1:89">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c r="AV1356" s="23"/>
      <c r="AW1356" s="23"/>
      <c r="AX1356" s="23"/>
      <c r="AY1356" s="23"/>
      <c r="AZ1356" s="23"/>
      <c r="BA1356" s="23"/>
      <c r="BB1356" s="23"/>
      <c r="BC1356" s="23"/>
      <c r="BD1356" s="23"/>
      <c r="BE1356" s="23"/>
      <c r="BF1356" s="23"/>
      <c r="BG1356" s="23"/>
      <c r="BH1356" s="23"/>
      <c r="BI1356" s="23"/>
      <c r="BJ1356" s="23"/>
      <c r="BK1356" s="23"/>
      <c r="BL1356" s="23"/>
      <c r="BM1356" s="23"/>
      <c r="BN1356" s="23"/>
      <c r="BO1356" s="23"/>
      <c r="BP1356" s="23"/>
      <c r="BQ1356" s="23"/>
      <c r="BR1356" s="23"/>
      <c r="BS1356" s="23"/>
      <c r="BT1356" s="23"/>
      <c r="BU1356" s="23"/>
      <c r="BV1356" s="23"/>
      <c r="BW1356" s="23"/>
      <c r="BX1356" s="23"/>
      <c r="BY1356" s="23"/>
      <c r="BZ1356" s="23"/>
      <c r="CA1356" s="23"/>
      <c r="CB1356" s="23"/>
      <c r="CC1356" s="23"/>
      <c r="CD1356" s="23"/>
      <c r="CE1356" s="23"/>
      <c r="CF1356" s="23"/>
      <c r="CG1356" s="23"/>
      <c r="CH1356" s="23"/>
      <c r="CI1356" s="23"/>
      <c r="CJ1356" s="23"/>
      <c r="CK1356" s="23"/>
    </row>
    <row r="1357" spans="1:89">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c r="AV1357" s="23"/>
      <c r="AW1357" s="23"/>
      <c r="AX1357" s="23"/>
      <c r="AY1357" s="23"/>
      <c r="AZ1357" s="23"/>
      <c r="BA1357" s="23"/>
      <c r="BB1357" s="23"/>
      <c r="BC1357" s="23"/>
      <c r="BD1357" s="23"/>
      <c r="BE1357" s="23"/>
      <c r="BF1357" s="23"/>
      <c r="BG1357" s="23"/>
      <c r="BH1357" s="23"/>
      <c r="BI1357" s="23"/>
      <c r="BJ1357" s="23"/>
      <c r="BK1357" s="23"/>
      <c r="BL1357" s="23"/>
      <c r="BM1357" s="23"/>
      <c r="BN1357" s="23"/>
      <c r="BO1357" s="23"/>
      <c r="BP1357" s="23"/>
      <c r="BQ1357" s="23"/>
      <c r="BR1357" s="23"/>
      <c r="BS1357" s="23"/>
      <c r="BT1357" s="23"/>
      <c r="BU1357" s="23"/>
      <c r="BV1357" s="23"/>
      <c r="BW1357" s="23"/>
      <c r="BX1357" s="23"/>
      <c r="BY1357" s="23"/>
      <c r="BZ1357" s="23"/>
      <c r="CA1357" s="23"/>
      <c r="CB1357" s="23"/>
      <c r="CC1357" s="23"/>
      <c r="CD1357" s="23"/>
      <c r="CE1357" s="23"/>
      <c r="CF1357" s="23"/>
      <c r="CG1357" s="23"/>
      <c r="CH1357" s="23"/>
      <c r="CI1357" s="23"/>
      <c r="CJ1357" s="23"/>
      <c r="CK1357" s="23"/>
    </row>
    <row r="1358" spans="1:89">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c r="AV1358" s="23"/>
      <c r="AW1358" s="23"/>
      <c r="AX1358" s="23"/>
      <c r="AY1358" s="23"/>
      <c r="AZ1358" s="23"/>
      <c r="BA1358" s="23"/>
      <c r="BB1358" s="23"/>
      <c r="BC1358" s="23"/>
      <c r="BD1358" s="23"/>
      <c r="BE1358" s="23"/>
      <c r="BF1358" s="23"/>
      <c r="BG1358" s="23"/>
      <c r="BH1358" s="23"/>
      <c r="BI1358" s="23"/>
      <c r="BJ1358" s="23"/>
      <c r="BK1358" s="23"/>
      <c r="BL1358" s="23"/>
      <c r="BM1358" s="23"/>
      <c r="BN1358" s="23"/>
      <c r="BO1358" s="23"/>
      <c r="BP1358" s="23"/>
      <c r="BQ1358" s="23"/>
      <c r="BR1358" s="23"/>
      <c r="BS1358" s="23"/>
      <c r="BT1358" s="23"/>
      <c r="BU1358" s="23"/>
      <c r="BV1358" s="23"/>
      <c r="BW1358" s="23"/>
      <c r="BX1358" s="23"/>
      <c r="BY1358" s="23"/>
      <c r="BZ1358" s="23"/>
      <c r="CA1358" s="23"/>
      <c r="CB1358" s="23"/>
      <c r="CC1358" s="23"/>
      <c r="CD1358" s="23"/>
      <c r="CE1358" s="23"/>
      <c r="CF1358" s="23"/>
      <c r="CG1358" s="23"/>
      <c r="CH1358" s="23"/>
      <c r="CI1358" s="23"/>
      <c r="CJ1358" s="23"/>
      <c r="CK1358" s="23"/>
    </row>
    <row r="1359" spans="1:89">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c r="AV1359" s="23"/>
      <c r="AW1359" s="23"/>
      <c r="AX1359" s="23"/>
      <c r="AY1359" s="23"/>
      <c r="AZ1359" s="23"/>
      <c r="BA1359" s="23"/>
      <c r="BB1359" s="23"/>
      <c r="BC1359" s="23"/>
      <c r="BD1359" s="23"/>
      <c r="BE1359" s="23"/>
      <c r="BF1359" s="23"/>
      <c r="BG1359" s="23"/>
      <c r="BH1359" s="23"/>
      <c r="BI1359" s="23"/>
      <c r="BJ1359" s="23"/>
      <c r="BK1359" s="23"/>
      <c r="BL1359" s="23"/>
      <c r="BM1359" s="23"/>
      <c r="BN1359" s="23"/>
      <c r="BO1359" s="23"/>
      <c r="BP1359" s="23"/>
      <c r="BQ1359" s="23"/>
      <c r="BR1359" s="23"/>
      <c r="BS1359" s="23"/>
      <c r="BT1359" s="23"/>
      <c r="BU1359" s="23"/>
      <c r="BV1359" s="23"/>
      <c r="BW1359" s="23"/>
      <c r="BX1359" s="23"/>
      <c r="BY1359" s="23"/>
      <c r="BZ1359" s="23"/>
      <c r="CA1359" s="23"/>
      <c r="CB1359" s="23"/>
      <c r="CC1359" s="23"/>
      <c r="CD1359" s="23"/>
      <c r="CE1359" s="23"/>
      <c r="CF1359" s="23"/>
      <c r="CG1359" s="23"/>
      <c r="CH1359" s="23"/>
      <c r="CI1359" s="23"/>
      <c r="CJ1359" s="23"/>
      <c r="CK1359" s="23"/>
    </row>
    <row r="1360" spans="1:89">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c r="AV1360" s="23"/>
      <c r="AW1360" s="23"/>
      <c r="AX1360" s="23"/>
      <c r="AY1360" s="23"/>
      <c r="AZ1360" s="23"/>
      <c r="BA1360" s="23"/>
      <c r="BB1360" s="23"/>
      <c r="BC1360" s="23"/>
      <c r="BD1360" s="23"/>
      <c r="BE1360" s="23"/>
      <c r="BF1360" s="23"/>
      <c r="BG1360" s="23"/>
      <c r="BH1360" s="23"/>
      <c r="BI1360" s="23"/>
      <c r="BJ1360" s="23"/>
      <c r="BK1360" s="23"/>
      <c r="BL1360" s="23"/>
      <c r="BM1360" s="23"/>
      <c r="BN1360" s="23"/>
      <c r="BO1360" s="23"/>
      <c r="BP1360" s="23"/>
      <c r="BQ1360" s="23"/>
      <c r="BR1360" s="23"/>
      <c r="BS1360" s="23"/>
      <c r="BT1360" s="23"/>
      <c r="BU1360" s="23"/>
      <c r="BV1360" s="23"/>
      <c r="BW1360" s="23"/>
      <c r="BX1360" s="23"/>
      <c r="BY1360" s="23"/>
      <c r="BZ1360" s="23"/>
      <c r="CA1360" s="23"/>
      <c r="CB1360" s="23"/>
      <c r="CC1360" s="23"/>
      <c r="CD1360" s="23"/>
      <c r="CE1360" s="23"/>
      <c r="CF1360" s="23"/>
      <c r="CG1360" s="23"/>
      <c r="CH1360" s="23"/>
      <c r="CI1360" s="23"/>
      <c r="CJ1360" s="23"/>
      <c r="CK1360" s="23"/>
    </row>
    <row r="1361" spans="1:89">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c r="AV1361" s="23"/>
      <c r="AW1361" s="23"/>
      <c r="AX1361" s="23"/>
      <c r="AY1361" s="23"/>
      <c r="AZ1361" s="23"/>
      <c r="BA1361" s="23"/>
      <c r="BB1361" s="23"/>
      <c r="BC1361" s="23"/>
      <c r="BD1361" s="23"/>
      <c r="BE1361" s="23"/>
      <c r="BF1361" s="23"/>
      <c r="BG1361" s="23"/>
      <c r="BH1361" s="23"/>
      <c r="BI1361" s="23"/>
      <c r="BJ1361" s="23"/>
      <c r="BK1361" s="23"/>
      <c r="BL1361" s="23"/>
      <c r="BM1361" s="23"/>
      <c r="BN1361" s="23"/>
      <c r="BO1361" s="23"/>
      <c r="BP1361" s="23"/>
      <c r="BQ1361" s="23"/>
      <c r="BR1361" s="23"/>
      <c r="BS1361" s="23"/>
      <c r="BT1361" s="23"/>
      <c r="BU1361" s="23"/>
      <c r="BV1361" s="23"/>
      <c r="BW1361" s="23"/>
      <c r="BX1361" s="23"/>
      <c r="BY1361" s="23"/>
      <c r="BZ1361" s="23"/>
      <c r="CA1361" s="23"/>
      <c r="CB1361" s="23"/>
      <c r="CC1361" s="23"/>
      <c r="CD1361" s="23"/>
      <c r="CE1361" s="23"/>
      <c r="CF1361" s="23"/>
      <c r="CG1361" s="23"/>
      <c r="CH1361" s="23"/>
      <c r="CI1361" s="23"/>
      <c r="CJ1361" s="23"/>
      <c r="CK1361" s="23"/>
    </row>
    <row r="1362" spans="1:89">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c r="AV1362" s="23"/>
      <c r="AW1362" s="23"/>
      <c r="AX1362" s="23"/>
      <c r="AY1362" s="23"/>
      <c r="AZ1362" s="23"/>
      <c r="BA1362" s="23"/>
      <c r="BB1362" s="23"/>
      <c r="BC1362" s="23"/>
      <c r="BD1362" s="23"/>
      <c r="BE1362" s="23"/>
      <c r="BF1362" s="23"/>
      <c r="BG1362" s="23"/>
      <c r="BH1362" s="23"/>
      <c r="BI1362" s="23"/>
      <c r="BJ1362" s="23"/>
      <c r="BK1362" s="23"/>
      <c r="BL1362" s="23"/>
      <c r="BM1362" s="23"/>
      <c r="BN1362" s="23"/>
      <c r="BO1362" s="23"/>
      <c r="BP1362" s="23"/>
      <c r="BQ1362" s="23"/>
      <c r="BR1362" s="23"/>
      <c r="BS1362" s="23"/>
      <c r="BT1362" s="23"/>
      <c r="BU1362" s="23"/>
      <c r="BV1362" s="23"/>
      <c r="BW1362" s="23"/>
      <c r="BX1362" s="23"/>
      <c r="BY1362" s="23"/>
      <c r="BZ1362" s="23"/>
      <c r="CA1362" s="23"/>
      <c r="CB1362" s="23"/>
      <c r="CC1362" s="23"/>
      <c r="CD1362" s="23"/>
      <c r="CE1362" s="23"/>
      <c r="CF1362" s="23"/>
      <c r="CG1362" s="23"/>
      <c r="CH1362" s="23"/>
      <c r="CI1362" s="23"/>
      <c r="CJ1362" s="23"/>
      <c r="CK1362" s="23"/>
    </row>
    <row r="1363" spans="1:89">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c r="AV1363" s="23"/>
      <c r="AW1363" s="23"/>
      <c r="AX1363" s="23"/>
      <c r="AY1363" s="23"/>
      <c r="AZ1363" s="23"/>
      <c r="BA1363" s="23"/>
      <c r="BB1363" s="23"/>
      <c r="BC1363" s="23"/>
      <c r="BD1363" s="23"/>
      <c r="BE1363" s="23"/>
      <c r="BF1363" s="23"/>
      <c r="BG1363" s="23"/>
      <c r="BH1363" s="23"/>
      <c r="BI1363" s="23"/>
      <c r="BJ1363" s="23"/>
      <c r="BK1363" s="23"/>
      <c r="BL1363" s="23"/>
      <c r="BM1363" s="23"/>
      <c r="BN1363" s="23"/>
      <c r="BO1363" s="23"/>
      <c r="BP1363" s="23"/>
      <c r="BQ1363" s="23"/>
      <c r="BR1363" s="23"/>
      <c r="BS1363" s="23"/>
      <c r="BT1363" s="23"/>
      <c r="BU1363" s="23"/>
      <c r="BV1363" s="23"/>
      <c r="BW1363" s="23"/>
      <c r="BX1363" s="23"/>
      <c r="BY1363" s="23"/>
      <c r="BZ1363" s="23"/>
      <c r="CA1363" s="23"/>
      <c r="CB1363" s="23"/>
      <c r="CC1363" s="23"/>
      <c r="CD1363" s="23"/>
      <c r="CE1363" s="23"/>
      <c r="CF1363" s="23"/>
      <c r="CG1363" s="23"/>
      <c r="CH1363" s="23"/>
      <c r="CI1363" s="23"/>
      <c r="CJ1363" s="23"/>
      <c r="CK1363" s="23"/>
    </row>
    <row r="1364" spans="1:89">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c r="AV1364" s="23"/>
      <c r="AW1364" s="23"/>
      <c r="AX1364" s="23"/>
      <c r="AY1364" s="23"/>
      <c r="AZ1364" s="23"/>
      <c r="BA1364" s="23"/>
      <c r="BB1364" s="23"/>
      <c r="BC1364" s="23"/>
      <c r="BD1364" s="23"/>
      <c r="BE1364" s="23"/>
      <c r="BF1364" s="23"/>
      <c r="BG1364" s="23"/>
      <c r="BH1364" s="23"/>
      <c r="BI1364" s="23"/>
      <c r="BJ1364" s="23"/>
      <c r="BK1364" s="23"/>
      <c r="BL1364" s="23"/>
      <c r="BM1364" s="23"/>
      <c r="BN1364" s="23"/>
      <c r="BO1364" s="23"/>
      <c r="BP1364" s="23"/>
      <c r="BQ1364" s="23"/>
      <c r="BR1364" s="23"/>
      <c r="BS1364" s="23"/>
      <c r="BT1364" s="23"/>
      <c r="BU1364" s="23"/>
      <c r="BV1364" s="23"/>
      <c r="BW1364" s="23"/>
      <c r="BX1364" s="23"/>
      <c r="BY1364" s="23"/>
      <c r="BZ1364" s="23"/>
      <c r="CA1364" s="23"/>
      <c r="CB1364" s="23"/>
      <c r="CC1364" s="23"/>
      <c r="CD1364" s="23"/>
      <c r="CE1364" s="23"/>
      <c r="CF1364" s="23"/>
      <c r="CG1364" s="23"/>
      <c r="CH1364" s="23"/>
      <c r="CI1364" s="23"/>
      <c r="CJ1364" s="23"/>
      <c r="CK1364" s="23"/>
    </row>
    <row r="1365" spans="1:89">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c r="AV1365" s="23"/>
      <c r="AW1365" s="23"/>
      <c r="AX1365" s="23"/>
      <c r="AY1365" s="23"/>
      <c r="AZ1365" s="23"/>
      <c r="BA1365" s="23"/>
      <c r="BB1365" s="23"/>
      <c r="BC1365" s="23"/>
      <c r="BD1365" s="23"/>
      <c r="BE1365" s="23"/>
      <c r="BF1365" s="23"/>
      <c r="BG1365" s="23"/>
      <c r="BH1365" s="23"/>
      <c r="BI1365" s="23"/>
      <c r="BJ1365" s="23"/>
      <c r="BK1365" s="23"/>
      <c r="BL1365" s="23"/>
      <c r="BM1365" s="23"/>
      <c r="BN1365" s="23"/>
      <c r="BO1365" s="23"/>
      <c r="BP1365" s="23"/>
      <c r="BQ1365" s="23"/>
      <c r="BR1365" s="23"/>
      <c r="BS1365" s="23"/>
      <c r="BT1365" s="23"/>
      <c r="BU1365" s="23"/>
      <c r="BV1365" s="23"/>
      <c r="BW1365" s="23"/>
      <c r="BX1365" s="23"/>
      <c r="BY1365" s="23"/>
      <c r="BZ1365" s="23"/>
      <c r="CA1365" s="23"/>
      <c r="CB1365" s="23"/>
      <c r="CC1365" s="23"/>
      <c r="CD1365" s="23"/>
      <c r="CE1365" s="23"/>
      <c r="CF1365" s="23"/>
      <c r="CG1365" s="23"/>
      <c r="CH1365" s="23"/>
      <c r="CI1365" s="23"/>
      <c r="CJ1365" s="23"/>
      <c r="CK1365" s="23"/>
    </row>
    <row r="1366" spans="1:89">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c r="AV1366" s="23"/>
      <c r="AW1366" s="23"/>
      <c r="AX1366" s="23"/>
      <c r="AY1366" s="23"/>
      <c r="AZ1366" s="23"/>
      <c r="BA1366" s="23"/>
      <c r="BB1366" s="23"/>
      <c r="BC1366" s="23"/>
      <c r="BD1366" s="23"/>
      <c r="BE1366" s="23"/>
      <c r="BF1366" s="23"/>
      <c r="BG1366" s="23"/>
      <c r="BH1366" s="23"/>
      <c r="BI1366" s="23"/>
      <c r="BJ1366" s="23"/>
      <c r="BK1366" s="23"/>
      <c r="BL1366" s="23"/>
      <c r="BM1366" s="23"/>
      <c r="BN1366" s="23"/>
      <c r="BO1366" s="23"/>
      <c r="BP1366" s="23"/>
      <c r="BQ1366" s="23"/>
      <c r="BR1366" s="23"/>
      <c r="BS1366" s="23"/>
      <c r="BT1366" s="23"/>
      <c r="BU1366" s="23"/>
      <c r="BV1366" s="23"/>
      <c r="BW1366" s="23"/>
      <c r="BX1366" s="23"/>
      <c r="BY1366" s="23"/>
      <c r="BZ1366" s="23"/>
      <c r="CA1366" s="23"/>
      <c r="CB1366" s="23"/>
      <c r="CC1366" s="23"/>
      <c r="CD1366" s="23"/>
      <c r="CE1366" s="23"/>
      <c r="CF1366" s="23"/>
      <c r="CG1366" s="23"/>
      <c r="CH1366" s="23"/>
      <c r="CI1366" s="23"/>
      <c r="CJ1366" s="23"/>
      <c r="CK1366" s="23"/>
    </row>
    <row r="1367" spans="1:89">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c r="AV1367" s="23"/>
      <c r="AW1367" s="23"/>
      <c r="AX1367" s="23"/>
      <c r="AY1367" s="23"/>
      <c r="AZ1367" s="23"/>
      <c r="BA1367" s="23"/>
      <c r="BB1367" s="23"/>
      <c r="BC1367" s="23"/>
      <c r="BD1367" s="23"/>
      <c r="BE1367" s="23"/>
      <c r="BF1367" s="23"/>
      <c r="BG1367" s="23"/>
      <c r="BH1367" s="23"/>
      <c r="BI1367" s="23"/>
      <c r="BJ1367" s="23"/>
      <c r="BK1367" s="23"/>
      <c r="BL1367" s="23"/>
      <c r="BM1367" s="23"/>
      <c r="BN1367" s="23"/>
      <c r="BO1367" s="23"/>
      <c r="BP1367" s="23"/>
      <c r="BQ1367" s="23"/>
      <c r="BR1367" s="23"/>
      <c r="BS1367" s="23"/>
      <c r="BT1367" s="23"/>
      <c r="BU1367" s="23"/>
      <c r="BV1367" s="23"/>
      <c r="BW1367" s="23"/>
      <c r="BX1367" s="23"/>
      <c r="BY1367" s="23"/>
      <c r="BZ1367" s="23"/>
      <c r="CA1367" s="23"/>
      <c r="CB1367" s="23"/>
      <c r="CC1367" s="23"/>
      <c r="CD1367" s="23"/>
      <c r="CE1367" s="23"/>
      <c r="CF1367" s="23"/>
      <c r="CG1367" s="23"/>
      <c r="CH1367" s="23"/>
      <c r="CI1367" s="23"/>
      <c r="CJ1367" s="23"/>
      <c r="CK1367" s="23"/>
    </row>
    <row r="1368" spans="1:89">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c r="AV1368" s="23"/>
      <c r="AW1368" s="23"/>
      <c r="AX1368" s="23"/>
      <c r="AY1368" s="23"/>
      <c r="AZ1368" s="23"/>
      <c r="BA1368" s="23"/>
      <c r="BB1368" s="23"/>
      <c r="BC1368" s="23"/>
      <c r="BD1368" s="23"/>
      <c r="BE1368" s="23"/>
      <c r="BF1368" s="23"/>
      <c r="BG1368" s="23"/>
      <c r="BH1368" s="23"/>
      <c r="BI1368" s="23"/>
      <c r="BJ1368" s="23"/>
      <c r="BK1368" s="23"/>
      <c r="BL1368" s="23"/>
      <c r="BM1368" s="23"/>
      <c r="BN1368" s="23"/>
      <c r="BO1368" s="23"/>
      <c r="BP1368" s="23"/>
      <c r="BQ1368" s="23"/>
      <c r="BR1368" s="23"/>
      <c r="BS1368" s="23"/>
      <c r="BT1368" s="23"/>
      <c r="BU1368" s="23"/>
      <c r="BV1368" s="23"/>
      <c r="BW1368" s="23"/>
      <c r="BX1368" s="23"/>
      <c r="BY1368" s="23"/>
      <c r="BZ1368" s="23"/>
      <c r="CA1368" s="23"/>
      <c r="CB1368" s="23"/>
      <c r="CC1368" s="23"/>
      <c r="CD1368" s="23"/>
      <c r="CE1368" s="23"/>
      <c r="CF1368" s="23"/>
      <c r="CG1368" s="23"/>
      <c r="CH1368" s="23"/>
      <c r="CI1368" s="23"/>
      <c r="CJ1368" s="23"/>
      <c r="CK1368" s="23"/>
    </row>
    <row r="1369" spans="1:89">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c r="AV1369" s="23"/>
      <c r="AW1369" s="23"/>
      <c r="AX1369" s="23"/>
      <c r="AY1369" s="23"/>
      <c r="AZ1369" s="23"/>
      <c r="BA1369" s="23"/>
      <c r="BB1369" s="23"/>
      <c r="BC1369" s="23"/>
      <c r="BD1369" s="23"/>
      <c r="BE1369" s="23"/>
      <c r="BF1369" s="23"/>
      <c r="BG1369" s="23"/>
      <c r="BH1369" s="23"/>
      <c r="BI1369" s="23"/>
      <c r="BJ1369" s="23"/>
      <c r="BK1369" s="23"/>
      <c r="BL1369" s="23"/>
      <c r="BM1369" s="23"/>
      <c r="BN1369" s="23"/>
      <c r="BO1369" s="23"/>
      <c r="BP1369" s="23"/>
      <c r="BQ1369" s="23"/>
      <c r="BR1369" s="23"/>
      <c r="BS1369" s="23"/>
      <c r="BT1369" s="23"/>
      <c r="BU1369" s="23"/>
      <c r="BV1369" s="23"/>
      <c r="BW1369" s="23"/>
      <c r="BX1369" s="23"/>
      <c r="BY1369" s="23"/>
      <c r="BZ1369" s="23"/>
      <c r="CA1369" s="23"/>
      <c r="CB1369" s="23"/>
      <c r="CC1369" s="23"/>
      <c r="CD1369" s="23"/>
      <c r="CE1369" s="23"/>
      <c r="CF1369" s="23"/>
      <c r="CG1369" s="23"/>
      <c r="CH1369" s="23"/>
      <c r="CI1369" s="23"/>
      <c r="CJ1369" s="23"/>
      <c r="CK1369" s="23"/>
    </row>
    <row r="1370" spans="1:89">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c r="AV1370" s="23"/>
      <c r="AW1370" s="23"/>
      <c r="AX1370" s="23"/>
      <c r="AY1370" s="23"/>
      <c r="AZ1370" s="23"/>
      <c r="BA1370" s="23"/>
      <c r="BB1370" s="23"/>
      <c r="BC1370" s="23"/>
      <c r="BD1370" s="23"/>
      <c r="BE1370" s="23"/>
      <c r="BF1370" s="23"/>
      <c r="BG1370" s="23"/>
      <c r="BH1370" s="23"/>
      <c r="BI1370" s="23"/>
      <c r="BJ1370" s="23"/>
      <c r="BK1370" s="23"/>
      <c r="BL1370" s="23"/>
      <c r="BM1370" s="23"/>
      <c r="BN1370" s="23"/>
      <c r="BO1370" s="23"/>
      <c r="BP1370" s="23"/>
      <c r="BQ1370" s="23"/>
      <c r="BR1370" s="23"/>
      <c r="BS1370" s="23"/>
      <c r="BT1370" s="23"/>
      <c r="BU1370" s="23"/>
      <c r="BV1370" s="23"/>
      <c r="BW1370" s="23"/>
      <c r="BX1370" s="23"/>
      <c r="BY1370" s="23"/>
      <c r="BZ1370" s="23"/>
      <c r="CA1370" s="23"/>
      <c r="CB1370" s="23"/>
      <c r="CC1370" s="23"/>
      <c r="CD1370" s="23"/>
      <c r="CE1370" s="23"/>
      <c r="CF1370" s="23"/>
      <c r="CG1370" s="23"/>
      <c r="CH1370" s="23"/>
      <c r="CI1370" s="23"/>
      <c r="CJ1370" s="23"/>
      <c r="CK1370" s="23"/>
    </row>
    <row r="1371" spans="1:89">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c r="AV1371" s="23"/>
      <c r="AW1371" s="23"/>
      <c r="AX1371" s="23"/>
      <c r="AY1371" s="23"/>
      <c r="AZ1371" s="23"/>
      <c r="BA1371" s="23"/>
      <c r="BB1371" s="23"/>
      <c r="BC1371" s="23"/>
      <c r="BD1371" s="23"/>
      <c r="BE1371" s="23"/>
      <c r="BF1371" s="23"/>
      <c r="BG1371" s="23"/>
      <c r="BH1371" s="23"/>
      <c r="BI1371" s="23"/>
      <c r="BJ1371" s="23"/>
      <c r="BK1371" s="23"/>
      <c r="BL1371" s="23"/>
      <c r="BM1371" s="23"/>
      <c r="BN1371" s="23"/>
      <c r="BO1371" s="23"/>
      <c r="BP1371" s="23"/>
      <c r="BQ1371" s="23"/>
      <c r="BR1371" s="23"/>
      <c r="BS1371" s="23"/>
      <c r="BT1371" s="23"/>
      <c r="BU1371" s="23"/>
      <c r="BV1371" s="23"/>
      <c r="BW1371" s="23"/>
      <c r="BX1371" s="23"/>
      <c r="BY1371" s="23"/>
      <c r="BZ1371" s="23"/>
      <c r="CA1371" s="23"/>
      <c r="CB1371" s="23"/>
      <c r="CC1371" s="23"/>
      <c r="CD1371" s="23"/>
      <c r="CE1371" s="23"/>
      <c r="CF1371" s="23"/>
      <c r="CG1371" s="23"/>
      <c r="CH1371" s="23"/>
      <c r="CI1371" s="23"/>
      <c r="CJ1371" s="23"/>
      <c r="CK1371" s="23"/>
    </row>
    <row r="1372" spans="1:89">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c r="AV1372" s="23"/>
      <c r="AW1372" s="23"/>
      <c r="AX1372" s="23"/>
      <c r="AY1372" s="23"/>
      <c r="AZ1372" s="23"/>
      <c r="BA1372" s="23"/>
      <c r="BB1372" s="23"/>
      <c r="BC1372" s="23"/>
      <c r="BD1372" s="23"/>
      <c r="BE1372" s="23"/>
      <c r="BF1372" s="23"/>
      <c r="BG1372" s="23"/>
      <c r="BH1372" s="23"/>
      <c r="BI1372" s="23"/>
      <c r="BJ1372" s="23"/>
      <c r="BK1372" s="23"/>
      <c r="BL1372" s="23"/>
      <c r="BM1372" s="23"/>
      <c r="BN1372" s="23"/>
      <c r="BO1372" s="23"/>
      <c r="BP1372" s="23"/>
      <c r="BQ1372" s="23"/>
      <c r="BR1372" s="23"/>
      <c r="BS1372" s="23"/>
      <c r="BT1372" s="23"/>
      <c r="BU1372" s="23"/>
      <c r="BV1372" s="23"/>
      <c r="BW1372" s="23"/>
      <c r="BX1372" s="23"/>
      <c r="BY1372" s="23"/>
      <c r="BZ1372" s="23"/>
      <c r="CA1372" s="23"/>
      <c r="CB1372" s="23"/>
      <c r="CC1372" s="23"/>
      <c r="CD1372" s="23"/>
      <c r="CE1372" s="23"/>
      <c r="CF1372" s="23"/>
      <c r="CG1372" s="23"/>
      <c r="CH1372" s="23"/>
      <c r="CI1372" s="23"/>
      <c r="CJ1372" s="23"/>
      <c r="CK1372" s="23"/>
    </row>
    <row r="1373" spans="1:89">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c r="AV1373" s="23"/>
      <c r="AW1373" s="23"/>
      <c r="AX1373" s="23"/>
      <c r="AY1373" s="23"/>
      <c r="AZ1373" s="23"/>
      <c r="BA1373" s="23"/>
      <c r="BB1373" s="23"/>
      <c r="BC1373" s="23"/>
      <c r="BD1373" s="23"/>
      <c r="BE1373" s="23"/>
      <c r="BF1373" s="23"/>
      <c r="BG1373" s="23"/>
      <c r="BH1373" s="23"/>
      <c r="BI1373" s="23"/>
      <c r="BJ1373" s="23"/>
      <c r="BK1373" s="23"/>
      <c r="BL1373" s="23"/>
      <c r="BM1373" s="23"/>
      <c r="BN1373" s="23"/>
      <c r="BO1373" s="23"/>
      <c r="BP1373" s="23"/>
      <c r="BQ1373" s="23"/>
      <c r="BR1373" s="23"/>
      <c r="BS1373" s="23"/>
      <c r="BT1373" s="23"/>
      <c r="BU1373" s="23"/>
      <c r="BV1373" s="23"/>
      <c r="BW1373" s="23"/>
      <c r="BX1373" s="23"/>
      <c r="BY1373" s="23"/>
      <c r="BZ1373" s="23"/>
      <c r="CA1373" s="23"/>
      <c r="CB1373" s="23"/>
      <c r="CC1373" s="23"/>
      <c r="CD1373" s="23"/>
      <c r="CE1373" s="23"/>
      <c r="CF1373" s="23"/>
      <c r="CG1373" s="23"/>
      <c r="CH1373" s="23"/>
      <c r="CI1373" s="23"/>
      <c r="CJ1373" s="23"/>
      <c r="CK1373" s="23"/>
    </row>
    <row r="1374" spans="1:89">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c r="AV1374" s="23"/>
      <c r="AW1374" s="23"/>
      <c r="AX1374" s="23"/>
      <c r="AY1374" s="23"/>
      <c r="AZ1374" s="23"/>
      <c r="BA1374" s="23"/>
      <c r="BB1374" s="23"/>
      <c r="BC1374" s="23"/>
      <c r="BD1374" s="23"/>
      <c r="BE1374" s="23"/>
      <c r="BF1374" s="23"/>
      <c r="BG1374" s="23"/>
      <c r="BH1374" s="23"/>
      <c r="BI1374" s="23"/>
      <c r="BJ1374" s="23"/>
      <c r="BK1374" s="23"/>
      <c r="BL1374" s="23"/>
      <c r="BM1374" s="23"/>
      <c r="BN1374" s="23"/>
      <c r="BO1374" s="23"/>
      <c r="BP1374" s="23"/>
      <c r="BQ1374" s="23"/>
      <c r="BR1374" s="23"/>
      <c r="BS1374" s="23"/>
      <c r="BT1374" s="23"/>
      <c r="BU1374" s="23"/>
      <c r="BV1374" s="23"/>
      <c r="BW1374" s="23"/>
      <c r="BX1374" s="23"/>
      <c r="BY1374" s="23"/>
      <c r="BZ1374" s="23"/>
      <c r="CA1374" s="23"/>
      <c r="CB1374" s="23"/>
      <c r="CC1374" s="23"/>
      <c r="CD1374" s="23"/>
      <c r="CE1374" s="23"/>
      <c r="CF1374" s="23"/>
      <c r="CG1374" s="23"/>
      <c r="CH1374" s="23"/>
      <c r="CI1374" s="23"/>
      <c r="CJ1374" s="23"/>
      <c r="CK1374" s="23"/>
    </row>
    <row r="1375" spans="1:89">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c r="AV1375" s="23"/>
      <c r="AW1375" s="23"/>
      <c r="AX1375" s="23"/>
      <c r="AY1375" s="23"/>
      <c r="AZ1375" s="23"/>
      <c r="BA1375" s="23"/>
      <c r="BB1375" s="23"/>
      <c r="BC1375" s="23"/>
      <c r="BD1375" s="23"/>
      <c r="BE1375" s="23"/>
      <c r="BF1375" s="23"/>
      <c r="BG1375" s="23"/>
      <c r="BH1375" s="23"/>
      <c r="BI1375" s="23"/>
      <c r="BJ1375" s="23"/>
      <c r="BK1375" s="23"/>
      <c r="BL1375" s="23"/>
      <c r="BM1375" s="23"/>
      <c r="BN1375" s="23"/>
      <c r="BO1375" s="23"/>
      <c r="BP1375" s="23"/>
      <c r="BQ1375" s="23"/>
      <c r="BR1375" s="23"/>
      <c r="BS1375" s="23"/>
      <c r="BT1375" s="23"/>
      <c r="BU1375" s="23"/>
      <c r="BV1375" s="23"/>
      <c r="BW1375" s="23"/>
      <c r="BX1375" s="23"/>
      <c r="BY1375" s="23"/>
      <c r="BZ1375" s="23"/>
      <c r="CA1375" s="23"/>
      <c r="CB1375" s="23"/>
      <c r="CC1375" s="23"/>
      <c r="CD1375" s="23"/>
      <c r="CE1375" s="23"/>
      <c r="CF1375" s="23"/>
      <c r="CG1375" s="23"/>
      <c r="CH1375" s="23"/>
      <c r="CI1375" s="23"/>
      <c r="CJ1375" s="23"/>
      <c r="CK1375" s="23"/>
    </row>
    <row r="1376" spans="1:89">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c r="AV1376" s="23"/>
      <c r="AW1376" s="23"/>
      <c r="AX1376" s="23"/>
      <c r="AY1376" s="23"/>
      <c r="AZ1376" s="23"/>
      <c r="BA1376" s="23"/>
      <c r="BB1376" s="23"/>
      <c r="BC1376" s="23"/>
      <c r="BD1376" s="23"/>
      <c r="BE1376" s="23"/>
      <c r="BF1376" s="23"/>
      <c r="BG1376" s="23"/>
      <c r="BH1376" s="23"/>
      <c r="BI1376" s="23"/>
      <c r="BJ1376" s="23"/>
      <c r="BK1376" s="23"/>
      <c r="BL1376" s="23"/>
      <c r="BM1376" s="23"/>
      <c r="BN1376" s="23"/>
      <c r="BO1376" s="23"/>
      <c r="BP1376" s="23"/>
      <c r="BQ1376" s="23"/>
      <c r="BR1376" s="23"/>
      <c r="BS1376" s="23"/>
      <c r="BT1376" s="23"/>
      <c r="BU1376" s="23"/>
      <c r="BV1376" s="23"/>
      <c r="BW1376" s="23"/>
      <c r="BX1376" s="23"/>
      <c r="BY1376" s="23"/>
      <c r="BZ1376" s="23"/>
      <c r="CA1376" s="23"/>
      <c r="CB1376" s="23"/>
      <c r="CC1376" s="23"/>
      <c r="CD1376" s="23"/>
      <c r="CE1376" s="23"/>
      <c r="CF1376" s="23"/>
      <c r="CG1376" s="23"/>
      <c r="CH1376" s="23"/>
      <c r="CI1376" s="23"/>
      <c r="CJ1376" s="23"/>
      <c r="CK1376" s="23"/>
    </row>
    <row r="1377" spans="1:89">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c r="AV1377" s="23"/>
      <c r="AW1377" s="23"/>
      <c r="AX1377" s="23"/>
      <c r="AY1377" s="23"/>
      <c r="AZ1377" s="23"/>
      <c r="BA1377" s="23"/>
      <c r="BB1377" s="23"/>
      <c r="BC1377" s="23"/>
      <c r="BD1377" s="23"/>
      <c r="BE1377" s="23"/>
      <c r="BF1377" s="23"/>
      <c r="BG1377" s="23"/>
      <c r="BH1377" s="23"/>
      <c r="BI1377" s="23"/>
      <c r="BJ1377" s="23"/>
      <c r="BK1377" s="23"/>
      <c r="BL1377" s="23"/>
      <c r="BM1377" s="23"/>
      <c r="BN1377" s="23"/>
      <c r="BO1377" s="23"/>
      <c r="BP1377" s="23"/>
      <c r="BQ1377" s="23"/>
      <c r="BR1377" s="23"/>
      <c r="BS1377" s="23"/>
      <c r="BT1377" s="23"/>
      <c r="BU1377" s="23"/>
      <c r="BV1377" s="23"/>
      <c r="BW1377" s="23"/>
      <c r="BX1377" s="23"/>
      <c r="BY1377" s="23"/>
      <c r="BZ1377" s="23"/>
      <c r="CA1377" s="23"/>
      <c r="CB1377" s="23"/>
      <c r="CC1377" s="23"/>
      <c r="CD1377" s="23"/>
      <c r="CE1377" s="23"/>
      <c r="CF1377" s="23"/>
      <c r="CG1377" s="23"/>
      <c r="CH1377" s="23"/>
      <c r="CI1377" s="23"/>
      <c r="CJ1377" s="23"/>
      <c r="CK1377"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2F3A56"/>
  </sheetPr>
  <dimension ref="A1:G123"/>
  <sheetViews>
    <sheetView showGridLines="0" workbookViewId="0"/>
  </sheetViews>
  <sheetFormatPr defaultColWidth="9.125" defaultRowHeight="15.75"/>
  <cols>
    <col min="1" max="1" width="19" style="168" customWidth="1"/>
    <col min="2" max="2" width="23.25" style="168" customWidth="1"/>
    <col min="3" max="4" width="19" style="87" customWidth="1"/>
    <col min="5" max="5" width="63.25" style="87" customWidth="1"/>
    <col min="6" max="6" width="66.875" style="168" customWidth="1"/>
    <col min="7" max="7" width="75.375" style="168" customWidth="1"/>
    <col min="8" max="8" width="8.625" style="168" customWidth="1"/>
    <col min="9" max="13" width="9.125" style="168"/>
    <col min="14" max="14" width="9.875" style="168" customWidth="1"/>
    <col min="15" max="16384" width="9.125" style="168"/>
  </cols>
  <sheetData>
    <row r="1" spans="1:7" ht="30.75" customHeight="1">
      <c r="A1" s="165"/>
      <c r="B1" s="166"/>
      <c r="C1" s="167"/>
      <c r="D1" s="167"/>
      <c r="E1" s="146" t="s">
        <v>4346</v>
      </c>
      <c r="F1" s="165"/>
    </row>
    <row r="2" spans="1:7" ht="21.75" customHeight="1">
      <c r="A2" s="169" t="s">
        <v>90</v>
      </c>
      <c r="B2" s="97"/>
      <c r="C2" s="97"/>
      <c r="D2" s="97"/>
      <c r="E2" s="169" t="s">
        <v>465</v>
      </c>
      <c r="F2" s="169" t="s">
        <v>466</v>
      </c>
    </row>
    <row r="3" spans="1:7" ht="78.75">
      <c r="A3" s="154" t="s">
        <v>35</v>
      </c>
      <c r="B3" s="154" t="s">
        <v>92</v>
      </c>
      <c r="C3" s="154" t="s">
        <v>93</v>
      </c>
      <c r="D3" s="154" t="s">
        <v>94</v>
      </c>
      <c r="E3" s="170" t="s">
        <v>4493</v>
      </c>
      <c r="F3" s="170" t="s">
        <v>4494</v>
      </c>
    </row>
    <row r="4" spans="1:7">
      <c r="A4" s="159" t="s">
        <v>99</v>
      </c>
      <c r="B4" s="98" t="s">
        <v>100</v>
      </c>
      <c r="C4" s="98">
        <v>22017</v>
      </c>
      <c r="D4" s="98" t="s">
        <v>46</v>
      </c>
      <c r="E4" s="98"/>
      <c r="F4" s="171"/>
      <c r="G4" s="98"/>
    </row>
    <row r="5" spans="1:7">
      <c r="A5" s="159" t="s">
        <v>99</v>
      </c>
      <c r="B5" s="98" t="s">
        <v>104</v>
      </c>
      <c r="C5" s="98">
        <v>22015</v>
      </c>
      <c r="D5" s="98" t="s">
        <v>46</v>
      </c>
      <c r="E5" s="172" t="s">
        <v>467</v>
      </c>
      <c r="F5" s="172" t="s">
        <v>468</v>
      </c>
    </row>
    <row r="6" spans="1:7">
      <c r="A6" s="159" t="s">
        <v>99</v>
      </c>
      <c r="B6" s="98" t="s">
        <v>108</v>
      </c>
      <c r="C6" s="98">
        <v>22119</v>
      </c>
      <c r="D6" s="98" t="s">
        <v>46</v>
      </c>
      <c r="E6" s="173" t="s">
        <v>469</v>
      </c>
      <c r="F6" s="173" t="s">
        <v>470</v>
      </c>
    </row>
    <row r="7" spans="1:7">
      <c r="A7" s="159" t="s">
        <v>99</v>
      </c>
      <c r="B7" s="98" t="s">
        <v>111</v>
      </c>
      <c r="C7" s="98">
        <v>22027</v>
      </c>
      <c r="D7" s="98" t="s">
        <v>46</v>
      </c>
      <c r="E7" s="154" t="s">
        <v>4495</v>
      </c>
      <c r="F7" s="154" t="s">
        <v>4496</v>
      </c>
    </row>
    <row r="8" spans="1:7">
      <c r="A8" s="159" t="s">
        <v>99</v>
      </c>
      <c r="B8" s="98" t="s">
        <v>114</v>
      </c>
      <c r="C8" s="98">
        <v>22013</v>
      </c>
      <c r="D8" s="98" t="s">
        <v>46</v>
      </c>
      <c r="E8" s="154" t="s">
        <v>4497</v>
      </c>
      <c r="F8" s="154" t="s">
        <v>4498</v>
      </c>
    </row>
    <row r="9" spans="1:7">
      <c r="A9" s="159" t="s">
        <v>99</v>
      </c>
      <c r="B9" s="98" t="s">
        <v>117</v>
      </c>
      <c r="C9" s="98">
        <v>22081</v>
      </c>
      <c r="D9" s="98" t="s">
        <v>46</v>
      </c>
      <c r="E9" s="154" t="s">
        <v>4499</v>
      </c>
      <c r="F9" s="154" t="s">
        <v>4500</v>
      </c>
    </row>
    <row r="10" spans="1:7">
      <c r="A10" s="159" t="s">
        <v>99</v>
      </c>
      <c r="B10" s="98" t="s">
        <v>120</v>
      </c>
      <c r="C10" s="98">
        <v>22031</v>
      </c>
      <c r="D10" s="98" t="s">
        <v>46</v>
      </c>
      <c r="E10" s="154" t="s">
        <v>4501</v>
      </c>
      <c r="F10" s="154" t="s">
        <v>4502</v>
      </c>
    </row>
    <row r="11" spans="1:7">
      <c r="A11" s="159" t="s">
        <v>99</v>
      </c>
      <c r="B11" s="98" t="s">
        <v>122</v>
      </c>
      <c r="C11" s="98">
        <v>22079</v>
      </c>
      <c r="D11" s="98" t="s">
        <v>53</v>
      </c>
      <c r="E11" s="154" t="s">
        <v>4503</v>
      </c>
      <c r="F11" s="154" t="s">
        <v>4504</v>
      </c>
    </row>
    <row r="12" spans="1:7">
      <c r="A12" s="159" t="s">
        <v>99</v>
      </c>
      <c r="B12" s="98" t="s">
        <v>124</v>
      </c>
      <c r="C12" s="98">
        <v>22043</v>
      </c>
      <c r="D12" s="98" t="s">
        <v>53</v>
      </c>
      <c r="E12" s="154" t="s">
        <v>4505</v>
      </c>
      <c r="F12" s="154" t="s">
        <v>4506</v>
      </c>
    </row>
    <row r="13" spans="1:7">
      <c r="A13" s="159" t="s">
        <v>99</v>
      </c>
      <c r="B13" s="98" t="s">
        <v>116</v>
      </c>
      <c r="C13" s="98">
        <v>22009</v>
      </c>
      <c r="D13" s="98" t="s">
        <v>53</v>
      </c>
      <c r="E13" s="154" t="s">
        <v>4507</v>
      </c>
      <c r="F13" s="173" t="s">
        <v>471</v>
      </c>
    </row>
    <row r="14" spans="1:7">
      <c r="A14" s="159" t="s">
        <v>99</v>
      </c>
      <c r="B14" s="98" t="s">
        <v>129</v>
      </c>
      <c r="C14" s="98">
        <v>22025</v>
      </c>
      <c r="D14" s="98" t="s">
        <v>53</v>
      </c>
      <c r="E14" s="173" t="s">
        <v>472</v>
      </c>
      <c r="F14" s="173" t="s">
        <v>473</v>
      </c>
    </row>
    <row r="15" spans="1:7">
      <c r="A15" s="159" t="s">
        <v>99</v>
      </c>
      <c r="B15" s="98" t="s">
        <v>132</v>
      </c>
      <c r="C15" s="98">
        <v>22029</v>
      </c>
      <c r="D15" s="98" t="s">
        <v>53</v>
      </c>
      <c r="E15" s="154" t="s">
        <v>4508</v>
      </c>
      <c r="F15" s="154" t="s">
        <v>4509</v>
      </c>
    </row>
    <row r="16" spans="1:7">
      <c r="A16" s="159" t="s">
        <v>99</v>
      </c>
      <c r="B16" s="98" t="s">
        <v>135</v>
      </c>
      <c r="C16" s="98">
        <v>22059</v>
      </c>
      <c r="D16" s="98" t="s">
        <v>53</v>
      </c>
      <c r="E16" s="154" t="s">
        <v>4510</v>
      </c>
      <c r="F16" s="154" t="s">
        <v>4511</v>
      </c>
    </row>
    <row r="17" spans="1:7">
      <c r="A17" s="159" t="s">
        <v>99</v>
      </c>
      <c r="B17" s="98" t="s">
        <v>137</v>
      </c>
      <c r="C17" s="98">
        <v>22115</v>
      </c>
      <c r="D17" s="98" t="s">
        <v>53</v>
      </c>
      <c r="E17" s="154" t="s">
        <v>4512</v>
      </c>
      <c r="F17" s="154" t="s">
        <v>4513</v>
      </c>
    </row>
    <row r="18" spans="1:7">
      <c r="A18" s="159" t="s">
        <v>99</v>
      </c>
      <c r="B18" s="98" t="s">
        <v>140</v>
      </c>
      <c r="C18" s="98">
        <v>22127</v>
      </c>
      <c r="D18" s="98" t="s">
        <v>53</v>
      </c>
      <c r="E18" s="154" t="s">
        <v>4514</v>
      </c>
      <c r="F18" s="154" t="s">
        <v>4515</v>
      </c>
    </row>
    <row r="19" spans="1:7">
      <c r="A19" s="159" t="s">
        <v>99</v>
      </c>
      <c r="B19" s="98" t="s">
        <v>110</v>
      </c>
      <c r="C19" s="98">
        <v>22005</v>
      </c>
      <c r="D19" s="98" t="s">
        <v>60</v>
      </c>
      <c r="E19" s="154" t="s">
        <v>4516</v>
      </c>
      <c r="F19" s="154" t="s">
        <v>4517</v>
      </c>
    </row>
    <row r="20" spans="1:7">
      <c r="A20" s="159" t="s">
        <v>99</v>
      </c>
      <c r="B20" s="98" t="s">
        <v>113</v>
      </c>
      <c r="C20" s="98">
        <v>22007</v>
      </c>
      <c r="D20" s="98" t="s">
        <v>60</v>
      </c>
      <c r="E20" s="154" t="s">
        <v>4518</v>
      </c>
      <c r="F20" s="154" t="s">
        <v>4519</v>
      </c>
    </row>
    <row r="21" spans="1:7">
      <c r="A21" s="159" t="s">
        <v>99</v>
      </c>
      <c r="B21" s="98" t="s">
        <v>106</v>
      </c>
      <c r="C21" s="98">
        <v>22003</v>
      </c>
      <c r="D21" s="98" t="s">
        <v>60</v>
      </c>
      <c r="E21" s="154" t="s">
        <v>4520</v>
      </c>
      <c r="F21" s="171"/>
      <c r="G21" s="172"/>
    </row>
    <row r="22" spans="1:7">
      <c r="A22" s="159" t="s">
        <v>99</v>
      </c>
      <c r="B22" s="98" t="s">
        <v>119</v>
      </c>
      <c r="C22" s="98">
        <v>22011</v>
      </c>
      <c r="D22" s="98" t="s">
        <v>60</v>
      </c>
      <c r="E22" s="154" t="s">
        <v>4521</v>
      </c>
      <c r="F22" s="171"/>
      <c r="G22" s="98"/>
    </row>
    <row r="23" spans="1:7">
      <c r="A23" s="159" t="s">
        <v>99</v>
      </c>
      <c r="B23" s="98" t="s">
        <v>127</v>
      </c>
      <c r="C23" s="98">
        <v>22019</v>
      </c>
      <c r="D23" s="98" t="s">
        <v>60</v>
      </c>
      <c r="E23" s="173" t="s">
        <v>474</v>
      </c>
      <c r="F23" s="171"/>
      <c r="G23" s="98"/>
    </row>
    <row r="24" spans="1:7">
      <c r="A24" s="159" t="s">
        <v>99</v>
      </c>
      <c r="B24" s="98" t="s">
        <v>131</v>
      </c>
      <c r="C24" s="98">
        <v>22023</v>
      </c>
      <c r="D24" s="98" t="s">
        <v>60</v>
      </c>
      <c r="E24" s="98"/>
      <c r="F24" s="172"/>
      <c r="G24" s="98"/>
    </row>
    <row r="25" spans="1:7" ht="13.5" customHeight="1">
      <c r="A25" s="159" t="s">
        <v>99</v>
      </c>
      <c r="B25" s="98" t="s">
        <v>143</v>
      </c>
      <c r="C25" s="98">
        <v>22033</v>
      </c>
      <c r="D25" s="98" t="s">
        <v>60</v>
      </c>
      <c r="E25" s="98"/>
      <c r="F25" s="172"/>
      <c r="G25" s="98"/>
    </row>
    <row r="26" spans="1:7">
      <c r="A26" s="159" t="s">
        <v>99</v>
      </c>
      <c r="B26" s="98" t="s">
        <v>145</v>
      </c>
      <c r="C26" s="98">
        <v>22037</v>
      </c>
      <c r="D26" s="98" t="s">
        <v>60</v>
      </c>
      <c r="E26" s="98"/>
      <c r="F26" s="172"/>
      <c r="G26" s="98"/>
    </row>
    <row r="27" spans="1:7">
      <c r="A27" s="159" t="s">
        <v>99</v>
      </c>
      <c r="B27" s="98" t="s">
        <v>148</v>
      </c>
      <c r="C27" s="98">
        <v>22047</v>
      </c>
      <c r="D27" s="98" t="s">
        <v>60</v>
      </c>
      <c r="E27" s="98"/>
      <c r="F27" s="174"/>
      <c r="G27" s="98"/>
    </row>
    <row r="28" spans="1:7">
      <c r="A28" s="159" t="s">
        <v>99</v>
      </c>
      <c r="B28" s="98" t="s">
        <v>150</v>
      </c>
      <c r="C28" s="98">
        <v>22053</v>
      </c>
      <c r="D28" s="98" t="s">
        <v>60</v>
      </c>
      <c r="E28" s="98"/>
      <c r="F28" s="98"/>
      <c r="G28" s="98"/>
    </row>
    <row r="29" spans="1:7">
      <c r="A29" s="159" t="s">
        <v>99</v>
      </c>
      <c r="B29" s="98" t="s">
        <v>152</v>
      </c>
      <c r="C29" s="98">
        <v>22057</v>
      </c>
      <c r="D29" s="98" t="s">
        <v>60</v>
      </c>
      <c r="E29" s="98"/>
      <c r="F29" s="98"/>
      <c r="G29" s="98"/>
    </row>
    <row r="30" spans="1:7">
      <c r="A30" s="159" t="s">
        <v>99</v>
      </c>
      <c r="B30" s="98" t="s">
        <v>156</v>
      </c>
      <c r="C30" s="98">
        <v>22069</v>
      </c>
      <c r="D30" s="98" t="s">
        <v>60</v>
      </c>
      <c r="E30" s="98"/>
      <c r="F30" s="98"/>
      <c r="G30" s="98"/>
    </row>
    <row r="31" spans="1:7">
      <c r="A31" s="159" t="s">
        <v>99</v>
      </c>
      <c r="B31" s="98" t="s">
        <v>158</v>
      </c>
      <c r="C31" s="98">
        <v>22075</v>
      </c>
      <c r="D31" s="98" t="s">
        <v>60</v>
      </c>
      <c r="E31" s="98"/>
      <c r="F31" s="98"/>
      <c r="G31" s="98"/>
    </row>
    <row r="32" spans="1:7">
      <c r="A32" s="159" t="s">
        <v>99</v>
      </c>
      <c r="B32" s="98" t="s">
        <v>161</v>
      </c>
      <c r="C32" s="98">
        <v>22077</v>
      </c>
      <c r="D32" s="98" t="s">
        <v>60</v>
      </c>
      <c r="E32" s="98"/>
      <c r="F32" s="98"/>
      <c r="G32" s="98"/>
    </row>
    <row r="33" spans="1:7">
      <c r="A33" s="159" t="s">
        <v>99</v>
      </c>
      <c r="B33" s="98" t="s">
        <v>166</v>
      </c>
      <c r="C33" s="98">
        <v>22085</v>
      </c>
      <c r="D33" s="98" t="s">
        <v>60</v>
      </c>
      <c r="E33" s="98"/>
      <c r="F33" s="98"/>
      <c r="G33" s="98"/>
    </row>
    <row r="34" spans="1:7">
      <c r="A34" s="159" t="s">
        <v>99</v>
      </c>
      <c r="B34" s="98" t="s">
        <v>168</v>
      </c>
      <c r="C34" s="98">
        <v>22087</v>
      </c>
      <c r="D34" s="98" t="s">
        <v>60</v>
      </c>
      <c r="E34" s="98"/>
      <c r="F34" s="98"/>
      <c r="G34" s="98"/>
    </row>
    <row r="35" spans="1:7">
      <c r="A35" s="159" t="s">
        <v>99</v>
      </c>
      <c r="B35" s="98" t="s">
        <v>170</v>
      </c>
      <c r="C35" s="98">
        <v>22089</v>
      </c>
      <c r="D35" s="98" t="s">
        <v>60</v>
      </c>
      <c r="E35" s="98"/>
      <c r="F35" s="98"/>
      <c r="G35" s="98"/>
    </row>
    <row r="36" spans="1:7">
      <c r="A36" s="159" t="s">
        <v>99</v>
      </c>
      <c r="B36" s="98" t="s">
        <v>172</v>
      </c>
      <c r="C36" s="98">
        <v>22093</v>
      </c>
      <c r="D36" s="98" t="s">
        <v>60</v>
      </c>
      <c r="E36" s="98"/>
      <c r="F36" s="98"/>
      <c r="G36" s="98"/>
    </row>
    <row r="37" spans="1:7" ht="13.5" customHeight="1">
      <c r="A37" s="159" t="s">
        <v>99</v>
      </c>
      <c r="B37" s="98" t="s">
        <v>174</v>
      </c>
      <c r="C37" s="98">
        <v>22095</v>
      </c>
      <c r="D37" s="98" t="s">
        <v>60</v>
      </c>
      <c r="E37" s="98"/>
      <c r="F37" s="98"/>
      <c r="G37" s="98"/>
    </row>
    <row r="38" spans="1:7">
      <c r="A38" s="159" t="s">
        <v>99</v>
      </c>
      <c r="B38" s="98" t="s">
        <v>176</v>
      </c>
      <c r="C38" s="98">
        <v>22109</v>
      </c>
      <c r="D38" s="98" t="s">
        <v>60</v>
      </c>
      <c r="E38" s="98"/>
      <c r="F38" s="98"/>
      <c r="G38" s="98"/>
    </row>
    <row r="39" spans="1:7" ht="15.75" customHeight="1">
      <c r="A39" s="159" t="s">
        <v>99</v>
      </c>
      <c r="B39" s="98" t="s">
        <v>180</v>
      </c>
      <c r="C39" s="98">
        <v>22121</v>
      </c>
      <c r="D39" s="98" t="s">
        <v>60</v>
      </c>
      <c r="E39" s="98"/>
      <c r="F39" s="98"/>
      <c r="G39" s="98"/>
    </row>
    <row r="40" spans="1:7">
      <c r="A40" s="159" t="s">
        <v>99</v>
      </c>
      <c r="B40" s="98" t="s">
        <v>182</v>
      </c>
      <c r="C40" s="98">
        <v>22125</v>
      </c>
      <c r="D40" s="98" t="s">
        <v>60</v>
      </c>
      <c r="E40" s="98"/>
      <c r="F40" s="98"/>
      <c r="G40" s="98"/>
    </row>
    <row r="41" spans="1:7">
      <c r="A41" s="159" t="s">
        <v>184</v>
      </c>
      <c r="B41" s="98" t="s">
        <v>185</v>
      </c>
      <c r="C41" s="98">
        <v>28049</v>
      </c>
      <c r="D41" s="98" t="s">
        <v>69</v>
      </c>
      <c r="E41" s="98"/>
      <c r="F41" s="98"/>
      <c r="G41" s="98"/>
    </row>
    <row r="42" spans="1:7">
      <c r="A42" s="159" t="s">
        <v>184</v>
      </c>
      <c r="B42" s="98" t="s">
        <v>187</v>
      </c>
      <c r="C42" s="98">
        <v>28121</v>
      </c>
      <c r="D42" s="98" t="s">
        <v>69</v>
      </c>
      <c r="E42" s="98"/>
      <c r="F42" s="98"/>
      <c r="G42" s="98"/>
    </row>
    <row r="43" spans="1:7">
      <c r="A43" s="159" t="s">
        <v>184</v>
      </c>
      <c r="B43" s="98" t="s">
        <v>188</v>
      </c>
      <c r="C43" s="98">
        <v>28089</v>
      </c>
      <c r="D43" s="98" t="s">
        <v>69</v>
      </c>
      <c r="E43" s="98"/>
      <c r="F43" s="98"/>
      <c r="G43" s="98"/>
    </row>
    <row r="44" spans="1:7">
      <c r="A44" s="159" t="s">
        <v>184</v>
      </c>
      <c r="B44" s="98" t="s">
        <v>191</v>
      </c>
      <c r="C44" s="98">
        <v>28149</v>
      </c>
      <c r="D44" s="98" t="s">
        <v>69</v>
      </c>
      <c r="E44" s="98"/>
      <c r="F44" s="98"/>
      <c r="G44" s="98"/>
    </row>
    <row r="45" spans="1:7">
      <c r="A45" s="159" t="s">
        <v>184</v>
      </c>
      <c r="B45" s="98" t="s">
        <v>194</v>
      </c>
      <c r="C45" s="98">
        <v>28029</v>
      </c>
      <c r="D45" s="98" t="s">
        <v>69</v>
      </c>
      <c r="E45" s="98"/>
      <c r="F45" s="98"/>
      <c r="G45" s="98"/>
    </row>
    <row r="46" spans="1:7">
      <c r="A46" s="159" t="s">
        <v>184</v>
      </c>
      <c r="B46" s="98" t="s">
        <v>197</v>
      </c>
      <c r="C46" s="98">
        <v>28127</v>
      </c>
      <c r="D46" s="98" t="s">
        <v>69</v>
      </c>
      <c r="E46" s="98"/>
      <c r="F46" s="98"/>
      <c r="G46" s="98"/>
    </row>
    <row r="47" spans="1:7">
      <c r="A47" s="159" t="s">
        <v>184</v>
      </c>
      <c r="B47" s="98" t="s">
        <v>200</v>
      </c>
      <c r="C47" s="98">
        <v>28047</v>
      </c>
      <c r="D47" s="98" t="s">
        <v>81</v>
      </c>
      <c r="E47" s="98"/>
      <c r="F47" s="98"/>
      <c r="G47" s="98"/>
    </row>
    <row r="48" spans="1:7">
      <c r="A48" s="159" t="s">
        <v>184</v>
      </c>
      <c r="B48" s="98" t="s">
        <v>203</v>
      </c>
      <c r="C48" s="98">
        <v>28045</v>
      </c>
      <c r="D48" s="98" t="s">
        <v>81</v>
      </c>
      <c r="E48" s="98"/>
      <c r="F48" s="98"/>
      <c r="G48" s="98"/>
    </row>
    <row r="49" spans="1:7">
      <c r="A49" s="159" t="s">
        <v>184</v>
      </c>
      <c r="B49" s="98" t="s">
        <v>206</v>
      </c>
      <c r="C49" s="98">
        <v>28059</v>
      </c>
      <c r="D49" s="98" t="s">
        <v>81</v>
      </c>
      <c r="E49" s="98"/>
      <c r="F49" s="98"/>
      <c r="G49" s="98"/>
    </row>
    <row r="50" spans="1:7">
      <c r="A50" s="159" t="s">
        <v>184</v>
      </c>
      <c r="B50" s="98" t="s">
        <v>209</v>
      </c>
      <c r="C50" s="98">
        <v>28039</v>
      </c>
      <c r="D50" s="98" t="s">
        <v>81</v>
      </c>
      <c r="E50" s="98"/>
      <c r="F50" s="98"/>
      <c r="G50" s="98"/>
    </row>
    <row r="51" spans="1:7">
      <c r="A51" s="159" t="s">
        <v>184</v>
      </c>
      <c r="B51" s="98" t="s">
        <v>212</v>
      </c>
      <c r="C51" s="98">
        <v>28131</v>
      </c>
      <c r="D51" s="98" t="s">
        <v>81</v>
      </c>
      <c r="E51" s="98"/>
      <c r="F51" s="98"/>
      <c r="G51" s="98"/>
    </row>
    <row r="52" spans="1:7">
      <c r="A52" s="159" t="s">
        <v>184</v>
      </c>
      <c r="B52" s="98" t="s">
        <v>215</v>
      </c>
      <c r="C52" s="98">
        <v>28109</v>
      </c>
      <c r="D52" s="98" t="s">
        <v>81</v>
      </c>
      <c r="E52" s="98"/>
      <c r="F52" s="98"/>
      <c r="G52" s="98"/>
    </row>
    <row r="53" spans="1:7">
      <c r="A53" s="159" t="s">
        <v>184</v>
      </c>
      <c r="B53" s="98" t="s">
        <v>190</v>
      </c>
      <c r="C53" s="98">
        <v>28001</v>
      </c>
      <c r="D53" s="98" t="s">
        <v>75</v>
      </c>
      <c r="E53" s="98"/>
      <c r="F53" s="98"/>
      <c r="G53" s="98"/>
    </row>
    <row r="54" spans="1:7">
      <c r="A54" s="159" t="s">
        <v>184</v>
      </c>
      <c r="B54" s="98" t="s">
        <v>193</v>
      </c>
      <c r="C54" s="98">
        <v>28003</v>
      </c>
      <c r="D54" s="98" t="s">
        <v>75</v>
      </c>
      <c r="E54" s="98"/>
      <c r="F54" s="98"/>
      <c r="G54" s="98"/>
    </row>
    <row r="55" spans="1:7">
      <c r="A55" s="159" t="s">
        <v>184</v>
      </c>
      <c r="B55" s="98" t="s">
        <v>196</v>
      </c>
      <c r="C55" s="98">
        <v>28005</v>
      </c>
      <c r="D55" s="98" t="s">
        <v>75</v>
      </c>
      <c r="E55" s="98"/>
      <c r="F55" s="98"/>
      <c r="G55" s="98"/>
    </row>
    <row r="56" spans="1:7">
      <c r="A56" s="159" t="s">
        <v>184</v>
      </c>
      <c r="B56" s="98" t="s">
        <v>199</v>
      </c>
      <c r="C56" s="98">
        <v>28007</v>
      </c>
      <c r="D56" s="98" t="s">
        <v>75</v>
      </c>
      <c r="E56" s="98"/>
      <c r="F56" s="98"/>
      <c r="G56" s="98"/>
    </row>
    <row r="57" spans="1:7">
      <c r="A57" s="159" t="s">
        <v>184</v>
      </c>
      <c r="B57" s="98" t="s">
        <v>202</v>
      </c>
      <c r="C57" s="98">
        <v>28009</v>
      </c>
      <c r="D57" s="98" t="s">
        <v>75</v>
      </c>
      <c r="E57" s="98"/>
      <c r="F57" s="98"/>
      <c r="G57" s="98"/>
    </row>
    <row r="58" spans="1:7">
      <c r="A58" s="159" t="s">
        <v>184</v>
      </c>
      <c r="B58" s="98" t="s">
        <v>205</v>
      </c>
      <c r="C58" s="98">
        <v>28011</v>
      </c>
      <c r="D58" s="98" t="s">
        <v>75</v>
      </c>
      <c r="E58" s="98"/>
      <c r="F58" s="98"/>
      <c r="G58" s="98"/>
    </row>
    <row r="59" spans="1:7">
      <c r="A59" s="159" t="s">
        <v>184</v>
      </c>
      <c r="B59" s="98" t="s">
        <v>208</v>
      </c>
      <c r="C59" s="98">
        <v>28013</v>
      </c>
      <c r="D59" s="98" t="s">
        <v>75</v>
      </c>
      <c r="E59" s="98"/>
      <c r="F59" s="98"/>
      <c r="G59" s="98"/>
    </row>
    <row r="60" spans="1:7">
      <c r="A60" s="159" t="s">
        <v>184</v>
      </c>
      <c r="B60" s="98" t="s">
        <v>211</v>
      </c>
      <c r="C60" s="98">
        <v>28015</v>
      </c>
      <c r="D60" s="98" t="s">
        <v>75</v>
      </c>
      <c r="E60" s="98"/>
      <c r="F60" s="98"/>
      <c r="G60" s="98"/>
    </row>
    <row r="61" spans="1:7">
      <c r="A61" s="159" t="s">
        <v>184</v>
      </c>
      <c r="B61" s="98" t="s">
        <v>214</v>
      </c>
      <c r="C61" s="98">
        <v>28017</v>
      </c>
      <c r="D61" s="98" t="s">
        <v>75</v>
      </c>
      <c r="E61" s="98"/>
      <c r="F61" s="98"/>
      <c r="G61" s="98"/>
    </row>
    <row r="62" spans="1:7">
      <c r="A62" s="159" t="s">
        <v>184</v>
      </c>
      <c r="B62" s="98" t="s">
        <v>217</v>
      </c>
      <c r="C62" s="98">
        <v>28019</v>
      </c>
      <c r="D62" s="98" t="s">
        <v>75</v>
      </c>
      <c r="E62" s="98"/>
      <c r="F62" s="98"/>
      <c r="G62" s="98"/>
    </row>
    <row r="63" spans="1:7">
      <c r="A63" s="159" t="s">
        <v>184</v>
      </c>
      <c r="B63" s="98" t="s">
        <v>219</v>
      </c>
      <c r="C63" s="98">
        <v>28021</v>
      </c>
      <c r="D63" s="98" t="s">
        <v>75</v>
      </c>
      <c r="E63" s="98"/>
      <c r="F63" s="98"/>
      <c r="G63" s="98"/>
    </row>
    <row r="64" spans="1:7">
      <c r="A64" s="159" t="s">
        <v>184</v>
      </c>
      <c r="B64" s="98" t="s">
        <v>221</v>
      </c>
      <c r="C64" s="98">
        <v>28023</v>
      </c>
      <c r="D64" s="98" t="s">
        <v>75</v>
      </c>
      <c r="E64" s="98"/>
      <c r="F64" s="98"/>
      <c r="G64" s="98"/>
    </row>
    <row r="65" spans="1:7">
      <c r="A65" s="159" t="s">
        <v>184</v>
      </c>
      <c r="B65" s="98" t="s">
        <v>223</v>
      </c>
      <c r="C65" s="98">
        <v>28025</v>
      </c>
      <c r="D65" s="98" t="s">
        <v>75</v>
      </c>
      <c r="E65" s="98"/>
      <c r="F65" s="98"/>
      <c r="G65" s="98"/>
    </row>
    <row r="66" spans="1:7">
      <c r="A66" s="159" t="s">
        <v>184</v>
      </c>
      <c r="B66" s="98" t="s">
        <v>225</v>
      </c>
      <c r="C66" s="98">
        <v>28027</v>
      </c>
      <c r="D66" s="98" t="s">
        <v>75</v>
      </c>
      <c r="E66" s="98"/>
      <c r="F66" s="98"/>
      <c r="G66" s="98"/>
    </row>
    <row r="67" spans="1:7">
      <c r="A67" s="159" t="s">
        <v>184</v>
      </c>
      <c r="B67" s="98" t="s">
        <v>241</v>
      </c>
      <c r="C67" s="98">
        <v>28031</v>
      </c>
      <c r="D67" s="98" t="s">
        <v>75</v>
      </c>
      <c r="E67" s="98"/>
      <c r="F67" s="98"/>
      <c r="G67" s="98"/>
    </row>
    <row r="68" spans="1:7">
      <c r="A68" s="159" t="s">
        <v>184</v>
      </c>
      <c r="B68" s="98" t="s">
        <v>228</v>
      </c>
      <c r="C68" s="98">
        <v>28033</v>
      </c>
      <c r="D68" s="98" t="s">
        <v>75</v>
      </c>
      <c r="E68" s="98"/>
      <c r="F68" s="98"/>
      <c r="G68" s="98"/>
    </row>
    <row r="69" spans="1:7">
      <c r="A69" s="159" t="s">
        <v>184</v>
      </c>
      <c r="B69" s="98" t="s">
        <v>230</v>
      </c>
      <c r="C69" s="98">
        <v>28035</v>
      </c>
      <c r="D69" s="98" t="s">
        <v>75</v>
      </c>
      <c r="E69" s="98"/>
      <c r="F69" s="98"/>
      <c r="G69" s="98"/>
    </row>
    <row r="70" spans="1:7">
      <c r="A70" s="159" t="s">
        <v>184</v>
      </c>
      <c r="B70" s="98" t="s">
        <v>232</v>
      </c>
      <c r="C70" s="98">
        <v>28037</v>
      </c>
      <c r="D70" s="98" t="s">
        <v>75</v>
      </c>
      <c r="E70" s="98"/>
      <c r="F70" s="98"/>
      <c r="G70" s="98"/>
    </row>
    <row r="71" spans="1:7">
      <c r="A71" s="159" t="s">
        <v>184</v>
      </c>
      <c r="B71" s="98" t="s">
        <v>235</v>
      </c>
      <c r="C71" s="98">
        <v>28041</v>
      </c>
      <c r="D71" s="98" t="s">
        <v>75</v>
      </c>
      <c r="E71" s="98"/>
      <c r="F71" s="98"/>
      <c r="G71" s="98"/>
    </row>
    <row r="72" spans="1:7">
      <c r="A72" s="159" t="s">
        <v>184</v>
      </c>
      <c r="B72" s="98" t="s">
        <v>237</v>
      </c>
      <c r="C72" s="98">
        <v>28043</v>
      </c>
      <c r="D72" s="98" t="s">
        <v>75</v>
      </c>
      <c r="E72" s="98"/>
      <c r="F72" s="98"/>
      <c r="G72" s="98"/>
    </row>
    <row r="73" spans="1:7">
      <c r="A73" s="159" t="s">
        <v>184</v>
      </c>
      <c r="B73" s="98" t="s">
        <v>243</v>
      </c>
      <c r="C73" s="98">
        <v>28051</v>
      </c>
      <c r="D73" s="98" t="s">
        <v>75</v>
      </c>
      <c r="E73" s="98"/>
      <c r="F73" s="98"/>
      <c r="G73" s="98"/>
    </row>
    <row r="74" spans="1:7">
      <c r="A74" s="159" t="s">
        <v>184</v>
      </c>
      <c r="B74" s="98" t="s">
        <v>245</v>
      </c>
      <c r="C74" s="98">
        <v>28053</v>
      </c>
      <c r="D74" s="98" t="s">
        <v>75</v>
      </c>
      <c r="E74" s="98"/>
      <c r="F74" s="98"/>
      <c r="G74" s="98"/>
    </row>
    <row r="75" spans="1:7">
      <c r="A75" s="159" t="s">
        <v>184</v>
      </c>
      <c r="B75" s="98" t="s">
        <v>247</v>
      </c>
      <c r="C75" s="98">
        <v>28055</v>
      </c>
      <c r="D75" s="98" t="s">
        <v>75</v>
      </c>
      <c r="E75" s="98"/>
      <c r="F75" s="98"/>
      <c r="G75" s="98"/>
    </row>
    <row r="76" spans="1:7">
      <c r="A76" s="159" t="s">
        <v>184</v>
      </c>
      <c r="B76" s="98" t="s">
        <v>249</v>
      </c>
      <c r="C76" s="98">
        <v>28057</v>
      </c>
      <c r="D76" s="98" t="s">
        <v>75</v>
      </c>
      <c r="E76" s="98"/>
      <c r="F76" s="98"/>
      <c r="G76" s="98"/>
    </row>
    <row r="77" spans="1:7">
      <c r="A77" s="159" t="s">
        <v>184</v>
      </c>
      <c r="B77" s="98" t="s">
        <v>252</v>
      </c>
      <c r="C77" s="98">
        <v>28061</v>
      </c>
      <c r="D77" s="98" t="s">
        <v>75</v>
      </c>
      <c r="E77" s="98"/>
      <c r="F77" s="98"/>
      <c r="G77" s="98"/>
    </row>
    <row r="78" spans="1:7">
      <c r="A78" s="159" t="s">
        <v>184</v>
      </c>
      <c r="B78" s="98" t="s">
        <v>254</v>
      </c>
      <c r="C78" s="98">
        <v>28063</v>
      </c>
      <c r="D78" s="98" t="s">
        <v>75</v>
      </c>
      <c r="E78" s="98"/>
      <c r="F78" s="98"/>
      <c r="G78" s="98"/>
    </row>
    <row r="79" spans="1:7" ht="14.25" customHeight="1">
      <c r="A79" s="159" t="s">
        <v>184</v>
      </c>
      <c r="B79" s="98" t="s">
        <v>256</v>
      </c>
      <c r="C79" s="98">
        <v>28065</v>
      </c>
      <c r="D79" s="98" t="s">
        <v>75</v>
      </c>
      <c r="E79" s="98"/>
      <c r="F79" s="98"/>
      <c r="G79" s="98"/>
    </row>
    <row r="80" spans="1:7">
      <c r="A80" s="159" t="s">
        <v>184</v>
      </c>
      <c r="B80" s="98" t="s">
        <v>258</v>
      </c>
      <c r="C80" s="98">
        <v>28067</v>
      </c>
      <c r="D80" s="98" t="s">
        <v>75</v>
      </c>
      <c r="E80" s="98"/>
      <c r="F80" s="98"/>
      <c r="G80" s="98"/>
    </row>
    <row r="81" spans="1:7">
      <c r="A81" s="159" t="s">
        <v>184</v>
      </c>
      <c r="B81" s="98" t="s">
        <v>261</v>
      </c>
      <c r="C81" s="98">
        <v>28069</v>
      </c>
      <c r="D81" s="98" t="s">
        <v>75</v>
      </c>
      <c r="E81" s="98"/>
      <c r="F81" s="98"/>
      <c r="G81" s="98"/>
    </row>
    <row r="82" spans="1:7">
      <c r="A82" s="159" t="s">
        <v>184</v>
      </c>
      <c r="B82" s="98" t="s">
        <v>263</v>
      </c>
      <c r="C82" s="98">
        <v>28071</v>
      </c>
      <c r="D82" s="98" t="s">
        <v>75</v>
      </c>
      <c r="E82" s="98"/>
      <c r="F82" s="98"/>
      <c r="G82" s="98"/>
    </row>
    <row r="83" spans="1:7">
      <c r="A83" s="159" t="s">
        <v>184</v>
      </c>
      <c r="B83" s="98" t="s">
        <v>265</v>
      </c>
      <c r="C83" s="98">
        <v>28073</v>
      </c>
      <c r="D83" s="98" t="s">
        <v>75</v>
      </c>
      <c r="E83" s="98"/>
      <c r="F83" s="98"/>
      <c r="G83" s="98"/>
    </row>
    <row r="84" spans="1:7">
      <c r="A84" s="159" t="s">
        <v>184</v>
      </c>
      <c r="B84" s="98" t="s">
        <v>267</v>
      </c>
      <c r="C84" s="98">
        <v>28075</v>
      </c>
      <c r="D84" s="98" t="s">
        <v>75</v>
      </c>
      <c r="E84" s="98"/>
      <c r="F84" s="98"/>
      <c r="G84" s="98"/>
    </row>
    <row r="85" spans="1:7">
      <c r="A85" s="159" t="s">
        <v>184</v>
      </c>
      <c r="B85" s="98" t="s">
        <v>269</v>
      </c>
      <c r="C85" s="98">
        <v>28077</v>
      </c>
      <c r="D85" s="98" t="s">
        <v>75</v>
      </c>
      <c r="E85" s="98"/>
      <c r="F85" s="98"/>
      <c r="G85" s="98"/>
    </row>
    <row r="86" spans="1:7">
      <c r="A86" s="159" t="s">
        <v>184</v>
      </c>
      <c r="B86" s="98" t="s">
        <v>271</v>
      </c>
      <c r="C86" s="98">
        <v>28079</v>
      </c>
      <c r="D86" s="98" t="s">
        <v>75</v>
      </c>
      <c r="E86" s="98"/>
      <c r="F86" s="98"/>
      <c r="G86" s="98"/>
    </row>
    <row r="87" spans="1:7">
      <c r="A87" s="159" t="s">
        <v>184</v>
      </c>
      <c r="B87" s="98" t="s">
        <v>273</v>
      </c>
      <c r="C87" s="98">
        <v>28081</v>
      </c>
      <c r="D87" s="98" t="s">
        <v>75</v>
      </c>
      <c r="E87" s="98"/>
      <c r="F87" s="98"/>
      <c r="G87" s="98"/>
    </row>
    <row r="88" spans="1:7">
      <c r="A88" s="159" t="s">
        <v>184</v>
      </c>
      <c r="B88" s="98" t="s">
        <v>275</v>
      </c>
      <c r="C88" s="98">
        <v>28083</v>
      </c>
      <c r="D88" s="98" t="s">
        <v>75</v>
      </c>
      <c r="E88" s="98"/>
      <c r="F88" s="98"/>
      <c r="G88" s="98"/>
    </row>
    <row r="89" spans="1:7">
      <c r="A89" s="159" t="s">
        <v>184</v>
      </c>
      <c r="B89" s="98" t="s">
        <v>277</v>
      </c>
      <c r="C89" s="98">
        <v>28085</v>
      </c>
      <c r="D89" s="98" t="s">
        <v>75</v>
      </c>
      <c r="E89" s="98"/>
      <c r="F89" s="98"/>
      <c r="G89" s="98"/>
    </row>
    <row r="90" spans="1:7">
      <c r="A90" s="159" t="s">
        <v>184</v>
      </c>
      <c r="B90" s="98" t="s">
        <v>280</v>
      </c>
      <c r="C90" s="98">
        <v>28091</v>
      </c>
      <c r="D90" s="98" t="s">
        <v>75</v>
      </c>
      <c r="E90" s="98"/>
      <c r="F90" s="98"/>
      <c r="G90" s="98"/>
    </row>
    <row r="91" spans="1:7">
      <c r="A91" s="159" t="s">
        <v>184</v>
      </c>
      <c r="B91" s="98" t="s">
        <v>282</v>
      </c>
      <c r="C91" s="98">
        <v>28093</v>
      </c>
      <c r="D91" s="98" t="s">
        <v>75</v>
      </c>
      <c r="E91" s="98"/>
      <c r="F91" s="98"/>
      <c r="G91" s="98"/>
    </row>
    <row r="92" spans="1:7">
      <c r="A92" s="159" t="s">
        <v>184</v>
      </c>
      <c r="B92" s="98" t="s">
        <v>284</v>
      </c>
      <c r="C92" s="98">
        <v>28095</v>
      </c>
      <c r="D92" s="98" t="s">
        <v>75</v>
      </c>
      <c r="E92" s="98"/>
      <c r="F92" s="98"/>
      <c r="G92" s="98"/>
    </row>
    <row r="93" spans="1:7">
      <c r="A93" s="159" t="s">
        <v>184</v>
      </c>
      <c r="B93" s="98" t="s">
        <v>286</v>
      </c>
      <c r="C93" s="98">
        <v>28097</v>
      </c>
      <c r="D93" s="98" t="s">
        <v>75</v>
      </c>
      <c r="E93" s="98"/>
      <c r="F93" s="98"/>
      <c r="G93" s="98"/>
    </row>
    <row r="94" spans="1:7">
      <c r="A94" s="159" t="s">
        <v>184</v>
      </c>
      <c r="B94" s="98" t="s">
        <v>288</v>
      </c>
      <c r="C94" s="98">
        <v>28099</v>
      </c>
      <c r="D94" s="98" t="s">
        <v>75</v>
      </c>
      <c r="E94" s="98"/>
      <c r="F94" s="98"/>
      <c r="G94" s="98"/>
    </row>
    <row r="95" spans="1:7">
      <c r="A95" s="159" t="s">
        <v>184</v>
      </c>
      <c r="B95" s="98" t="s">
        <v>290</v>
      </c>
      <c r="C95" s="98">
        <v>28101</v>
      </c>
      <c r="D95" s="98" t="s">
        <v>75</v>
      </c>
      <c r="E95" s="98"/>
      <c r="F95" s="98"/>
      <c r="G95" s="98"/>
    </row>
    <row r="96" spans="1:7">
      <c r="A96" s="159" t="s">
        <v>184</v>
      </c>
      <c r="B96" s="98" t="s">
        <v>292</v>
      </c>
      <c r="C96" s="98">
        <v>28103</v>
      </c>
      <c r="D96" s="98" t="s">
        <v>75</v>
      </c>
      <c r="E96" s="98"/>
      <c r="F96" s="98"/>
      <c r="G96" s="98"/>
    </row>
    <row r="97" spans="1:7">
      <c r="A97" s="159" t="s">
        <v>184</v>
      </c>
      <c r="B97" s="98" t="s">
        <v>294</v>
      </c>
      <c r="C97" s="98">
        <v>28105</v>
      </c>
      <c r="D97" s="98" t="s">
        <v>75</v>
      </c>
      <c r="E97" s="98"/>
      <c r="F97" s="98"/>
      <c r="G97" s="98"/>
    </row>
    <row r="98" spans="1:7">
      <c r="A98" s="159" t="s">
        <v>184</v>
      </c>
      <c r="B98" s="98" t="s">
        <v>296</v>
      </c>
      <c r="C98" s="98">
        <v>28107</v>
      </c>
      <c r="D98" s="98" t="s">
        <v>75</v>
      </c>
      <c r="E98" s="98"/>
      <c r="F98" s="98"/>
      <c r="G98" s="98"/>
    </row>
    <row r="99" spans="1:7">
      <c r="A99" s="159" t="s">
        <v>184</v>
      </c>
      <c r="B99" s="98" t="s">
        <v>299</v>
      </c>
      <c r="C99" s="98">
        <v>28111</v>
      </c>
      <c r="D99" s="98" t="s">
        <v>75</v>
      </c>
      <c r="E99" s="98"/>
      <c r="F99" s="98"/>
      <c r="G99" s="98"/>
    </row>
    <row r="100" spans="1:7">
      <c r="A100" s="159" t="s">
        <v>184</v>
      </c>
      <c r="B100" s="98" t="s">
        <v>301</v>
      </c>
      <c r="C100" s="98">
        <v>28113</v>
      </c>
      <c r="D100" s="98" t="s">
        <v>75</v>
      </c>
      <c r="E100" s="98"/>
      <c r="F100" s="98"/>
      <c r="G100" s="98"/>
    </row>
    <row r="101" spans="1:7">
      <c r="A101" s="159" t="s">
        <v>184</v>
      </c>
      <c r="B101" s="98" t="s">
        <v>303</v>
      </c>
      <c r="C101" s="98">
        <v>28115</v>
      </c>
      <c r="D101" s="98" t="s">
        <v>75</v>
      </c>
      <c r="E101" s="98"/>
      <c r="F101" s="98"/>
      <c r="G101" s="98"/>
    </row>
    <row r="102" spans="1:7">
      <c r="A102" s="159" t="s">
        <v>184</v>
      </c>
      <c r="B102" s="98" t="s">
        <v>305</v>
      </c>
      <c r="C102" s="98">
        <v>28117</v>
      </c>
      <c r="D102" s="98" t="s">
        <v>75</v>
      </c>
      <c r="E102" s="98"/>
      <c r="F102" s="98"/>
      <c r="G102" s="98"/>
    </row>
    <row r="103" spans="1:7">
      <c r="A103" s="159" t="s">
        <v>184</v>
      </c>
      <c r="B103" s="98" t="s">
        <v>307</v>
      </c>
      <c r="C103" s="98">
        <v>28119</v>
      </c>
      <c r="D103" s="98" t="s">
        <v>75</v>
      </c>
      <c r="E103" s="98"/>
      <c r="F103" s="98"/>
      <c r="G103" s="98"/>
    </row>
    <row r="104" spans="1:7">
      <c r="A104" s="159" t="s">
        <v>184</v>
      </c>
      <c r="B104" s="98" t="s">
        <v>310</v>
      </c>
      <c r="C104" s="98">
        <v>28123</v>
      </c>
      <c r="D104" s="98" t="s">
        <v>75</v>
      </c>
      <c r="E104" s="98"/>
      <c r="F104" s="98"/>
      <c r="G104" s="98"/>
    </row>
    <row r="105" spans="1:7">
      <c r="A105" s="159" t="s">
        <v>184</v>
      </c>
      <c r="B105" s="98" t="s">
        <v>312</v>
      </c>
      <c r="C105" s="98">
        <v>28125</v>
      </c>
      <c r="D105" s="98" t="s">
        <v>75</v>
      </c>
      <c r="E105" s="98"/>
      <c r="F105" s="98"/>
      <c r="G105" s="98"/>
    </row>
    <row r="106" spans="1:7">
      <c r="A106" s="159" t="s">
        <v>184</v>
      </c>
      <c r="B106" s="98" t="s">
        <v>315</v>
      </c>
      <c r="C106" s="98">
        <v>28129</v>
      </c>
      <c r="D106" s="98" t="s">
        <v>75</v>
      </c>
      <c r="E106" s="98"/>
      <c r="F106" s="98"/>
      <c r="G106" s="98"/>
    </row>
    <row r="107" spans="1:7">
      <c r="A107" s="159" t="s">
        <v>184</v>
      </c>
      <c r="B107" s="98" t="s">
        <v>317</v>
      </c>
      <c r="C107" s="98">
        <v>28133</v>
      </c>
      <c r="D107" s="98" t="s">
        <v>75</v>
      </c>
      <c r="E107" s="98"/>
      <c r="F107" s="98"/>
      <c r="G107" s="98"/>
    </row>
    <row r="108" spans="1:7">
      <c r="A108" s="159" t="s">
        <v>184</v>
      </c>
      <c r="B108" s="98" t="s">
        <v>319</v>
      </c>
      <c r="C108" s="98">
        <v>28135</v>
      </c>
      <c r="D108" s="98" t="s">
        <v>75</v>
      </c>
      <c r="E108" s="98"/>
      <c r="F108" s="98"/>
      <c r="G108" s="98"/>
    </row>
    <row r="109" spans="1:7">
      <c r="A109" s="159" t="s">
        <v>184</v>
      </c>
      <c r="B109" s="98" t="s">
        <v>321</v>
      </c>
      <c r="C109" s="98">
        <v>28137</v>
      </c>
      <c r="D109" s="98" t="s">
        <v>75</v>
      </c>
      <c r="E109" s="98"/>
      <c r="F109" s="98"/>
      <c r="G109" s="98"/>
    </row>
    <row r="110" spans="1:7">
      <c r="A110" s="159" t="s">
        <v>184</v>
      </c>
      <c r="B110" s="98" t="s">
        <v>323</v>
      </c>
      <c r="C110" s="98">
        <v>28139</v>
      </c>
      <c r="D110" s="98" t="s">
        <v>75</v>
      </c>
      <c r="E110" s="98"/>
      <c r="F110" s="98"/>
      <c r="G110" s="98"/>
    </row>
    <row r="111" spans="1:7">
      <c r="A111" s="159" t="s">
        <v>184</v>
      </c>
      <c r="B111" s="98" t="s">
        <v>325</v>
      </c>
      <c r="C111" s="98">
        <v>28141</v>
      </c>
      <c r="D111" s="98" t="s">
        <v>75</v>
      </c>
      <c r="E111" s="98"/>
      <c r="F111" s="98"/>
      <c r="G111" s="98"/>
    </row>
    <row r="112" spans="1:7">
      <c r="A112" s="159" t="s">
        <v>184</v>
      </c>
      <c r="B112" s="98" t="s">
        <v>327</v>
      </c>
      <c r="C112" s="98">
        <v>28143</v>
      </c>
      <c r="D112" s="98" t="s">
        <v>75</v>
      </c>
      <c r="E112" s="98"/>
      <c r="F112" s="98"/>
      <c r="G112" s="98"/>
    </row>
    <row r="113" spans="1:7">
      <c r="A113" s="159" t="s">
        <v>184</v>
      </c>
      <c r="B113" s="98" t="s">
        <v>329</v>
      </c>
      <c r="C113" s="98">
        <v>28145</v>
      </c>
      <c r="D113" s="98" t="s">
        <v>75</v>
      </c>
      <c r="E113" s="98"/>
      <c r="F113" s="98"/>
      <c r="G113" s="98"/>
    </row>
    <row r="114" spans="1:7">
      <c r="A114" s="159" t="s">
        <v>184</v>
      </c>
      <c r="B114" s="98" t="s">
        <v>331</v>
      </c>
      <c r="C114" s="98">
        <v>28147</v>
      </c>
      <c r="D114" s="98" t="s">
        <v>75</v>
      </c>
      <c r="E114" s="98"/>
      <c r="F114" s="98"/>
      <c r="G114" s="98"/>
    </row>
    <row r="115" spans="1:7">
      <c r="A115" s="159" t="s">
        <v>184</v>
      </c>
      <c r="B115" s="98" t="s">
        <v>333</v>
      </c>
      <c r="C115" s="98">
        <v>28151</v>
      </c>
      <c r="D115" s="98" t="s">
        <v>75</v>
      </c>
      <c r="E115" s="98"/>
      <c r="F115" s="98"/>
      <c r="G115" s="98"/>
    </row>
    <row r="116" spans="1:7">
      <c r="A116" s="159" t="s">
        <v>184</v>
      </c>
      <c r="B116" s="98" t="s">
        <v>335</v>
      </c>
      <c r="C116" s="98">
        <v>28153</v>
      </c>
      <c r="D116" s="98" t="s">
        <v>75</v>
      </c>
      <c r="E116" s="98"/>
      <c r="F116" s="98"/>
      <c r="G116" s="98"/>
    </row>
    <row r="117" spans="1:7">
      <c r="A117" s="159" t="s">
        <v>184</v>
      </c>
      <c r="B117" s="98" t="s">
        <v>337</v>
      </c>
      <c r="C117" s="98">
        <v>28155</v>
      </c>
      <c r="D117" s="98" t="s">
        <v>75</v>
      </c>
      <c r="E117" s="98"/>
      <c r="F117" s="98"/>
      <c r="G117" s="98"/>
    </row>
    <row r="118" spans="1:7">
      <c r="A118" s="159" t="s">
        <v>184</v>
      </c>
      <c r="B118" s="98" t="s">
        <v>339</v>
      </c>
      <c r="C118" s="98">
        <v>28157</v>
      </c>
      <c r="D118" s="98" t="s">
        <v>75</v>
      </c>
      <c r="E118" s="98"/>
      <c r="F118" s="98"/>
      <c r="G118" s="98"/>
    </row>
    <row r="119" spans="1:7">
      <c r="A119" s="159" t="s">
        <v>184</v>
      </c>
      <c r="B119" s="98" t="s">
        <v>341</v>
      </c>
      <c r="C119" s="98">
        <v>28159</v>
      </c>
      <c r="D119" s="98" t="s">
        <v>75</v>
      </c>
      <c r="E119" s="98"/>
      <c r="F119" s="98"/>
      <c r="G119" s="98"/>
    </row>
    <row r="120" spans="1:7">
      <c r="A120" s="159" t="s">
        <v>184</v>
      </c>
      <c r="B120" s="98" t="s">
        <v>343</v>
      </c>
      <c r="C120" s="98">
        <v>28161</v>
      </c>
      <c r="D120" s="98" t="s">
        <v>75</v>
      </c>
      <c r="E120" s="98"/>
      <c r="F120" s="98"/>
      <c r="G120" s="98"/>
    </row>
    <row r="121" spans="1:7">
      <c r="A121" s="159" t="s">
        <v>184</v>
      </c>
      <c r="B121" s="98" t="s">
        <v>345</v>
      </c>
      <c r="C121" s="98">
        <v>28163</v>
      </c>
      <c r="D121" s="98" t="s">
        <v>75</v>
      </c>
      <c r="E121" s="98"/>
      <c r="F121" s="98"/>
      <c r="G121" s="98"/>
    </row>
    <row r="122" spans="1:7">
      <c r="A122" s="171"/>
      <c r="B122" s="171"/>
      <c r="F122" s="171"/>
    </row>
    <row r="123" spans="1:7">
      <c r="A123" s="171"/>
      <c r="B123" s="171"/>
      <c r="F123" s="17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F3A56"/>
  </sheetPr>
  <dimension ref="A1:U115"/>
  <sheetViews>
    <sheetView showGridLines="0" workbookViewId="0"/>
  </sheetViews>
  <sheetFormatPr defaultColWidth="35.125" defaultRowHeight="15.75"/>
  <cols>
    <col min="1" max="1" width="5.375" style="181" customWidth="1"/>
    <col min="2" max="2" width="19.125" style="181" customWidth="1"/>
    <col min="3" max="3" width="43.875" style="181" customWidth="1"/>
    <col min="4" max="4" width="23.875" style="181" customWidth="1"/>
    <col min="5" max="5" width="31.375" style="181" customWidth="1"/>
    <col min="6" max="6" width="6.375" style="181" customWidth="1"/>
    <col min="7" max="7" width="9.875" style="181" customWidth="1"/>
    <col min="8" max="8" width="12.625" style="181" customWidth="1"/>
    <col min="9" max="9" width="9.875" style="181" customWidth="1"/>
    <col min="10" max="10" width="13.25" style="181" customWidth="1"/>
    <col min="11" max="11" width="10" style="181" customWidth="1"/>
    <col min="12" max="12" width="11.25" style="181" customWidth="1"/>
    <col min="13" max="13" width="11.625" style="181" customWidth="1"/>
    <col min="14" max="14" width="9.625" style="181" customWidth="1"/>
    <col min="15" max="15" width="9.375" style="181" customWidth="1"/>
    <col min="16" max="16" width="10.75" style="181" customWidth="1"/>
    <col min="17" max="17" width="9.625" style="181" customWidth="1"/>
    <col min="18" max="18" width="9.75" style="181" customWidth="1"/>
    <col min="19" max="20" width="11.25" style="181" customWidth="1"/>
    <col min="21" max="16384" width="35.125" style="181"/>
  </cols>
  <sheetData>
    <row r="1" spans="1:21" s="175" customFormat="1" ht="30.75" customHeight="1">
      <c r="D1" s="52" t="s">
        <v>4345</v>
      </c>
    </row>
    <row r="2" spans="1:21" ht="17.25" customHeight="1">
      <c r="A2" s="176"/>
      <c r="B2" s="177"/>
      <c r="C2" s="178" t="s">
        <v>475</v>
      </c>
      <c r="D2" s="179" t="s">
        <v>476</v>
      </c>
      <c r="E2" s="176"/>
      <c r="F2" s="176"/>
      <c r="G2" s="176"/>
      <c r="H2" s="176"/>
      <c r="I2" s="176"/>
      <c r="J2" s="176"/>
      <c r="K2" s="176"/>
      <c r="L2" s="176"/>
      <c r="M2" s="176"/>
      <c r="N2" s="176"/>
      <c r="O2" s="176"/>
      <c r="P2" s="176"/>
      <c r="Q2" s="176"/>
      <c r="R2" s="176"/>
      <c r="S2" s="176"/>
      <c r="T2" s="176"/>
      <c r="U2" s="180"/>
    </row>
    <row r="3" spans="1:21" ht="36.75" customHeight="1">
      <c r="A3" s="155" t="s">
        <v>477</v>
      </c>
      <c r="B3" s="155" t="s">
        <v>478</v>
      </c>
      <c r="C3" s="155" t="s">
        <v>479</v>
      </c>
      <c r="D3" s="155" t="s">
        <v>480</v>
      </c>
      <c r="E3" s="155" t="s">
        <v>481</v>
      </c>
      <c r="F3" s="155" t="s">
        <v>35</v>
      </c>
      <c r="G3" s="172" t="s">
        <v>482</v>
      </c>
      <c r="H3" s="172" t="s">
        <v>483</v>
      </c>
      <c r="I3" s="172" t="s">
        <v>484</v>
      </c>
      <c r="J3" s="172" t="s">
        <v>485</v>
      </c>
      <c r="K3" s="172" t="s">
        <v>486</v>
      </c>
      <c r="L3" s="172" t="s">
        <v>487</v>
      </c>
      <c r="M3" s="172" t="s">
        <v>488</v>
      </c>
      <c r="N3" s="172" t="s">
        <v>489</v>
      </c>
      <c r="O3" s="172" t="s">
        <v>490</v>
      </c>
      <c r="P3" s="172" t="s">
        <v>491</v>
      </c>
      <c r="Q3" s="172" t="s">
        <v>492</v>
      </c>
      <c r="R3" s="172" t="s">
        <v>493</v>
      </c>
      <c r="S3" s="172" t="s">
        <v>494</v>
      </c>
      <c r="T3" s="172" t="s">
        <v>495</v>
      </c>
      <c r="U3" s="180"/>
    </row>
    <row r="4" spans="1:21" ht="18" customHeight="1">
      <c r="A4" s="172">
        <v>2024</v>
      </c>
      <c r="B4" s="155" t="s">
        <v>496</v>
      </c>
      <c r="C4" s="152" t="s">
        <v>47</v>
      </c>
      <c r="D4" s="152" t="s">
        <v>497</v>
      </c>
      <c r="E4" s="152" t="s">
        <v>498</v>
      </c>
      <c r="F4" s="155" t="s">
        <v>45</v>
      </c>
      <c r="G4" s="182">
        <v>292</v>
      </c>
      <c r="H4" s="182">
        <v>226</v>
      </c>
      <c r="I4" s="182">
        <v>139</v>
      </c>
      <c r="J4" s="182">
        <v>87</v>
      </c>
      <c r="K4" s="182">
        <v>55</v>
      </c>
      <c r="L4" s="182">
        <v>52</v>
      </c>
      <c r="M4" s="182">
        <v>3</v>
      </c>
      <c r="N4" s="182">
        <v>47</v>
      </c>
      <c r="O4" s="182">
        <v>15</v>
      </c>
      <c r="P4" s="182">
        <v>230</v>
      </c>
      <c r="Q4" s="182">
        <v>101</v>
      </c>
      <c r="R4" s="182">
        <v>190</v>
      </c>
      <c r="S4" s="182">
        <v>22</v>
      </c>
      <c r="T4" s="182">
        <v>64</v>
      </c>
      <c r="U4" s="180"/>
    </row>
    <row r="5" spans="1:21" ht="18" customHeight="1">
      <c r="A5" s="172">
        <v>2024</v>
      </c>
      <c r="B5" s="155" t="s">
        <v>53</v>
      </c>
      <c r="C5" s="152" t="s">
        <v>54</v>
      </c>
      <c r="D5" s="152" t="s">
        <v>499</v>
      </c>
      <c r="E5" s="152" t="s">
        <v>498</v>
      </c>
      <c r="F5" s="155" t="s">
        <v>45</v>
      </c>
      <c r="G5" s="182">
        <v>148</v>
      </c>
      <c r="H5" s="182">
        <v>130</v>
      </c>
      <c r="I5" s="182">
        <v>13</v>
      </c>
      <c r="J5" s="182">
        <v>117</v>
      </c>
      <c r="K5" s="182">
        <v>13</v>
      </c>
      <c r="L5" s="182">
        <v>7</v>
      </c>
      <c r="M5" s="182">
        <v>6</v>
      </c>
      <c r="N5" s="182">
        <v>11</v>
      </c>
      <c r="O5" s="182">
        <v>3</v>
      </c>
      <c r="P5" s="182">
        <v>134</v>
      </c>
      <c r="Q5" s="182">
        <v>55</v>
      </c>
      <c r="R5" s="182">
        <v>91</v>
      </c>
      <c r="S5" s="182">
        <v>7</v>
      </c>
      <c r="T5" s="182">
        <v>58</v>
      </c>
      <c r="U5" s="180"/>
    </row>
    <row r="6" spans="1:21" ht="18" customHeight="1">
      <c r="A6" s="172">
        <v>2024</v>
      </c>
      <c r="B6" s="155" t="s">
        <v>500</v>
      </c>
      <c r="C6" s="152" t="s">
        <v>61</v>
      </c>
      <c r="D6" s="152" t="s">
        <v>501</v>
      </c>
      <c r="E6" s="152" t="s">
        <v>498</v>
      </c>
      <c r="F6" s="155" t="s">
        <v>45</v>
      </c>
      <c r="G6" s="182">
        <v>783</v>
      </c>
      <c r="H6" s="182">
        <v>639</v>
      </c>
      <c r="I6" s="182">
        <v>183</v>
      </c>
      <c r="J6" s="182">
        <v>456</v>
      </c>
      <c r="K6" s="182">
        <v>39</v>
      </c>
      <c r="L6" s="182">
        <v>25</v>
      </c>
      <c r="M6" s="182">
        <v>14</v>
      </c>
      <c r="N6" s="182">
        <v>88</v>
      </c>
      <c r="O6" s="182">
        <v>68</v>
      </c>
      <c r="P6" s="182">
        <v>627</v>
      </c>
      <c r="Q6" s="182">
        <v>312</v>
      </c>
      <c r="R6" s="182">
        <v>463</v>
      </c>
      <c r="S6" s="182">
        <v>51</v>
      </c>
      <c r="T6" s="182">
        <v>117</v>
      </c>
      <c r="U6" s="180"/>
    </row>
    <row r="7" spans="1:21" ht="18" customHeight="1">
      <c r="A7" s="172">
        <v>2024</v>
      </c>
      <c r="B7" s="155" t="s">
        <v>502</v>
      </c>
      <c r="C7" s="152" t="s">
        <v>70</v>
      </c>
      <c r="D7" s="152" t="s">
        <v>501</v>
      </c>
      <c r="E7" s="152" t="s">
        <v>498</v>
      </c>
      <c r="F7" s="155" t="s">
        <v>68</v>
      </c>
      <c r="G7" s="182">
        <v>273</v>
      </c>
      <c r="H7" s="182">
        <v>258</v>
      </c>
      <c r="I7" s="182">
        <v>145</v>
      </c>
      <c r="J7" s="182">
        <v>113</v>
      </c>
      <c r="K7" s="182">
        <v>8</v>
      </c>
      <c r="L7" s="182">
        <v>8</v>
      </c>
      <c r="M7" s="182">
        <v>0</v>
      </c>
      <c r="N7" s="182">
        <v>9</v>
      </c>
      <c r="O7" s="182">
        <v>26</v>
      </c>
      <c r="P7" s="182">
        <v>238</v>
      </c>
      <c r="Q7" s="182">
        <v>82</v>
      </c>
      <c r="R7" s="182">
        <v>184</v>
      </c>
      <c r="S7" s="182">
        <v>6</v>
      </c>
      <c r="T7" s="182">
        <v>5</v>
      </c>
      <c r="U7" s="180"/>
    </row>
    <row r="8" spans="1:21" ht="18" customHeight="1">
      <c r="A8" s="172">
        <v>2024</v>
      </c>
      <c r="B8" s="155" t="s">
        <v>503</v>
      </c>
      <c r="C8" s="152" t="s">
        <v>76</v>
      </c>
      <c r="D8" s="152" t="s">
        <v>499</v>
      </c>
      <c r="E8" s="152" t="s">
        <v>498</v>
      </c>
      <c r="F8" s="155" t="s">
        <v>68</v>
      </c>
      <c r="G8" s="182">
        <v>469</v>
      </c>
      <c r="H8" s="182">
        <v>392</v>
      </c>
      <c r="I8" s="182">
        <v>175</v>
      </c>
      <c r="J8" s="182">
        <v>217</v>
      </c>
      <c r="K8" s="182">
        <v>25</v>
      </c>
      <c r="L8" s="182">
        <v>12</v>
      </c>
      <c r="M8" s="182">
        <v>13</v>
      </c>
      <c r="N8" s="182">
        <v>54</v>
      </c>
      <c r="O8" s="182">
        <v>25</v>
      </c>
      <c r="P8" s="182">
        <v>390</v>
      </c>
      <c r="Q8" s="182">
        <v>189</v>
      </c>
      <c r="R8" s="182">
        <v>278</v>
      </c>
      <c r="S8" s="182">
        <v>22</v>
      </c>
      <c r="T8" s="182">
        <v>74</v>
      </c>
      <c r="U8" s="180"/>
    </row>
    <row r="9" spans="1:21" ht="18" customHeight="1">
      <c r="A9" s="172">
        <v>2024</v>
      </c>
      <c r="B9" s="155" t="s">
        <v>504</v>
      </c>
      <c r="C9" s="152" t="s">
        <v>82</v>
      </c>
      <c r="D9" s="152" t="s">
        <v>499</v>
      </c>
      <c r="E9" s="152" t="s">
        <v>498</v>
      </c>
      <c r="F9" s="155" t="s">
        <v>68</v>
      </c>
      <c r="G9" s="182">
        <v>299</v>
      </c>
      <c r="H9" s="182">
        <v>224</v>
      </c>
      <c r="I9" s="182">
        <v>70</v>
      </c>
      <c r="J9" s="182">
        <v>154</v>
      </c>
      <c r="K9" s="182">
        <v>7</v>
      </c>
      <c r="L9" s="182">
        <v>1</v>
      </c>
      <c r="M9" s="182">
        <v>6</v>
      </c>
      <c r="N9" s="182">
        <v>47</v>
      </c>
      <c r="O9" s="182">
        <v>17</v>
      </c>
      <c r="P9" s="182">
        <v>235</v>
      </c>
      <c r="Q9" s="182">
        <v>138</v>
      </c>
      <c r="R9" s="182">
        <v>158</v>
      </c>
      <c r="S9" s="182">
        <v>26</v>
      </c>
      <c r="T9" s="182">
        <v>5</v>
      </c>
      <c r="U9" s="180"/>
    </row>
    <row r="10" spans="1:21" ht="18" customHeight="1">
      <c r="A10" s="172">
        <v>2023</v>
      </c>
      <c r="B10" s="155" t="s">
        <v>496</v>
      </c>
      <c r="C10" s="152" t="s">
        <v>47</v>
      </c>
      <c r="D10" s="152" t="s">
        <v>497</v>
      </c>
      <c r="E10" s="152" t="s">
        <v>498</v>
      </c>
      <c r="F10" s="155" t="s">
        <v>45</v>
      </c>
      <c r="G10" s="182">
        <v>223</v>
      </c>
      <c r="H10" s="182">
        <v>171</v>
      </c>
      <c r="I10" s="182">
        <v>104</v>
      </c>
      <c r="J10" s="182">
        <v>67</v>
      </c>
      <c r="K10" s="182">
        <v>52</v>
      </c>
      <c r="L10" s="182">
        <v>47</v>
      </c>
      <c r="M10" s="182">
        <v>5</v>
      </c>
      <c r="N10" s="182">
        <v>38</v>
      </c>
      <c r="O10" s="182">
        <v>2</v>
      </c>
      <c r="P10" s="182">
        <v>183</v>
      </c>
      <c r="Q10" s="182">
        <v>64</v>
      </c>
      <c r="R10" s="182">
        <v>159</v>
      </c>
      <c r="S10" s="182">
        <v>17</v>
      </c>
      <c r="T10" s="182">
        <v>50</v>
      </c>
      <c r="U10" s="180"/>
    </row>
    <row r="11" spans="1:21" ht="18" customHeight="1">
      <c r="A11" s="172">
        <v>2023</v>
      </c>
      <c r="B11" s="155" t="s">
        <v>53</v>
      </c>
      <c r="C11" s="152" t="s">
        <v>54</v>
      </c>
      <c r="D11" s="152" t="s">
        <v>499</v>
      </c>
      <c r="E11" s="152" t="s">
        <v>498</v>
      </c>
      <c r="F11" s="155" t="s">
        <v>45</v>
      </c>
      <c r="G11" s="182">
        <v>122</v>
      </c>
      <c r="H11" s="182">
        <v>96</v>
      </c>
      <c r="I11" s="182">
        <v>13</v>
      </c>
      <c r="J11" s="182">
        <v>83</v>
      </c>
      <c r="K11" s="182">
        <v>15</v>
      </c>
      <c r="L11" s="182">
        <v>8</v>
      </c>
      <c r="M11" s="182">
        <v>7</v>
      </c>
      <c r="N11" s="182">
        <v>15</v>
      </c>
      <c r="O11" s="182">
        <v>3</v>
      </c>
      <c r="P11" s="182">
        <v>104</v>
      </c>
      <c r="Q11" s="182">
        <v>44</v>
      </c>
      <c r="R11" s="182">
        <v>76</v>
      </c>
      <c r="S11" s="182">
        <v>6</v>
      </c>
      <c r="T11" s="182">
        <v>58</v>
      </c>
      <c r="U11" s="180"/>
    </row>
    <row r="12" spans="1:21" ht="18" customHeight="1">
      <c r="A12" s="172">
        <v>2023</v>
      </c>
      <c r="B12" s="155" t="s">
        <v>500</v>
      </c>
      <c r="C12" s="152" t="s">
        <v>61</v>
      </c>
      <c r="D12" s="152" t="s">
        <v>501</v>
      </c>
      <c r="E12" s="152" t="s">
        <v>498</v>
      </c>
      <c r="F12" s="155" t="s">
        <v>45</v>
      </c>
      <c r="G12" s="182">
        <v>678</v>
      </c>
      <c r="H12" s="182">
        <v>544</v>
      </c>
      <c r="I12" s="182">
        <v>186</v>
      </c>
      <c r="J12" s="182">
        <v>358</v>
      </c>
      <c r="K12" s="182">
        <v>42</v>
      </c>
      <c r="L12" s="182">
        <v>25</v>
      </c>
      <c r="M12" s="182">
        <v>17</v>
      </c>
      <c r="N12" s="182">
        <v>89</v>
      </c>
      <c r="O12" s="182">
        <v>60</v>
      </c>
      <c r="P12" s="182">
        <v>529</v>
      </c>
      <c r="Q12" s="182">
        <v>260</v>
      </c>
      <c r="R12" s="182">
        <v>412</v>
      </c>
      <c r="S12" s="182">
        <v>40</v>
      </c>
      <c r="T12" s="182">
        <v>120</v>
      </c>
      <c r="U12" s="180"/>
    </row>
    <row r="13" spans="1:21" ht="18" customHeight="1">
      <c r="A13" s="172">
        <v>2023</v>
      </c>
      <c r="B13" s="155" t="s">
        <v>502</v>
      </c>
      <c r="C13" s="152" t="s">
        <v>70</v>
      </c>
      <c r="D13" s="152" t="s">
        <v>501</v>
      </c>
      <c r="E13" s="152" t="s">
        <v>498</v>
      </c>
      <c r="F13" s="155" t="s">
        <v>68</v>
      </c>
      <c r="G13" s="182">
        <v>315</v>
      </c>
      <c r="H13" s="182">
        <v>272</v>
      </c>
      <c r="I13" s="182">
        <v>186</v>
      </c>
      <c r="J13" s="182">
        <v>86</v>
      </c>
      <c r="K13" s="182">
        <v>27</v>
      </c>
      <c r="L13" s="182">
        <v>21</v>
      </c>
      <c r="M13" s="182">
        <v>6</v>
      </c>
      <c r="N13" s="182">
        <v>27</v>
      </c>
      <c r="O13" s="182">
        <v>15</v>
      </c>
      <c r="P13" s="182">
        <v>273</v>
      </c>
      <c r="Q13" s="182">
        <v>92</v>
      </c>
      <c r="R13" s="182">
        <v>218</v>
      </c>
      <c r="S13" s="182">
        <v>15</v>
      </c>
      <c r="T13" s="182">
        <v>33</v>
      </c>
      <c r="U13" s="180"/>
    </row>
    <row r="14" spans="1:21" ht="18" customHeight="1">
      <c r="A14" s="172">
        <v>2023</v>
      </c>
      <c r="B14" s="155" t="s">
        <v>503</v>
      </c>
      <c r="C14" s="152" t="s">
        <v>76</v>
      </c>
      <c r="D14" s="152" t="s">
        <v>499</v>
      </c>
      <c r="E14" s="152" t="s">
        <v>498</v>
      </c>
      <c r="F14" s="155" t="s">
        <v>68</v>
      </c>
      <c r="G14" s="182">
        <v>412</v>
      </c>
      <c r="H14" s="182">
        <v>344</v>
      </c>
      <c r="I14" s="182">
        <v>131</v>
      </c>
      <c r="J14" s="182">
        <v>213</v>
      </c>
      <c r="K14" s="182">
        <v>23</v>
      </c>
      <c r="L14" s="182">
        <v>8</v>
      </c>
      <c r="M14" s="182">
        <v>15</v>
      </c>
      <c r="N14" s="182">
        <v>45</v>
      </c>
      <c r="O14" s="182">
        <v>23</v>
      </c>
      <c r="P14" s="182">
        <v>344</v>
      </c>
      <c r="Q14" s="182">
        <v>164</v>
      </c>
      <c r="R14" s="182">
        <v>246</v>
      </c>
      <c r="S14" s="182">
        <v>23</v>
      </c>
      <c r="T14" s="182">
        <v>78</v>
      </c>
      <c r="U14" s="180"/>
    </row>
    <row r="15" spans="1:21" ht="18" customHeight="1">
      <c r="A15" s="172">
        <v>2023</v>
      </c>
      <c r="B15" s="155" t="s">
        <v>504</v>
      </c>
      <c r="C15" s="152" t="s">
        <v>82</v>
      </c>
      <c r="D15" s="152" t="s">
        <v>499</v>
      </c>
      <c r="E15" s="152" t="s">
        <v>498</v>
      </c>
      <c r="F15" s="155" t="s">
        <v>68</v>
      </c>
      <c r="G15" s="182">
        <v>255</v>
      </c>
      <c r="H15" s="182">
        <v>162</v>
      </c>
      <c r="I15" s="182">
        <v>32</v>
      </c>
      <c r="J15" s="182">
        <v>130</v>
      </c>
      <c r="K15" s="182">
        <v>11</v>
      </c>
      <c r="L15" s="182">
        <v>2</v>
      </c>
      <c r="M15" s="182">
        <v>9</v>
      </c>
      <c r="N15" s="182">
        <v>58</v>
      </c>
      <c r="O15" s="182">
        <v>11</v>
      </c>
      <c r="P15" s="182">
        <v>186</v>
      </c>
      <c r="Q15" s="182">
        <v>119</v>
      </c>
      <c r="R15" s="182">
        <v>135</v>
      </c>
      <c r="S15" s="182">
        <v>31</v>
      </c>
      <c r="T15" s="182">
        <v>8</v>
      </c>
      <c r="U15" s="180"/>
    </row>
    <row r="16" spans="1:21" ht="18" customHeight="1">
      <c r="A16" s="172">
        <v>2022</v>
      </c>
      <c r="B16" s="155" t="s">
        <v>496</v>
      </c>
      <c r="C16" s="152" t="s">
        <v>47</v>
      </c>
      <c r="D16" s="152" t="s">
        <v>497</v>
      </c>
      <c r="E16" s="152" t="s">
        <v>498</v>
      </c>
      <c r="F16" s="155" t="s">
        <v>45</v>
      </c>
      <c r="G16" s="182">
        <v>255</v>
      </c>
      <c r="H16" s="182">
        <v>210</v>
      </c>
      <c r="I16" s="182">
        <v>111</v>
      </c>
      <c r="J16" s="182">
        <v>99</v>
      </c>
      <c r="K16" s="182">
        <v>49</v>
      </c>
      <c r="L16" s="182">
        <v>45</v>
      </c>
      <c r="M16" s="182">
        <v>4</v>
      </c>
      <c r="N16" s="182">
        <v>30</v>
      </c>
      <c r="O16" s="182">
        <v>12</v>
      </c>
      <c r="P16" s="182">
        <v>213</v>
      </c>
      <c r="Q16" s="182">
        <v>77</v>
      </c>
      <c r="R16" s="182">
        <v>177</v>
      </c>
      <c r="S16" s="182">
        <v>14</v>
      </c>
      <c r="T16" s="182">
        <v>77</v>
      </c>
      <c r="U16" s="180"/>
    </row>
    <row r="17" spans="1:21" ht="18" customHeight="1">
      <c r="A17" s="172">
        <v>2022</v>
      </c>
      <c r="B17" s="155" t="s">
        <v>53</v>
      </c>
      <c r="C17" s="152" t="s">
        <v>54</v>
      </c>
      <c r="D17" s="152" t="s">
        <v>499</v>
      </c>
      <c r="E17" s="152" t="s">
        <v>498</v>
      </c>
      <c r="F17" s="155" t="s">
        <v>45</v>
      </c>
      <c r="G17" s="182">
        <v>75</v>
      </c>
      <c r="H17" s="182">
        <v>46</v>
      </c>
      <c r="I17" s="182">
        <v>9</v>
      </c>
      <c r="J17" s="182">
        <v>37</v>
      </c>
      <c r="K17" s="182">
        <v>9</v>
      </c>
      <c r="L17" s="182">
        <v>5</v>
      </c>
      <c r="M17" s="182">
        <v>4</v>
      </c>
      <c r="N17" s="182">
        <v>20</v>
      </c>
      <c r="O17" s="182">
        <v>8</v>
      </c>
      <c r="P17" s="182">
        <v>47</v>
      </c>
      <c r="Q17" s="182">
        <v>32</v>
      </c>
      <c r="R17" s="182">
        <v>41</v>
      </c>
      <c r="S17" s="182">
        <v>7</v>
      </c>
      <c r="T17" s="182">
        <v>24</v>
      </c>
      <c r="U17" s="180"/>
    </row>
    <row r="18" spans="1:21" ht="18" customHeight="1">
      <c r="A18" s="172">
        <v>2022</v>
      </c>
      <c r="B18" s="155" t="s">
        <v>500</v>
      </c>
      <c r="C18" s="152" t="s">
        <v>61</v>
      </c>
      <c r="D18" s="152" t="s">
        <v>501</v>
      </c>
      <c r="E18" s="152" t="s">
        <v>498</v>
      </c>
      <c r="F18" s="155" t="s">
        <v>45</v>
      </c>
      <c r="G18" s="182">
        <v>4731</v>
      </c>
      <c r="H18" s="182">
        <v>1251</v>
      </c>
      <c r="I18" s="182">
        <v>678</v>
      </c>
      <c r="J18" s="182">
        <v>573</v>
      </c>
      <c r="K18" s="182">
        <v>69</v>
      </c>
      <c r="L18" s="182">
        <v>40</v>
      </c>
      <c r="M18" s="182">
        <v>29</v>
      </c>
      <c r="N18" s="182">
        <v>1766</v>
      </c>
      <c r="O18" s="182">
        <v>50</v>
      </c>
      <c r="P18" s="182">
        <v>2915</v>
      </c>
      <c r="Q18" s="182">
        <v>2249</v>
      </c>
      <c r="R18" s="182">
        <v>2470</v>
      </c>
      <c r="S18" s="182">
        <v>1318</v>
      </c>
      <c r="T18" s="182">
        <v>140</v>
      </c>
      <c r="U18" s="180"/>
    </row>
    <row r="19" spans="1:21" ht="18" customHeight="1">
      <c r="A19" s="172">
        <v>2022</v>
      </c>
      <c r="B19" s="155" t="s">
        <v>502</v>
      </c>
      <c r="C19" s="152" t="s">
        <v>70</v>
      </c>
      <c r="D19" s="152" t="s">
        <v>501</v>
      </c>
      <c r="E19" s="152" t="s">
        <v>498</v>
      </c>
      <c r="F19" s="155" t="s">
        <v>68</v>
      </c>
      <c r="G19" s="182">
        <v>654</v>
      </c>
      <c r="H19" s="182">
        <v>617</v>
      </c>
      <c r="I19" s="182">
        <v>139</v>
      </c>
      <c r="J19" s="182">
        <v>478</v>
      </c>
      <c r="K19" s="182">
        <v>105</v>
      </c>
      <c r="L19" s="182">
        <v>20</v>
      </c>
      <c r="M19" s="182">
        <v>85</v>
      </c>
      <c r="N19" s="182">
        <v>26</v>
      </c>
      <c r="O19" s="182">
        <v>95</v>
      </c>
      <c r="P19" s="182">
        <v>533</v>
      </c>
      <c r="Q19" s="182">
        <v>219</v>
      </c>
      <c r="R19" s="182">
        <v>422</v>
      </c>
      <c r="S19" s="182">
        <v>13</v>
      </c>
      <c r="T19" s="182">
        <v>56</v>
      </c>
      <c r="U19" s="180"/>
    </row>
    <row r="20" spans="1:21" ht="18" customHeight="1">
      <c r="A20" s="172">
        <v>2022</v>
      </c>
      <c r="B20" s="155" t="s">
        <v>503</v>
      </c>
      <c r="C20" s="152" t="s">
        <v>76</v>
      </c>
      <c r="D20" s="152" t="s">
        <v>499</v>
      </c>
      <c r="E20" s="152" t="s">
        <v>498</v>
      </c>
      <c r="F20" s="155" t="s">
        <v>68</v>
      </c>
      <c r="G20" s="182">
        <v>342</v>
      </c>
      <c r="H20" s="182">
        <v>298</v>
      </c>
      <c r="I20" s="182">
        <v>160</v>
      </c>
      <c r="J20" s="182">
        <v>138</v>
      </c>
      <c r="K20" s="182">
        <v>25</v>
      </c>
      <c r="L20" s="182">
        <v>15</v>
      </c>
      <c r="M20" s="182">
        <v>10</v>
      </c>
      <c r="N20" s="182">
        <v>29</v>
      </c>
      <c r="O20" s="182">
        <v>14</v>
      </c>
      <c r="P20" s="182">
        <v>299</v>
      </c>
      <c r="Q20" s="182">
        <v>145</v>
      </c>
      <c r="R20" s="182">
        <v>195</v>
      </c>
      <c r="S20" s="182">
        <v>17</v>
      </c>
      <c r="T20" s="182">
        <v>43</v>
      </c>
      <c r="U20" s="180"/>
    </row>
    <row r="21" spans="1:21" ht="18" customHeight="1">
      <c r="A21" s="172">
        <v>2022</v>
      </c>
      <c r="B21" s="155" t="s">
        <v>504</v>
      </c>
      <c r="C21" s="152" t="s">
        <v>82</v>
      </c>
      <c r="D21" s="152" t="s">
        <v>499</v>
      </c>
      <c r="E21" s="152" t="s">
        <v>498</v>
      </c>
      <c r="F21" s="155" t="s">
        <v>68</v>
      </c>
      <c r="G21" s="182">
        <v>200</v>
      </c>
      <c r="H21" s="182">
        <v>176</v>
      </c>
      <c r="I21" s="182">
        <v>45</v>
      </c>
      <c r="J21" s="182">
        <v>131</v>
      </c>
      <c r="K21" s="182">
        <v>9</v>
      </c>
      <c r="L21" s="182">
        <v>0</v>
      </c>
      <c r="M21" s="182">
        <v>9</v>
      </c>
      <c r="N21" s="182">
        <v>15</v>
      </c>
      <c r="O21" s="182">
        <v>16</v>
      </c>
      <c r="P21" s="182">
        <v>169</v>
      </c>
      <c r="Q21" s="182">
        <v>81</v>
      </c>
      <c r="R21" s="182">
        <v>119</v>
      </c>
      <c r="S21" s="182">
        <v>8</v>
      </c>
      <c r="T21" s="182">
        <v>6</v>
      </c>
      <c r="U21" s="180"/>
    </row>
    <row r="22" spans="1:21" ht="18" customHeight="1">
      <c r="A22" s="172">
        <v>2021</v>
      </c>
      <c r="B22" s="155" t="s">
        <v>496</v>
      </c>
      <c r="C22" s="152" t="s">
        <v>47</v>
      </c>
      <c r="D22" s="152" t="s">
        <v>497</v>
      </c>
      <c r="E22" s="152" t="s">
        <v>498</v>
      </c>
      <c r="F22" s="155" t="s">
        <v>45</v>
      </c>
      <c r="G22" s="182">
        <v>198</v>
      </c>
      <c r="H22" s="182">
        <v>150</v>
      </c>
      <c r="I22" s="182">
        <v>114</v>
      </c>
      <c r="J22" s="182">
        <v>36</v>
      </c>
      <c r="K22" s="182">
        <v>40</v>
      </c>
      <c r="L22" s="182">
        <v>36</v>
      </c>
      <c r="M22" s="182">
        <v>4</v>
      </c>
      <c r="N22" s="182">
        <v>32</v>
      </c>
      <c r="O22" s="182">
        <v>5</v>
      </c>
      <c r="P22" s="182">
        <v>161</v>
      </c>
      <c r="Q22" s="182">
        <v>61</v>
      </c>
      <c r="R22" s="182">
        <v>136</v>
      </c>
      <c r="S22" s="182">
        <v>16</v>
      </c>
      <c r="T22" s="182">
        <v>55</v>
      </c>
      <c r="U22" s="180"/>
    </row>
    <row r="23" spans="1:21" ht="18" customHeight="1">
      <c r="A23" s="172">
        <v>2021</v>
      </c>
      <c r="B23" s="155" t="s">
        <v>53</v>
      </c>
      <c r="C23" s="152" t="s">
        <v>54</v>
      </c>
      <c r="D23" s="152" t="s">
        <v>499</v>
      </c>
      <c r="E23" s="152" t="s">
        <v>498</v>
      </c>
      <c r="F23" s="155" t="s">
        <v>45</v>
      </c>
      <c r="G23" s="182">
        <v>64</v>
      </c>
      <c r="H23" s="182">
        <v>45</v>
      </c>
      <c r="I23" s="182">
        <v>45</v>
      </c>
      <c r="J23" s="182">
        <v>0</v>
      </c>
      <c r="K23" s="182">
        <v>10</v>
      </c>
      <c r="L23" s="182">
        <v>10</v>
      </c>
      <c r="M23" s="182">
        <v>0</v>
      </c>
      <c r="N23" s="182">
        <v>11</v>
      </c>
      <c r="O23" s="182">
        <v>4</v>
      </c>
      <c r="P23" s="182">
        <v>49</v>
      </c>
      <c r="Q23" s="182">
        <v>32</v>
      </c>
      <c r="R23" s="182">
        <v>32</v>
      </c>
      <c r="S23" s="182">
        <v>7</v>
      </c>
      <c r="T23" s="182">
        <v>18</v>
      </c>
      <c r="U23" s="180"/>
    </row>
    <row r="24" spans="1:21" ht="18" customHeight="1">
      <c r="A24" s="172">
        <v>2021</v>
      </c>
      <c r="B24" s="155" t="s">
        <v>500</v>
      </c>
      <c r="C24" s="152" t="s">
        <v>61</v>
      </c>
      <c r="D24" s="152" t="s">
        <v>501</v>
      </c>
      <c r="E24" s="152" t="s">
        <v>498</v>
      </c>
      <c r="F24" s="155" t="s">
        <v>45</v>
      </c>
      <c r="G24" s="182">
        <v>330</v>
      </c>
      <c r="H24" s="182">
        <v>181</v>
      </c>
      <c r="I24" s="182">
        <v>181</v>
      </c>
      <c r="J24" s="182">
        <v>0</v>
      </c>
      <c r="K24" s="182">
        <v>26</v>
      </c>
      <c r="L24" s="182">
        <v>26</v>
      </c>
      <c r="M24" s="182">
        <v>0</v>
      </c>
      <c r="N24" s="182">
        <v>100</v>
      </c>
      <c r="O24" s="182">
        <v>25</v>
      </c>
      <c r="P24" s="182">
        <v>205</v>
      </c>
      <c r="Q24" s="182">
        <v>164</v>
      </c>
      <c r="R24" s="182">
        <v>165</v>
      </c>
      <c r="S24" s="182">
        <v>45</v>
      </c>
      <c r="T24" s="182">
        <v>27</v>
      </c>
      <c r="U24" s="180"/>
    </row>
    <row r="25" spans="1:21" ht="18" customHeight="1">
      <c r="A25" s="172">
        <v>2021</v>
      </c>
      <c r="B25" s="155" t="s">
        <v>502</v>
      </c>
      <c r="C25" s="152" t="s">
        <v>70</v>
      </c>
      <c r="D25" s="152" t="s">
        <v>501</v>
      </c>
      <c r="E25" s="152" t="s">
        <v>498</v>
      </c>
      <c r="F25" s="155" t="s">
        <v>68</v>
      </c>
      <c r="G25" s="182">
        <v>147</v>
      </c>
      <c r="H25" s="182">
        <v>129</v>
      </c>
      <c r="I25" s="182">
        <v>129</v>
      </c>
      <c r="J25" s="182">
        <v>0</v>
      </c>
      <c r="K25" s="182">
        <v>7</v>
      </c>
      <c r="L25" s="182">
        <v>7</v>
      </c>
      <c r="M25" s="182">
        <v>0</v>
      </c>
      <c r="N25" s="182">
        <v>10</v>
      </c>
      <c r="O25" s="182">
        <v>9</v>
      </c>
      <c r="P25" s="182">
        <v>128</v>
      </c>
      <c r="Q25" s="182">
        <v>44</v>
      </c>
      <c r="R25" s="182">
        <v>101</v>
      </c>
      <c r="S25" s="182">
        <v>7</v>
      </c>
      <c r="T25" s="182">
        <v>12</v>
      </c>
      <c r="U25" s="180"/>
    </row>
    <row r="26" spans="1:21" ht="18" customHeight="1">
      <c r="A26" s="172">
        <v>2021</v>
      </c>
      <c r="B26" s="155" t="s">
        <v>503</v>
      </c>
      <c r="C26" s="152" t="s">
        <v>76</v>
      </c>
      <c r="D26" s="152" t="s">
        <v>499</v>
      </c>
      <c r="E26" s="152" t="s">
        <v>498</v>
      </c>
      <c r="F26" s="155" t="s">
        <v>68</v>
      </c>
      <c r="G26" s="182">
        <v>268</v>
      </c>
      <c r="H26" s="182">
        <v>239</v>
      </c>
      <c r="I26" s="182">
        <v>116</v>
      </c>
      <c r="J26" s="182">
        <v>123</v>
      </c>
      <c r="K26" s="182">
        <v>17</v>
      </c>
      <c r="L26" s="182">
        <v>9</v>
      </c>
      <c r="M26" s="182">
        <v>8</v>
      </c>
      <c r="N26" s="182">
        <v>19</v>
      </c>
      <c r="O26" s="182">
        <v>13</v>
      </c>
      <c r="P26" s="182">
        <v>236</v>
      </c>
      <c r="Q26" s="182">
        <v>114</v>
      </c>
      <c r="R26" s="182">
        <v>154</v>
      </c>
      <c r="S26" s="182">
        <v>10</v>
      </c>
      <c r="T26" s="182">
        <v>51</v>
      </c>
      <c r="U26" s="180"/>
    </row>
    <row r="27" spans="1:21" ht="18" customHeight="1">
      <c r="A27" s="172">
        <v>2021</v>
      </c>
      <c r="B27" s="155" t="s">
        <v>504</v>
      </c>
      <c r="C27" s="152" t="s">
        <v>82</v>
      </c>
      <c r="D27" s="152" t="s">
        <v>499</v>
      </c>
      <c r="E27" s="152" t="s">
        <v>498</v>
      </c>
      <c r="F27" s="155" t="s">
        <v>68</v>
      </c>
      <c r="G27" s="182">
        <v>211</v>
      </c>
      <c r="H27" s="182">
        <v>170</v>
      </c>
      <c r="I27" s="182">
        <v>26</v>
      </c>
      <c r="J27" s="182">
        <v>144</v>
      </c>
      <c r="K27" s="182">
        <v>7</v>
      </c>
      <c r="L27" s="182">
        <v>1</v>
      </c>
      <c r="M27" s="182">
        <v>6</v>
      </c>
      <c r="N27" s="182">
        <v>22</v>
      </c>
      <c r="O27" s="182">
        <v>13</v>
      </c>
      <c r="P27" s="182">
        <v>176</v>
      </c>
      <c r="Q27" s="182">
        <v>96</v>
      </c>
      <c r="R27" s="182">
        <v>115</v>
      </c>
      <c r="S27" s="182">
        <v>14</v>
      </c>
      <c r="T27" s="182">
        <v>2</v>
      </c>
      <c r="U27" s="180"/>
    </row>
    <row r="28" spans="1:21" ht="18" customHeight="1">
      <c r="A28" s="172">
        <v>2020</v>
      </c>
      <c r="B28" s="155" t="s">
        <v>496</v>
      </c>
      <c r="C28" s="152" t="s">
        <v>47</v>
      </c>
      <c r="D28" s="152" t="s">
        <v>497</v>
      </c>
      <c r="E28" s="152" t="s">
        <v>498</v>
      </c>
      <c r="F28" s="155" t="s">
        <v>45</v>
      </c>
      <c r="G28" s="182">
        <v>298</v>
      </c>
      <c r="H28" s="182">
        <v>195</v>
      </c>
      <c r="I28" s="182">
        <v>153</v>
      </c>
      <c r="J28" s="182">
        <v>42</v>
      </c>
      <c r="K28" s="182">
        <v>87</v>
      </c>
      <c r="L28" s="182">
        <v>87</v>
      </c>
      <c r="M28" s="182">
        <v>0</v>
      </c>
      <c r="N28" s="182">
        <v>67</v>
      </c>
      <c r="O28" s="182">
        <v>15</v>
      </c>
      <c r="P28" s="182">
        <v>216</v>
      </c>
      <c r="Q28" s="182">
        <v>114</v>
      </c>
      <c r="R28" s="182">
        <v>183</v>
      </c>
      <c r="S28" s="182">
        <v>32</v>
      </c>
      <c r="T28" s="182">
        <v>45</v>
      </c>
      <c r="U28" s="180"/>
    </row>
    <row r="29" spans="1:21" ht="18" customHeight="1">
      <c r="A29" s="172">
        <v>2020</v>
      </c>
      <c r="B29" s="155" t="s">
        <v>53</v>
      </c>
      <c r="C29" s="152" t="s">
        <v>54</v>
      </c>
      <c r="D29" s="152" t="s">
        <v>499</v>
      </c>
      <c r="E29" s="152" t="s">
        <v>498</v>
      </c>
      <c r="F29" s="155" t="s">
        <v>45</v>
      </c>
      <c r="G29" s="182">
        <v>107</v>
      </c>
      <c r="H29" s="182">
        <v>82</v>
      </c>
      <c r="I29" s="182">
        <v>66</v>
      </c>
      <c r="J29" s="182">
        <v>16</v>
      </c>
      <c r="K29" s="182">
        <v>14</v>
      </c>
      <c r="L29" s="182">
        <v>12</v>
      </c>
      <c r="M29" s="182">
        <v>2</v>
      </c>
      <c r="N29" s="182">
        <v>16</v>
      </c>
      <c r="O29" s="182">
        <v>10</v>
      </c>
      <c r="P29" s="182">
        <v>81</v>
      </c>
      <c r="Q29" s="182">
        <v>33</v>
      </c>
      <c r="R29" s="182">
        <v>74</v>
      </c>
      <c r="S29" s="182">
        <v>9</v>
      </c>
      <c r="T29" s="182">
        <v>13</v>
      </c>
      <c r="U29" s="180"/>
    </row>
    <row r="30" spans="1:21" ht="18" customHeight="1">
      <c r="A30" s="172">
        <v>2020</v>
      </c>
      <c r="B30" s="155" t="s">
        <v>500</v>
      </c>
      <c r="C30" s="152" t="s">
        <v>61</v>
      </c>
      <c r="D30" s="152" t="s">
        <v>501</v>
      </c>
      <c r="E30" s="152" t="s">
        <v>498</v>
      </c>
      <c r="F30" s="155" t="s">
        <v>45</v>
      </c>
      <c r="G30" s="182">
        <v>757</v>
      </c>
      <c r="H30" s="182">
        <v>616</v>
      </c>
      <c r="I30" s="182">
        <v>340</v>
      </c>
      <c r="J30" s="182">
        <v>276</v>
      </c>
      <c r="K30" s="182">
        <v>91</v>
      </c>
      <c r="L30" s="182">
        <v>77</v>
      </c>
      <c r="M30" s="182">
        <v>14</v>
      </c>
      <c r="N30" s="182">
        <v>106</v>
      </c>
      <c r="O30" s="182">
        <v>55</v>
      </c>
      <c r="P30" s="182">
        <v>596</v>
      </c>
      <c r="Q30" s="182">
        <v>249</v>
      </c>
      <c r="R30" s="182">
        <v>507</v>
      </c>
      <c r="S30" s="182">
        <v>40</v>
      </c>
      <c r="T30" s="182">
        <v>100</v>
      </c>
      <c r="U30" s="180"/>
    </row>
    <row r="31" spans="1:21" ht="18" customHeight="1">
      <c r="A31" s="172">
        <v>2020</v>
      </c>
      <c r="B31" s="155" t="s">
        <v>502</v>
      </c>
      <c r="C31" s="152" t="s">
        <v>70</v>
      </c>
      <c r="D31" s="152" t="s">
        <v>501</v>
      </c>
      <c r="E31" s="152" t="s">
        <v>498</v>
      </c>
      <c r="F31" s="155" t="s">
        <v>68</v>
      </c>
      <c r="G31" s="182">
        <v>406</v>
      </c>
      <c r="H31" s="182">
        <v>300</v>
      </c>
      <c r="I31" s="182">
        <v>187</v>
      </c>
      <c r="J31" s="182">
        <v>113</v>
      </c>
      <c r="K31" s="182">
        <v>35</v>
      </c>
      <c r="L31" s="182">
        <v>23</v>
      </c>
      <c r="M31" s="182">
        <v>12</v>
      </c>
      <c r="N31" s="182">
        <v>69</v>
      </c>
      <c r="O31" s="182">
        <v>20</v>
      </c>
      <c r="P31" s="182">
        <v>317</v>
      </c>
      <c r="Q31" s="182">
        <v>127</v>
      </c>
      <c r="R31" s="182">
        <v>277</v>
      </c>
      <c r="S31" s="182">
        <v>27</v>
      </c>
      <c r="T31" s="182">
        <v>73</v>
      </c>
      <c r="U31" s="180"/>
    </row>
    <row r="32" spans="1:21" ht="18" customHeight="1">
      <c r="A32" s="172">
        <v>2020</v>
      </c>
      <c r="B32" s="155" t="s">
        <v>503</v>
      </c>
      <c r="C32" s="152" t="s">
        <v>76</v>
      </c>
      <c r="D32" s="152" t="s">
        <v>499</v>
      </c>
      <c r="E32" s="152" t="s">
        <v>498</v>
      </c>
      <c r="F32" s="155" t="s">
        <v>68</v>
      </c>
      <c r="G32" s="182">
        <v>447</v>
      </c>
      <c r="H32" s="182">
        <v>362</v>
      </c>
      <c r="I32" s="182">
        <v>139</v>
      </c>
      <c r="J32" s="182">
        <v>223</v>
      </c>
      <c r="K32" s="182">
        <v>25</v>
      </c>
      <c r="L32" s="182">
        <v>13</v>
      </c>
      <c r="M32" s="182">
        <v>12</v>
      </c>
      <c r="N32" s="182">
        <v>56</v>
      </c>
      <c r="O32" s="182">
        <v>23</v>
      </c>
      <c r="P32" s="182">
        <v>368</v>
      </c>
      <c r="Q32" s="182">
        <v>179</v>
      </c>
      <c r="R32" s="182">
        <v>268</v>
      </c>
      <c r="S32" s="182">
        <v>26</v>
      </c>
      <c r="T32" s="182">
        <v>63</v>
      </c>
      <c r="U32" s="180"/>
    </row>
    <row r="33" spans="1:21" ht="18" customHeight="1">
      <c r="A33" s="172">
        <v>2020</v>
      </c>
      <c r="B33" s="155" t="s">
        <v>504</v>
      </c>
      <c r="C33" s="152" t="s">
        <v>82</v>
      </c>
      <c r="D33" s="152" t="s">
        <v>499</v>
      </c>
      <c r="E33" s="152" t="s">
        <v>498</v>
      </c>
      <c r="F33" s="155" t="s">
        <v>68</v>
      </c>
      <c r="G33" s="182">
        <v>254</v>
      </c>
      <c r="H33" s="182">
        <v>191</v>
      </c>
      <c r="I33" s="182">
        <v>5</v>
      </c>
      <c r="J33" s="182">
        <v>186</v>
      </c>
      <c r="K33" s="182">
        <v>8</v>
      </c>
      <c r="L33" s="182">
        <v>1</v>
      </c>
      <c r="M33" s="182">
        <v>7</v>
      </c>
      <c r="N33" s="182">
        <v>40</v>
      </c>
      <c r="O33" s="182">
        <v>10</v>
      </c>
      <c r="P33" s="182">
        <v>204</v>
      </c>
      <c r="Q33" s="182">
        <v>89</v>
      </c>
      <c r="R33" s="182">
        <v>164</v>
      </c>
      <c r="S33" s="182">
        <v>23</v>
      </c>
      <c r="T33" s="182">
        <v>3</v>
      </c>
      <c r="U33" s="180"/>
    </row>
    <row r="34" spans="1:21" ht="18" customHeight="1">
      <c r="A34" s="172">
        <v>2019</v>
      </c>
      <c r="B34" s="155" t="s">
        <v>496</v>
      </c>
      <c r="C34" s="152" t="s">
        <v>47</v>
      </c>
      <c r="D34" s="152" t="s">
        <v>497</v>
      </c>
      <c r="E34" s="152" t="s">
        <v>498</v>
      </c>
      <c r="F34" s="155" t="s">
        <v>45</v>
      </c>
      <c r="G34" s="182">
        <v>292</v>
      </c>
      <c r="H34" s="182">
        <v>218</v>
      </c>
      <c r="I34" s="182">
        <v>158</v>
      </c>
      <c r="J34" s="182">
        <v>60</v>
      </c>
      <c r="K34" s="182">
        <v>84</v>
      </c>
      <c r="L34" s="182">
        <v>79</v>
      </c>
      <c r="M34" s="182">
        <v>5</v>
      </c>
      <c r="N34" s="182">
        <v>44</v>
      </c>
      <c r="O34" s="182">
        <v>10</v>
      </c>
      <c r="P34" s="182">
        <v>238</v>
      </c>
      <c r="Q34" s="182">
        <v>94</v>
      </c>
      <c r="R34" s="182">
        <v>198</v>
      </c>
      <c r="S34" s="182">
        <v>28</v>
      </c>
      <c r="T34" s="182">
        <v>41</v>
      </c>
      <c r="U34" s="180"/>
    </row>
    <row r="35" spans="1:21" ht="18" customHeight="1">
      <c r="A35" s="172">
        <v>2019</v>
      </c>
      <c r="B35" s="155" t="s">
        <v>53</v>
      </c>
      <c r="C35" s="152" t="s">
        <v>54</v>
      </c>
      <c r="D35" s="152" t="s">
        <v>499</v>
      </c>
      <c r="E35" s="152" t="s">
        <v>498</v>
      </c>
      <c r="F35" s="155" t="s">
        <v>45</v>
      </c>
      <c r="G35" s="182">
        <v>114</v>
      </c>
      <c r="H35" s="182">
        <v>87</v>
      </c>
      <c r="I35" s="182">
        <v>68</v>
      </c>
      <c r="J35" s="182">
        <v>19</v>
      </c>
      <c r="K35" s="182">
        <v>9</v>
      </c>
      <c r="L35" s="182">
        <v>9</v>
      </c>
      <c r="M35" s="182">
        <v>0</v>
      </c>
      <c r="N35" s="182">
        <v>17</v>
      </c>
      <c r="O35" s="182">
        <v>4</v>
      </c>
      <c r="P35" s="182">
        <v>93</v>
      </c>
      <c r="Q35" s="182">
        <v>31</v>
      </c>
      <c r="R35" s="182">
        <v>83</v>
      </c>
      <c r="S35" s="182">
        <v>10</v>
      </c>
      <c r="T35" s="182">
        <v>21</v>
      </c>
      <c r="U35" s="180"/>
    </row>
    <row r="36" spans="1:21" ht="18" customHeight="1">
      <c r="A36" s="172">
        <v>2019</v>
      </c>
      <c r="B36" s="155" t="s">
        <v>500</v>
      </c>
      <c r="C36" s="152" t="s">
        <v>61</v>
      </c>
      <c r="D36" s="152" t="s">
        <v>501</v>
      </c>
      <c r="E36" s="152" t="s">
        <v>498</v>
      </c>
      <c r="F36" s="155" t="s">
        <v>45</v>
      </c>
      <c r="G36" s="182">
        <v>593</v>
      </c>
      <c r="H36" s="182">
        <v>503</v>
      </c>
      <c r="I36" s="182">
        <v>286</v>
      </c>
      <c r="J36" s="182">
        <v>217</v>
      </c>
      <c r="K36" s="182">
        <v>88</v>
      </c>
      <c r="L36" s="182">
        <v>69</v>
      </c>
      <c r="M36" s="182">
        <v>19</v>
      </c>
      <c r="N36" s="182">
        <v>91</v>
      </c>
      <c r="O36" s="182">
        <v>44</v>
      </c>
      <c r="P36" s="182">
        <v>458</v>
      </c>
      <c r="Q36" s="182">
        <v>196</v>
      </c>
      <c r="R36" s="182">
        <v>395</v>
      </c>
      <c r="S36" s="182">
        <v>27</v>
      </c>
      <c r="T36" s="182">
        <v>110</v>
      </c>
      <c r="U36" s="180"/>
    </row>
    <row r="37" spans="1:21" ht="18" customHeight="1">
      <c r="A37" s="172">
        <v>2019</v>
      </c>
      <c r="B37" s="155" t="s">
        <v>502</v>
      </c>
      <c r="C37" s="152" t="s">
        <v>70</v>
      </c>
      <c r="D37" s="152" t="s">
        <v>501</v>
      </c>
      <c r="E37" s="152" t="s">
        <v>498</v>
      </c>
      <c r="F37" s="155" t="s">
        <v>68</v>
      </c>
      <c r="G37" s="182">
        <v>408</v>
      </c>
      <c r="H37" s="182">
        <v>346</v>
      </c>
      <c r="I37" s="182">
        <v>240</v>
      </c>
      <c r="J37" s="182">
        <v>106</v>
      </c>
      <c r="K37" s="182">
        <v>44</v>
      </c>
      <c r="L37" s="182">
        <v>36</v>
      </c>
      <c r="M37" s="182">
        <v>8</v>
      </c>
      <c r="N37" s="182">
        <v>47</v>
      </c>
      <c r="O37" s="182">
        <v>19</v>
      </c>
      <c r="P37" s="182">
        <v>342</v>
      </c>
      <c r="Q37" s="182">
        <v>124</v>
      </c>
      <c r="R37" s="182">
        <v>269</v>
      </c>
      <c r="S37" s="182">
        <v>18</v>
      </c>
      <c r="T37" s="182">
        <v>166</v>
      </c>
      <c r="U37" s="180"/>
    </row>
    <row r="38" spans="1:21" ht="18" customHeight="1">
      <c r="A38" s="172">
        <v>2019</v>
      </c>
      <c r="B38" s="155" t="s">
        <v>503</v>
      </c>
      <c r="C38" s="152" t="s">
        <v>76</v>
      </c>
      <c r="D38" s="152" t="s">
        <v>499</v>
      </c>
      <c r="E38" s="152" t="s">
        <v>498</v>
      </c>
      <c r="F38" s="155" t="s">
        <v>68</v>
      </c>
      <c r="G38" s="182">
        <v>480</v>
      </c>
      <c r="H38" s="182">
        <v>380</v>
      </c>
      <c r="I38" s="182">
        <v>193</v>
      </c>
      <c r="J38" s="182">
        <v>187</v>
      </c>
      <c r="K38" s="182">
        <v>20</v>
      </c>
      <c r="L38" s="182">
        <v>13</v>
      </c>
      <c r="M38" s="182">
        <v>7</v>
      </c>
      <c r="N38" s="182">
        <v>67</v>
      </c>
      <c r="O38" s="182">
        <v>30</v>
      </c>
      <c r="P38" s="182">
        <v>383</v>
      </c>
      <c r="Q38" s="182">
        <v>181</v>
      </c>
      <c r="R38" s="182">
        <v>299</v>
      </c>
      <c r="S38" s="182">
        <v>30</v>
      </c>
      <c r="T38" s="182">
        <v>31</v>
      </c>
      <c r="U38" s="180"/>
    </row>
    <row r="39" spans="1:21" ht="18" customHeight="1">
      <c r="A39" s="172">
        <v>2019</v>
      </c>
      <c r="B39" s="155" t="s">
        <v>504</v>
      </c>
      <c r="C39" s="152" t="s">
        <v>82</v>
      </c>
      <c r="D39" s="152" t="s">
        <v>499</v>
      </c>
      <c r="E39" s="152" t="s">
        <v>498</v>
      </c>
      <c r="F39" s="155" t="s">
        <v>68</v>
      </c>
      <c r="G39" s="182">
        <v>296</v>
      </c>
      <c r="H39" s="182">
        <v>237</v>
      </c>
      <c r="I39" s="182">
        <v>46</v>
      </c>
      <c r="J39" s="182">
        <v>191</v>
      </c>
      <c r="K39" s="182">
        <v>8</v>
      </c>
      <c r="L39" s="182">
        <v>0</v>
      </c>
      <c r="M39" s="182">
        <v>8</v>
      </c>
      <c r="N39" s="182">
        <v>38</v>
      </c>
      <c r="O39" s="182">
        <v>6</v>
      </c>
      <c r="P39" s="182">
        <v>252</v>
      </c>
      <c r="Q39" s="182">
        <v>112</v>
      </c>
      <c r="R39" s="182">
        <v>184</v>
      </c>
      <c r="S39" s="182">
        <v>21</v>
      </c>
      <c r="T39" s="182">
        <v>19</v>
      </c>
      <c r="U39" s="180"/>
    </row>
    <row r="40" spans="1:21" ht="18" customHeight="1">
      <c r="A40" s="172">
        <v>2018</v>
      </c>
      <c r="B40" s="155" t="s">
        <v>496</v>
      </c>
      <c r="C40" s="152" t="s">
        <v>47</v>
      </c>
      <c r="D40" s="152" t="s">
        <v>497</v>
      </c>
      <c r="E40" s="152" t="s">
        <v>498</v>
      </c>
      <c r="F40" s="155" t="s">
        <v>45</v>
      </c>
      <c r="G40" s="182">
        <v>375</v>
      </c>
      <c r="H40" s="182">
        <v>271</v>
      </c>
      <c r="I40" s="182">
        <v>227</v>
      </c>
      <c r="J40" s="182">
        <v>44</v>
      </c>
      <c r="K40" s="182">
        <v>100</v>
      </c>
      <c r="L40" s="182">
        <v>98</v>
      </c>
      <c r="M40" s="182">
        <v>2</v>
      </c>
      <c r="N40" s="182">
        <v>72</v>
      </c>
      <c r="O40" s="182">
        <v>21</v>
      </c>
      <c r="P40" s="182">
        <v>282</v>
      </c>
      <c r="Q40" s="182">
        <v>123</v>
      </c>
      <c r="R40" s="182">
        <v>250</v>
      </c>
      <c r="S40" s="182">
        <v>32</v>
      </c>
      <c r="T40" s="182">
        <v>53</v>
      </c>
      <c r="U40" s="180"/>
    </row>
    <row r="41" spans="1:21" ht="18" customHeight="1">
      <c r="A41" s="172">
        <v>2018</v>
      </c>
      <c r="B41" s="155" t="s">
        <v>53</v>
      </c>
      <c r="C41" s="152" t="s">
        <v>54</v>
      </c>
      <c r="D41" s="152" t="s">
        <v>499</v>
      </c>
      <c r="E41" s="152" t="s">
        <v>498</v>
      </c>
      <c r="F41" s="155" t="s">
        <v>45</v>
      </c>
      <c r="G41" s="182">
        <v>177</v>
      </c>
      <c r="H41" s="182">
        <v>152</v>
      </c>
      <c r="I41" s="182">
        <v>99</v>
      </c>
      <c r="J41" s="182">
        <v>53</v>
      </c>
      <c r="K41" s="182">
        <v>26</v>
      </c>
      <c r="L41" s="182">
        <v>24</v>
      </c>
      <c r="M41" s="182">
        <v>2</v>
      </c>
      <c r="N41" s="182">
        <v>16</v>
      </c>
      <c r="O41" s="182">
        <v>4</v>
      </c>
      <c r="P41" s="182">
        <v>157</v>
      </c>
      <c r="Q41" s="182">
        <v>68</v>
      </c>
      <c r="R41" s="182">
        <v>109</v>
      </c>
      <c r="S41" s="182">
        <v>9</v>
      </c>
      <c r="T41" s="182">
        <v>28</v>
      </c>
      <c r="U41" s="180"/>
    </row>
    <row r="42" spans="1:21" ht="18" customHeight="1">
      <c r="A42" s="172">
        <v>2018</v>
      </c>
      <c r="B42" s="155" t="s">
        <v>500</v>
      </c>
      <c r="C42" s="152" t="s">
        <v>61</v>
      </c>
      <c r="D42" s="152" t="s">
        <v>501</v>
      </c>
      <c r="E42" s="152" t="s">
        <v>498</v>
      </c>
      <c r="F42" s="155" t="s">
        <v>45</v>
      </c>
      <c r="G42" s="182">
        <v>575</v>
      </c>
      <c r="H42" s="182">
        <v>526</v>
      </c>
      <c r="I42" s="182">
        <v>400</v>
      </c>
      <c r="J42" s="182">
        <v>126</v>
      </c>
      <c r="K42" s="182">
        <v>96</v>
      </c>
      <c r="L42" s="182">
        <v>85</v>
      </c>
      <c r="M42" s="182">
        <v>11</v>
      </c>
      <c r="N42" s="182">
        <v>54</v>
      </c>
      <c r="O42" s="182">
        <v>36</v>
      </c>
      <c r="P42" s="182">
        <v>485</v>
      </c>
      <c r="Q42" s="182">
        <v>160</v>
      </c>
      <c r="R42" s="182">
        <v>412</v>
      </c>
      <c r="S42" s="182">
        <v>16</v>
      </c>
      <c r="T42" s="182">
        <v>97</v>
      </c>
      <c r="U42" s="180"/>
    </row>
    <row r="43" spans="1:21" ht="18" customHeight="1">
      <c r="A43" s="172">
        <v>2018</v>
      </c>
      <c r="B43" s="155" t="s">
        <v>502</v>
      </c>
      <c r="C43" s="152" t="s">
        <v>70</v>
      </c>
      <c r="D43" s="152" t="s">
        <v>501</v>
      </c>
      <c r="E43" s="152" t="s">
        <v>498</v>
      </c>
      <c r="F43" s="155" t="s">
        <v>68</v>
      </c>
      <c r="G43" s="182">
        <v>446</v>
      </c>
      <c r="H43" s="182">
        <v>362</v>
      </c>
      <c r="I43" s="182">
        <v>225</v>
      </c>
      <c r="J43" s="182">
        <v>137</v>
      </c>
      <c r="K43" s="182">
        <v>44</v>
      </c>
      <c r="L43" s="182">
        <v>10</v>
      </c>
      <c r="M43" s="182">
        <v>34</v>
      </c>
      <c r="N43" s="182">
        <v>51</v>
      </c>
      <c r="O43" s="182">
        <v>36</v>
      </c>
      <c r="P43" s="182">
        <v>359</v>
      </c>
      <c r="Q43" s="182">
        <v>129</v>
      </c>
      <c r="R43" s="182">
        <v>298</v>
      </c>
      <c r="S43" s="182">
        <v>36</v>
      </c>
      <c r="T43" s="182">
        <v>152</v>
      </c>
      <c r="U43" s="180"/>
    </row>
    <row r="44" spans="1:21" ht="18" customHeight="1">
      <c r="A44" s="172">
        <v>2018</v>
      </c>
      <c r="B44" s="155" t="s">
        <v>503</v>
      </c>
      <c r="C44" s="152" t="s">
        <v>76</v>
      </c>
      <c r="D44" s="152" t="s">
        <v>499</v>
      </c>
      <c r="E44" s="152" t="s">
        <v>498</v>
      </c>
      <c r="F44" s="155" t="s">
        <v>68</v>
      </c>
      <c r="G44" s="182">
        <v>560</v>
      </c>
      <c r="H44" s="182">
        <v>404</v>
      </c>
      <c r="I44" s="182">
        <v>199</v>
      </c>
      <c r="J44" s="182">
        <v>205</v>
      </c>
      <c r="K44" s="182">
        <v>43</v>
      </c>
      <c r="L44" s="182">
        <v>27</v>
      </c>
      <c r="M44" s="182">
        <v>16</v>
      </c>
      <c r="N44" s="182">
        <v>94</v>
      </c>
      <c r="O44" s="182">
        <v>48</v>
      </c>
      <c r="P44" s="182">
        <v>418</v>
      </c>
      <c r="Q44" s="182">
        <v>237</v>
      </c>
      <c r="R44" s="182">
        <v>322</v>
      </c>
      <c r="S44" s="182">
        <v>50</v>
      </c>
      <c r="T44" s="182">
        <v>54</v>
      </c>
      <c r="U44" s="180"/>
    </row>
    <row r="45" spans="1:21" ht="18" customHeight="1">
      <c r="A45" s="172">
        <v>2018</v>
      </c>
      <c r="B45" s="155" t="s">
        <v>504</v>
      </c>
      <c r="C45" s="152" t="s">
        <v>82</v>
      </c>
      <c r="D45" s="152" t="s">
        <v>499</v>
      </c>
      <c r="E45" s="152" t="s">
        <v>498</v>
      </c>
      <c r="F45" s="155" t="s">
        <v>68</v>
      </c>
      <c r="G45" s="182">
        <v>346</v>
      </c>
      <c r="H45" s="182">
        <v>258</v>
      </c>
      <c r="I45" s="182">
        <v>37</v>
      </c>
      <c r="J45" s="182">
        <v>221</v>
      </c>
      <c r="K45" s="182">
        <v>15</v>
      </c>
      <c r="L45" s="182">
        <v>0</v>
      </c>
      <c r="M45" s="182">
        <v>15</v>
      </c>
      <c r="N45" s="182">
        <v>61</v>
      </c>
      <c r="O45" s="182">
        <v>25</v>
      </c>
      <c r="P45" s="182">
        <v>260</v>
      </c>
      <c r="Q45" s="182">
        <v>136</v>
      </c>
      <c r="R45" s="182">
        <v>209</v>
      </c>
      <c r="S45" s="182">
        <v>26</v>
      </c>
      <c r="T45" s="182">
        <v>49</v>
      </c>
      <c r="U45" s="180"/>
    </row>
    <row r="46" spans="1:21" ht="18" customHeight="1">
      <c r="A46" s="172">
        <v>2017</v>
      </c>
      <c r="B46" s="155" t="s">
        <v>496</v>
      </c>
      <c r="C46" s="152" t="s">
        <v>47</v>
      </c>
      <c r="D46" s="152" t="s">
        <v>497</v>
      </c>
      <c r="E46" s="152" t="s">
        <v>498</v>
      </c>
      <c r="F46" s="155" t="s">
        <v>45</v>
      </c>
      <c r="G46" s="182">
        <v>349</v>
      </c>
      <c r="H46" s="182">
        <v>246</v>
      </c>
      <c r="I46" s="182">
        <v>199</v>
      </c>
      <c r="J46" s="182">
        <v>47</v>
      </c>
      <c r="K46" s="182">
        <v>83</v>
      </c>
      <c r="L46" s="182">
        <v>82</v>
      </c>
      <c r="M46" s="182">
        <v>1</v>
      </c>
      <c r="N46" s="182">
        <v>69</v>
      </c>
      <c r="O46" s="182">
        <v>14</v>
      </c>
      <c r="P46" s="182">
        <v>266</v>
      </c>
      <c r="Q46" s="182">
        <v>117</v>
      </c>
      <c r="R46" s="182">
        <v>232</v>
      </c>
      <c r="S46" s="182">
        <v>33</v>
      </c>
      <c r="T46" s="182">
        <v>31</v>
      </c>
      <c r="U46" s="180"/>
    </row>
    <row r="47" spans="1:21" ht="18" customHeight="1">
      <c r="A47" s="172">
        <v>2017</v>
      </c>
      <c r="B47" s="155" t="s">
        <v>53</v>
      </c>
      <c r="C47" s="152" t="s">
        <v>54</v>
      </c>
      <c r="D47" s="152" t="s">
        <v>499</v>
      </c>
      <c r="E47" s="152" t="s">
        <v>498</v>
      </c>
      <c r="F47" s="155" t="s">
        <v>45</v>
      </c>
      <c r="G47" s="182">
        <v>159</v>
      </c>
      <c r="H47" s="182">
        <v>127</v>
      </c>
      <c r="I47" s="182">
        <v>66</v>
      </c>
      <c r="J47" s="182">
        <v>61</v>
      </c>
      <c r="K47" s="182">
        <v>16</v>
      </c>
      <c r="L47" s="182">
        <v>11</v>
      </c>
      <c r="M47" s="182">
        <v>5</v>
      </c>
      <c r="N47" s="182">
        <v>19</v>
      </c>
      <c r="O47" s="182">
        <v>5</v>
      </c>
      <c r="P47" s="182">
        <v>135</v>
      </c>
      <c r="Q47" s="182">
        <v>66</v>
      </c>
      <c r="R47" s="182">
        <v>92</v>
      </c>
      <c r="S47" s="182">
        <v>11</v>
      </c>
      <c r="T47" s="182">
        <v>20</v>
      </c>
      <c r="U47" s="180"/>
    </row>
    <row r="48" spans="1:21" ht="18" customHeight="1">
      <c r="A48" s="172">
        <v>2017</v>
      </c>
      <c r="B48" s="155" t="s">
        <v>500</v>
      </c>
      <c r="C48" s="152" t="s">
        <v>61</v>
      </c>
      <c r="D48" s="152" t="s">
        <v>501</v>
      </c>
      <c r="E48" s="152" t="s">
        <v>498</v>
      </c>
      <c r="F48" s="155" t="s">
        <v>45</v>
      </c>
      <c r="G48" s="182">
        <v>706</v>
      </c>
      <c r="H48" s="182">
        <v>535</v>
      </c>
      <c r="I48" s="182">
        <v>407</v>
      </c>
      <c r="J48" s="182">
        <v>128</v>
      </c>
      <c r="K48" s="182">
        <v>82</v>
      </c>
      <c r="L48" s="182">
        <v>66</v>
      </c>
      <c r="M48" s="182">
        <v>16</v>
      </c>
      <c r="N48" s="182">
        <v>147</v>
      </c>
      <c r="O48" s="182">
        <v>40</v>
      </c>
      <c r="P48" s="182">
        <v>519</v>
      </c>
      <c r="Q48" s="182">
        <v>225</v>
      </c>
      <c r="R48" s="182">
        <v>478</v>
      </c>
      <c r="S48" s="182">
        <v>56</v>
      </c>
      <c r="T48" s="182">
        <v>72</v>
      </c>
      <c r="U48" s="180"/>
    </row>
    <row r="49" spans="1:21" ht="18" customHeight="1">
      <c r="A49" s="172">
        <v>2017</v>
      </c>
      <c r="B49" s="155" t="s">
        <v>502</v>
      </c>
      <c r="C49" s="152" t="s">
        <v>70</v>
      </c>
      <c r="D49" s="152" t="s">
        <v>501</v>
      </c>
      <c r="E49" s="152" t="s">
        <v>498</v>
      </c>
      <c r="F49" s="155" t="s">
        <v>68</v>
      </c>
      <c r="G49" s="182">
        <v>511</v>
      </c>
      <c r="H49" s="182">
        <v>450</v>
      </c>
      <c r="I49" s="182">
        <v>170</v>
      </c>
      <c r="J49" s="182">
        <v>280</v>
      </c>
      <c r="K49" s="182">
        <v>0</v>
      </c>
      <c r="L49" s="182">
        <v>0</v>
      </c>
      <c r="M49" s="182">
        <v>0</v>
      </c>
      <c r="N49" s="182">
        <v>51</v>
      </c>
      <c r="O49" s="182">
        <v>0</v>
      </c>
      <c r="P49" s="182">
        <v>460</v>
      </c>
      <c r="Q49" s="182">
        <v>187</v>
      </c>
      <c r="R49" s="182">
        <v>317</v>
      </c>
      <c r="S49" s="182">
        <v>21</v>
      </c>
      <c r="T49" s="182">
        <v>9</v>
      </c>
      <c r="U49" s="180"/>
    </row>
    <row r="50" spans="1:21" ht="18" customHeight="1">
      <c r="A50" s="172">
        <v>2017</v>
      </c>
      <c r="B50" s="155" t="s">
        <v>503</v>
      </c>
      <c r="C50" s="152" t="s">
        <v>76</v>
      </c>
      <c r="D50" s="152" t="s">
        <v>499</v>
      </c>
      <c r="E50" s="152" t="s">
        <v>498</v>
      </c>
      <c r="F50" s="155" t="s">
        <v>68</v>
      </c>
      <c r="G50" s="182">
        <v>697</v>
      </c>
      <c r="H50" s="182">
        <v>465</v>
      </c>
      <c r="I50" s="182">
        <v>260</v>
      </c>
      <c r="J50" s="182">
        <v>205</v>
      </c>
      <c r="K50" s="182">
        <v>51</v>
      </c>
      <c r="L50" s="182">
        <v>38</v>
      </c>
      <c r="M50" s="182">
        <v>13</v>
      </c>
      <c r="N50" s="182">
        <v>154</v>
      </c>
      <c r="O50" s="182">
        <v>51</v>
      </c>
      <c r="P50" s="182">
        <v>492</v>
      </c>
      <c r="Q50" s="182">
        <v>279</v>
      </c>
      <c r="R50" s="182">
        <v>417</v>
      </c>
      <c r="S50" s="182">
        <v>66</v>
      </c>
      <c r="T50" s="182">
        <v>33</v>
      </c>
      <c r="U50" s="180"/>
    </row>
    <row r="51" spans="1:21" ht="18" customHeight="1">
      <c r="A51" s="172">
        <v>2017</v>
      </c>
      <c r="B51" s="155" t="s">
        <v>504</v>
      </c>
      <c r="C51" s="152" t="s">
        <v>82</v>
      </c>
      <c r="D51" s="152" t="s">
        <v>499</v>
      </c>
      <c r="E51" s="152" t="s">
        <v>498</v>
      </c>
      <c r="F51" s="155" t="s">
        <v>68</v>
      </c>
      <c r="G51" s="182">
        <v>264</v>
      </c>
      <c r="H51" s="182">
        <v>185</v>
      </c>
      <c r="I51" s="182">
        <v>22</v>
      </c>
      <c r="J51" s="182">
        <v>163</v>
      </c>
      <c r="K51" s="182">
        <v>6</v>
      </c>
      <c r="L51" s="182">
        <v>1</v>
      </c>
      <c r="M51" s="182">
        <v>5</v>
      </c>
      <c r="N51" s="182">
        <v>47</v>
      </c>
      <c r="O51" s="182">
        <v>9</v>
      </c>
      <c r="P51" s="182">
        <v>208</v>
      </c>
      <c r="Q51" s="182">
        <v>107</v>
      </c>
      <c r="R51" s="182">
        <v>157</v>
      </c>
      <c r="S51" s="182">
        <v>24</v>
      </c>
      <c r="T51" s="182">
        <v>19</v>
      </c>
      <c r="U51" s="180"/>
    </row>
    <row r="52" spans="1:21" ht="18" customHeight="1">
      <c r="A52" s="172">
        <v>2016</v>
      </c>
      <c r="B52" s="155" t="s">
        <v>496</v>
      </c>
      <c r="C52" s="152" t="s">
        <v>47</v>
      </c>
      <c r="D52" s="152" t="s">
        <v>497</v>
      </c>
      <c r="E52" s="152" t="s">
        <v>498</v>
      </c>
      <c r="F52" s="155" t="s">
        <v>45</v>
      </c>
      <c r="G52" s="182">
        <v>478</v>
      </c>
      <c r="H52" s="182">
        <v>368</v>
      </c>
      <c r="I52" s="182">
        <v>303</v>
      </c>
      <c r="J52" s="182">
        <v>65</v>
      </c>
      <c r="K52" s="182">
        <v>105</v>
      </c>
      <c r="L52" s="182">
        <v>105</v>
      </c>
      <c r="M52" s="182">
        <v>0</v>
      </c>
      <c r="N52" s="182">
        <v>74</v>
      </c>
      <c r="O52" s="182">
        <v>28</v>
      </c>
      <c r="P52" s="182">
        <v>376</v>
      </c>
      <c r="Q52" s="182">
        <v>159</v>
      </c>
      <c r="R52" s="182">
        <v>317</v>
      </c>
      <c r="S52" s="182">
        <v>38</v>
      </c>
      <c r="T52" s="182">
        <v>17</v>
      </c>
      <c r="U52" s="180"/>
    </row>
    <row r="53" spans="1:21" ht="18" customHeight="1">
      <c r="A53" s="172">
        <v>2016</v>
      </c>
      <c r="B53" s="155" t="s">
        <v>53</v>
      </c>
      <c r="C53" s="152" t="s">
        <v>54</v>
      </c>
      <c r="D53" s="152" t="s">
        <v>499</v>
      </c>
      <c r="E53" s="152" t="s">
        <v>498</v>
      </c>
      <c r="F53" s="155" t="s">
        <v>45</v>
      </c>
      <c r="G53" s="182">
        <v>167</v>
      </c>
      <c r="H53" s="182">
        <v>129</v>
      </c>
      <c r="I53" s="182">
        <v>75</v>
      </c>
      <c r="J53" s="182">
        <v>54</v>
      </c>
      <c r="K53" s="182">
        <v>33</v>
      </c>
      <c r="L53" s="182">
        <v>27</v>
      </c>
      <c r="M53" s="182">
        <v>6</v>
      </c>
      <c r="N53" s="182">
        <v>30</v>
      </c>
      <c r="O53" s="182">
        <v>4</v>
      </c>
      <c r="P53" s="182">
        <v>133</v>
      </c>
      <c r="Q53" s="182">
        <v>50</v>
      </c>
      <c r="R53" s="182">
        <v>117</v>
      </c>
      <c r="S53" s="182">
        <v>10</v>
      </c>
      <c r="T53" s="182">
        <v>7</v>
      </c>
      <c r="U53" s="180"/>
    </row>
    <row r="54" spans="1:21" ht="18" customHeight="1">
      <c r="A54" s="172">
        <v>2016</v>
      </c>
      <c r="B54" s="155" t="s">
        <v>500</v>
      </c>
      <c r="C54" s="152" t="s">
        <v>61</v>
      </c>
      <c r="D54" s="152" t="s">
        <v>501</v>
      </c>
      <c r="E54" s="152" t="s">
        <v>498</v>
      </c>
      <c r="F54" s="155" t="s">
        <v>45</v>
      </c>
      <c r="G54" s="182">
        <v>797</v>
      </c>
      <c r="H54" s="182">
        <v>647</v>
      </c>
      <c r="I54" s="182">
        <v>544</v>
      </c>
      <c r="J54" s="182">
        <v>103</v>
      </c>
      <c r="K54" s="182">
        <v>87</v>
      </c>
      <c r="L54" s="182">
        <v>81</v>
      </c>
      <c r="M54" s="182">
        <v>6</v>
      </c>
      <c r="N54" s="182">
        <v>147</v>
      </c>
      <c r="O54" s="182">
        <v>83</v>
      </c>
      <c r="P54" s="182">
        <v>567</v>
      </c>
      <c r="Q54" s="182">
        <v>274</v>
      </c>
      <c r="R54" s="182">
        <v>523</v>
      </c>
      <c r="S54" s="182">
        <v>44</v>
      </c>
      <c r="T54" s="182">
        <v>49</v>
      </c>
      <c r="U54" s="180"/>
    </row>
    <row r="55" spans="1:21" ht="18" customHeight="1">
      <c r="A55" s="172">
        <v>2016</v>
      </c>
      <c r="B55" s="155" t="s">
        <v>502</v>
      </c>
      <c r="C55" s="152" t="s">
        <v>70</v>
      </c>
      <c r="D55" s="152" t="s">
        <v>501</v>
      </c>
      <c r="E55" s="152" t="s">
        <v>498</v>
      </c>
      <c r="F55" s="155" t="s">
        <v>68</v>
      </c>
      <c r="G55" s="182">
        <v>633</v>
      </c>
      <c r="H55" s="182">
        <v>566</v>
      </c>
      <c r="I55" s="182">
        <v>230</v>
      </c>
      <c r="J55" s="182">
        <v>336</v>
      </c>
      <c r="K55" s="182">
        <v>65</v>
      </c>
      <c r="L55" s="182">
        <v>17</v>
      </c>
      <c r="M55" s="182">
        <v>48</v>
      </c>
      <c r="N55" s="182">
        <v>36</v>
      </c>
      <c r="O55" s="182">
        <v>28</v>
      </c>
      <c r="P55" s="182">
        <v>569</v>
      </c>
      <c r="Q55" s="182">
        <v>253</v>
      </c>
      <c r="R55" s="182">
        <v>368</v>
      </c>
      <c r="S55" s="182">
        <v>21</v>
      </c>
      <c r="T55" s="182">
        <v>88</v>
      </c>
      <c r="U55" s="180"/>
    </row>
    <row r="56" spans="1:21" ht="18" customHeight="1">
      <c r="A56" s="172">
        <v>2016</v>
      </c>
      <c r="B56" s="155" t="s">
        <v>503</v>
      </c>
      <c r="C56" s="152" t="s">
        <v>76</v>
      </c>
      <c r="D56" s="152" t="s">
        <v>499</v>
      </c>
      <c r="E56" s="152" t="s">
        <v>498</v>
      </c>
      <c r="F56" s="155" t="s">
        <v>68</v>
      </c>
      <c r="G56" s="182">
        <v>785</v>
      </c>
      <c r="H56" s="182">
        <v>484</v>
      </c>
      <c r="I56" s="182">
        <v>276</v>
      </c>
      <c r="J56" s="182">
        <v>208</v>
      </c>
      <c r="K56" s="182">
        <v>66</v>
      </c>
      <c r="L56" s="182">
        <v>37</v>
      </c>
      <c r="M56" s="182">
        <v>29</v>
      </c>
      <c r="N56" s="182">
        <v>189</v>
      </c>
      <c r="O56" s="182">
        <v>71</v>
      </c>
      <c r="P56" s="182">
        <v>525</v>
      </c>
      <c r="Q56" s="182">
        <v>337</v>
      </c>
      <c r="R56" s="182">
        <v>448</v>
      </c>
      <c r="S56" s="182">
        <v>88</v>
      </c>
      <c r="T56" s="182">
        <v>54</v>
      </c>
      <c r="U56" s="180"/>
    </row>
    <row r="57" spans="1:21" ht="18" customHeight="1">
      <c r="A57" s="172">
        <v>2016</v>
      </c>
      <c r="B57" s="155" t="s">
        <v>504</v>
      </c>
      <c r="C57" s="152" t="s">
        <v>82</v>
      </c>
      <c r="D57" s="152" t="s">
        <v>499</v>
      </c>
      <c r="E57" s="152" t="s">
        <v>498</v>
      </c>
      <c r="F57" s="155" t="s">
        <v>68</v>
      </c>
      <c r="G57" s="182">
        <v>320</v>
      </c>
      <c r="H57" s="182">
        <v>249</v>
      </c>
      <c r="I57" s="182">
        <v>50</v>
      </c>
      <c r="J57" s="182">
        <v>199</v>
      </c>
      <c r="K57" s="182">
        <v>13</v>
      </c>
      <c r="L57" s="182">
        <v>4</v>
      </c>
      <c r="M57" s="182">
        <v>9</v>
      </c>
      <c r="N57" s="182">
        <v>41</v>
      </c>
      <c r="O57" s="182">
        <v>15</v>
      </c>
      <c r="P57" s="182">
        <v>264</v>
      </c>
      <c r="Q57" s="182">
        <v>122</v>
      </c>
      <c r="R57" s="182">
        <v>198</v>
      </c>
      <c r="S57" s="182">
        <v>24</v>
      </c>
      <c r="T57" s="182">
        <v>38</v>
      </c>
      <c r="U57" s="180"/>
    </row>
    <row r="58" spans="1:21" ht="18" customHeight="1">
      <c r="A58" s="172">
        <v>2015</v>
      </c>
      <c r="B58" s="155" t="s">
        <v>496</v>
      </c>
      <c r="C58" s="152" t="s">
        <v>47</v>
      </c>
      <c r="D58" s="152" t="s">
        <v>497</v>
      </c>
      <c r="E58" s="152" t="s">
        <v>498</v>
      </c>
      <c r="F58" s="155" t="s">
        <v>45</v>
      </c>
      <c r="G58" s="182">
        <v>390</v>
      </c>
      <c r="H58" s="182">
        <v>304</v>
      </c>
      <c r="I58" s="182">
        <v>224</v>
      </c>
      <c r="J58" s="182">
        <v>80</v>
      </c>
      <c r="K58" s="182">
        <v>96</v>
      </c>
      <c r="L58" s="182">
        <v>90</v>
      </c>
      <c r="M58" s="182">
        <v>6</v>
      </c>
      <c r="N58" s="182">
        <v>53</v>
      </c>
      <c r="O58" s="182">
        <v>25</v>
      </c>
      <c r="P58" s="182">
        <v>312</v>
      </c>
      <c r="Q58" s="182">
        <v>131</v>
      </c>
      <c r="R58" s="182">
        <v>259</v>
      </c>
      <c r="S58" s="182">
        <v>31</v>
      </c>
      <c r="T58" s="182">
        <v>97</v>
      </c>
      <c r="U58" s="180"/>
    </row>
    <row r="59" spans="1:21" ht="18" customHeight="1">
      <c r="A59" s="172">
        <v>2015</v>
      </c>
      <c r="B59" s="155" t="s">
        <v>53</v>
      </c>
      <c r="C59" s="152" t="s">
        <v>54</v>
      </c>
      <c r="D59" s="152" t="s">
        <v>499</v>
      </c>
      <c r="E59" s="152" t="s">
        <v>498</v>
      </c>
      <c r="F59" s="155" t="s">
        <v>45</v>
      </c>
      <c r="G59" s="182">
        <v>154</v>
      </c>
      <c r="H59" s="182">
        <v>122</v>
      </c>
      <c r="I59" s="182">
        <v>98</v>
      </c>
      <c r="J59" s="182">
        <v>24</v>
      </c>
      <c r="K59" s="182">
        <v>4</v>
      </c>
      <c r="L59" s="182">
        <v>1</v>
      </c>
      <c r="M59" s="182">
        <v>3</v>
      </c>
      <c r="N59" s="182">
        <v>15</v>
      </c>
      <c r="O59" s="182">
        <v>15</v>
      </c>
      <c r="P59" s="182">
        <v>124</v>
      </c>
      <c r="Q59" s="182">
        <v>76</v>
      </c>
      <c r="R59" s="182">
        <v>77</v>
      </c>
      <c r="S59" s="182">
        <v>9</v>
      </c>
      <c r="T59" s="182">
        <v>17</v>
      </c>
      <c r="U59" s="180"/>
    </row>
    <row r="60" spans="1:21" ht="18" customHeight="1">
      <c r="A60" s="172">
        <v>2015</v>
      </c>
      <c r="B60" s="155" t="s">
        <v>500</v>
      </c>
      <c r="C60" s="152" t="s">
        <v>61</v>
      </c>
      <c r="D60" s="152" t="s">
        <v>501</v>
      </c>
      <c r="E60" s="152" t="s">
        <v>498</v>
      </c>
      <c r="F60" s="155" t="s">
        <v>45</v>
      </c>
      <c r="G60" s="182">
        <v>907</v>
      </c>
      <c r="H60" s="182">
        <v>726</v>
      </c>
      <c r="I60" s="182">
        <v>626</v>
      </c>
      <c r="J60" s="182">
        <v>100</v>
      </c>
      <c r="K60" s="182">
        <v>88</v>
      </c>
      <c r="L60" s="182">
        <v>80</v>
      </c>
      <c r="M60" s="182">
        <v>8</v>
      </c>
      <c r="N60" s="182">
        <v>127</v>
      </c>
      <c r="O60" s="182">
        <v>86</v>
      </c>
      <c r="P60" s="182">
        <v>694</v>
      </c>
      <c r="Q60" s="182">
        <v>290</v>
      </c>
      <c r="R60" s="182">
        <v>615</v>
      </c>
      <c r="S60" s="182">
        <v>62</v>
      </c>
      <c r="T60" s="182">
        <v>90</v>
      </c>
      <c r="U60" s="180"/>
    </row>
    <row r="61" spans="1:21" ht="18" customHeight="1">
      <c r="A61" s="172">
        <v>2015</v>
      </c>
      <c r="B61" s="155" t="s">
        <v>502</v>
      </c>
      <c r="C61" s="152" t="s">
        <v>70</v>
      </c>
      <c r="D61" s="152" t="s">
        <v>501</v>
      </c>
      <c r="E61" s="152" t="s">
        <v>498</v>
      </c>
      <c r="F61" s="155" t="s">
        <v>68</v>
      </c>
      <c r="G61" s="182">
        <v>762</v>
      </c>
      <c r="H61" s="182">
        <v>624</v>
      </c>
      <c r="I61" s="182">
        <v>288</v>
      </c>
      <c r="J61" s="182">
        <v>336</v>
      </c>
      <c r="K61" s="182">
        <v>69</v>
      </c>
      <c r="L61" s="182">
        <v>21</v>
      </c>
      <c r="M61" s="182">
        <v>48</v>
      </c>
      <c r="N61" s="182">
        <v>115</v>
      </c>
      <c r="O61" s="182">
        <v>27</v>
      </c>
      <c r="P61" s="182">
        <v>620</v>
      </c>
      <c r="Q61" s="182">
        <v>295</v>
      </c>
      <c r="R61" s="182">
        <v>467</v>
      </c>
      <c r="S61" s="182">
        <v>34</v>
      </c>
      <c r="T61" s="182">
        <v>104</v>
      </c>
      <c r="U61" s="180"/>
    </row>
    <row r="62" spans="1:21" ht="18" customHeight="1">
      <c r="A62" s="172">
        <v>2015</v>
      </c>
      <c r="B62" s="155" t="s">
        <v>503</v>
      </c>
      <c r="C62" s="152" t="s">
        <v>76</v>
      </c>
      <c r="D62" s="152" t="s">
        <v>499</v>
      </c>
      <c r="E62" s="152" t="s">
        <v>498</v>
      </c>
      <c r="F62" s="155" t="s">
        <v>68</v>
      </c>
      <c r="G62" s="182">
        <v>809</v>
      </c>
      <c r="H62" s="182">
        <v>508</v>
      </c>
      <c r="I62" s="182">
        <v>314</v>
      </c>
      <c r="J62" s="182">
        <v>194</v>
      </c>
      <c r="K62" s="182">
        <v>79</v>
      </c>
      <c r="L62" s="182">
        <v>58</v>
      </c>
      <c r="M62" s="182">
        <v>21</v>
      </c>
      <c r="N62" s="182">
        <v>188</v>
      </c>
      <c r="O62" s="182">
        <v>59</v>
      </c>
      <c r="P62" s="182">
        <v>562</v>
      </c>
      <c r="Q62" s="182">
        <v>309</v>
      </c>
      <c r="R62" s="182">
        <v>500</v>
      </c>
      <c r="S62" s="182">
        <v>90</v>
      </c>
      <c r="T62" s="182">
        <v>75</v>
      </c>
      <c r="U62" s="180"/>
    </row>
    <row r="63" spans="1:21" ht="18" customHeight="1">
      <c r="A63" s="172">
        <v>2015</v>
      </c>
      <c r="B63" s="155" t="s">
        <v>504</v>
      </c>
      <c r="C63" s="152" t="s">
        <v>82</v>
      </c>
      <c r="D63" s="152" t="s">
        <v>499</v>
      </c>
      <c r="E63" s="152" t="s">
        <v>498</v>
      </c>
      <c r="F63" s="155" t="s">
        <v>68</v>
      </c>
      <c r="G63" s="182">
        <v>412</v>
      </c>
      <c r="H63" s="182">
        <v>343</v>
      </c>
      <c r="I63" s="182">
        <v>91</v>
      </c>
      <c r="J63" s="182">
        <v>252</v>
      </c>
      <c r="K63" s="182">
        <v>58</v>
      </c>
      <c r="L63" s="182">
        <v>8</v>
      </c>
      <c r="M63" s="182">
        <v>50</v>
      </c>
      <c r="N63" s="182">
        <v>37</v>
      </c>
      <c r="O63" s="182">
        <v>19</v>
      </c>
      <c r="P63" s="182">
        <v>356</v>
      </c>
      <c r="Q63" s="182">
        <v>157</v>
      </c>
      <c r="R63" s="182">
        <v>255</v>
      </c>
      <c r="S63" s="182">
        <v>28</v>
      </c>
      <c r="T63" s="182">
        <v>54</v>
      </c>
      <c r="U63" s="180"/>
    </row>
    <row r="64" spans="1:21" ht="18" customHeight="1">
      <c r="A64" s="172">
        <v>2014</v>
      </c>
      <c r="B64" s="155" t="s">
        <v>496</v>
      </c>
      <c r="C64" s="152" t="s">
        <v>47</v>
      </c>
      <c r="D64" s="152" t="s">
        <v>497</v>
      </c>
      <c r="E64" s="152" t="s">
        <v>498</v>
      </c>
      <c r="F64" s="155" t="s">
        <v>45</v>
      </c>
      <c r="G64" s="182">
        <v>655</v>
      </c>
      <c r="H64" s="182">
        <v>373</v>
      </c>
      <c r="I64" s="182">
        <v>247</v>
      </c>
      <c r="J64" s="182">
        <v>126</v>
      </c>
      <c r="K64" s="182">
        <v>68</v>
      </c>
      <c r="L64" s="182">
        <v>54</v>
      </c>
      <c r="M64" s="182">
        <v>14</v>
      </c>
      <c r="N64" s="182">
        <v>245</v>
      </c>
      <c r="O64" s="182">
        <v>32</v>
      </c>
      <c r="P64" s="182">
        <v>378</v>
      </c>
      <c r="Q64" s="182">
        <v>278</v>
      </c>
      <c r="R64" s="182">
        <v>377</v>
      </c>
      <c r="S64" s="182">
        <v>84</v>
      </c>
      <c r="T64" s="182">
        <v>119</v>
      </c>
      <c r="U64" s="180"/>
    </row>
    <row r="65" spans="1:21" ht="18" customHeight="1">
      <c r="A65" s="172">
        <v>2014</v>
      </c>
      <c r="B65" s="155" t="s">
        <v>53</v>
      </c>
      <c r="C65" s="152" t="s">
        <v>54</v>
      </c>
      <c r="D65" s="152" t="s">
        <v>499</v>
      </c>
      <c r="E65" s="152" t="s">
        <v>498</v>
      </c>
      <c r="F65" s="155" t="s">
        <v>45</v>
      </c>
      <c r="G65" s="182">
        <v>141</v>
      </c>
      <c r="H65" s="182">
        <v>111</v>
      </c>
      <c r="I65" s="182">
        <v>98</v>
      </c>
      <c r="J65" s="182">
        <v>13</v>
      </c>
      <c r="K65" s="182">
        <v>5</v>
      </c>
      <c r="L65" s="182">
        <v>2</v>
      </c>
      <c r="M65" s="182">
        <v>3</v>
      </c>
      <c r="N65" s="182">
        <v>21</v>
      </c>
      <c r="O65" s="182">
        <v>1</v>
      </c>
      <c r="P65" s="182">
        <v>119</v>
      </c>
      <c r="Q65" s="182">
        <v>42</v>
      </c>
      <c r="R65" s="182">
        <v>99</v>
      </c>
      <c r="S65" s="182">
        <v>9</v>
      </c>
      <c r="T65" s="182">
        <v>28</v>
      </c>
      <c r="U65" s="180"/>
    </row>
    <row r="66" spans="1:21" ht="18" customHeight="1">
      <c r="A66" s="172">
        <v>2014</v>
      </c>
      <c r="B66" s="155" t="s">
        <v>500</v>
      </c>
      <c r="C66" s="152" t="s">
        <v>61</v>
      </c>
      <c r="D66" s="152" t="s">
        <v>501</v>
      </c>
      <c r="E66" s="152" t="s">
        <v>498</v>
      </c>
      <c r="F66" s="155" t="s">
        <v>45</v>
      </c>
      <c r="G66" s="182">
        <v>876</v>
      </c>
      <c r="H66" s="182">
        <v>709</v>
      </c>
      <c r="I66" s="182">
        <v>674</v>
      </c>
      <c r="J66" s="182">
        <v>35</v>
      </c>
      <c r="K66" s="182">
        <v>64</v>
      </c>
      <c r="L66" s="182">
        <v>57</v>
      </c>
      <c r="M66" s="182">
        <v>7</v>
      </c>
      <c r="N66" s="182">
        <v>115</v>
      </c>
      <c r="O66" s="182">
        <v>72</v>
      </c>
      <c r="P66" s="182">
        <v>689</v>
      </c>
      <c r="Q66" s="182">
        <v>443</v>
      </c>
      <c r="R66" s="182">
        <v>430</v>
      </c>
      <c r="S66" s="182">
        <v>60</v>
      </c>
      <c r="T66" s="182">
        <v>43</v>
      </c>
      <c r="U66" s="180"/>
    </row>
    <row r="67" spans="1:21" ht="18" customHeight="1">
      <c r="A67" s="172">
        <v>2014</v>
      </c>
      <c r="B67" s="155" t="s">
        <v>502</v>
      </c>
      <c r="C67" s="152" t="s">
        <v>70</v>
      </c>
      <c r="D67" s="152" t="s">
        <v>501</v>
      </c>
      <c r="E67" s="152" t="s">
        <v>498</v>
      </c>
      <c r="F67" s="155" t="s">
        <v>68</v>
      </c>
      <c r="G67" s="182">
        <v>846</v>
      </c>
      <c r="H67" s="182">
        <v>689</v>
      </c>
      <c r="I67" s="182">
        <v>354</v>
      </c>
      <c r="J67" s="182">
        <v>335</v>
      </c>
      <c r="K67" s="182">
        <v>144</v>
      </c>
      <c r="L67" s="182">
        <v>123</v>
      </c>
      <c r="M67" s="182">
        <v>21</v>
      </c>
      <c r="N67" s="182">
        <v>124</v>
      </c>
      <c r="O67" s="182">
        <v>103</v>
      </c>
      <c r="P67" s="182">
        <v>619</v>
      </c>
      <c r="Q67" s="182">
        <v>270</v>
      </c>
      <c r="R67" s="182">
        <v>570</v>
      </c>
      <c r="S67" s="182">
        <v>53</v>
      </c>
      <c r="T67" s="182">
        <v>171</v>
      </c>
      <c r="U67" s="180"/>
    </row>
    <row r="68" spans="1:21" ht="18" customHeight="1">
      <c r="A68" s="172">
        <v>2014</v>
      </c>
      <c r="B68" s="155" t="s">
        <v>503</v>
      </c>
      <c r="C68" s="152" t="s">
        <v>76</v>
      </c>
      <c r="D68" s="152" t="s">
        <v>499</v>
      </c>
      <c r="E68" s="152" t="s">
        <v>498</v>
      </c>
      <c r="F68" s="155" t="s">
        <v>68</v>
      </c>
      <c r="G68" s="182">
        <v>954</v>
      </c>
      <c r="H68" s="182">
        <v>684</v>
      </c>
      <c r="I68" s="182">
        <v>470</v>
      </c>
      <c r="J68" s="182">
        <v>214</v>
      </c>
      <c r="K68" s="182">
        <v>101</v>
      </c>
      <c r="L68" s="182">
        <v>87</v>
      </c>
      <c r="M68" s="182">
        <v>14</v>
      </c>
      <c r="N68" s="182">
        <v>183</v>
      </c>
      <c r="O68" s="182">
        <v>59</v>
      </c>
      <c r="P68" s="182">
        <v>712</v>
      </c>
      <c r="Q68" s="182">
        <v>347</v>
      </c>
      <c r="R68" s="182">
        <v>606</v>
      </c>
      <c r="S68" s="182">
        <v>90</v>
      </c>
      <c r="T68" s="182">
        <v>43</v>
      </c>
      <c r="U68" s="180"/>
    </row>
    <row r="69" spans="1:21" ht="18" customHeight="1">
      <c r="A69" s="172">
        <v>2014</v>
      </c>
      <c r="B69" s="155" t="s">
        <v>504</v>
      </c>
      <c r="C69" s="152" t="s">
        <v>82</v>
      </c>
      <c r="D69" s="152" t="s">
        <v>499</v>
      </c>
      <c r="E69" s="152" t="s">
        <v>498</v>
      </c>
      <c r="F69" s="155" t="s">
        <v>68</v>
      </c>
      <c r="G69" s="182">
        <v>426</v>
      </c>
      <c r="H69" s="182">
        <v>341</v>
      </c>
      <c r="I69" s="182">
        <v>109</v>
      </c>
      <c r="J69" s="182">
        <v>232</v>
      </c>
      <c r="K69" s="182">
        <v>34</v>
      </c>
      <c r="L69" s="182">
        <v>11</v>
      </c>
      <c r="M69" s="182">
        <v>23</v>
      </c>
      <c r="N69" s="182">
        <v>48</v>
      </c>
      <c r="O69" s="182">
        <v>22</v>
      </c>
      <c r="P69" s="182">
        <v>356</v>
      </c>
      <c r="Q69" s="182">
        <v>165</v>
      </c>
      <c r="R69" s="182">
        <v>261</v>
      </c>
      <c r="S69" s="182">
        <v>36</v>
      </c>
      <c r="T69" s="182">
        <v>61</v>
      </c>
      <c r="U69" s="180"/>
    </row>
    <row r="70" spans="1:21" ht="18" customHeight="1">
      <c r="A70" s="172">
        <v>2013</v>
      </c>
      <c r="B70" s="155" t="s">
        <v>496</v>
      </c>
      <c r="C70" s="152" t="s">
        <v>47</v>
      </c>
      <c r="D70" s="152" t="s">
        <v>497</v>
      </c>
      <c r="E70" s="152" t="s">
        <v>498</v>
      </c>
      <c r="F70" s="155" t="s">
        <v>45</v>
      </c>
      <c r="G70" s="182">
        <v>692</v>
      </c>
      <c r="H70" s="182">
        <v>399</v>
      </c>
      <c r="I70" s="182">
        <v>250</v>
      </c>
      <c r="J70" s="182">
        <v>149</v>
      </c>
      <c r="K70" s="182">
        <v>97</v>
      </c>
      <c r="L70" s="182">
        <v>74</v>
      </c>
      <c r="M70" s="182">
        <v>23</v>
      </c>
      <c r="N70" s="182">
        <v>190</v>
      </c>
      <c r="O70" s="182">
        <v>50</v>
      </c>
      <c r="P70" s="182">
        <v>452</v>
      </c>
      <c r="Q70" s="155" t="s">
        <v>505</v>
      </c>
      <c r="R70" s="155" t="s">
        <v>505</v>
      </c>
      <c r="S70" s="182">
        <v>94</v>
      </c>
      <c r="T70" s="182">
        <v>153</v>
      </c>
      <c r="U70" s="180"/>
    </row>
    <row r="71" spans="1:21" ht="18" customHeight="1">
      <c r="A71" s="172">
        <v>2013</v>
      </c>
      <c r="B71" s="155" t="s">
        <v>53</v>
      </c>
      <c r="C71" s="152" t="s">
        <v>54</v>
      </c>
      <c r="D71" s="152" t="s">
        <v>499</v>
      </c>
      <c r="E71" s="152" t="s">
        <v>498</v>
      </c>
      <c r="F71" s="155" t="s">
        <v>45</v>
      </c>
      <c r="G71" s="182">
        <v>118</v>
      </c>
      <c r="H71" s="182">
        <v>92</v>
      </c>
      <c r="I71" s="182">
        <v>63</v>
      </c>
      <c r="J71" s="182">
        <v>29</v>
      </c>
      <c r="K71" s="182">
        <v>24</v>
      </c>
      <c r="L71" s="182">
        <v>22</v>
      </c>
      <c r="M71" s="182">
        <v>2</v>
      </c>
      <c r="N71" s="182">
        <v>18</v>
      </c>
      <c r="O71" s="182">
        <v>3</v>
      </c>
      <c r="P71" s="182">
        <v>97</v>
      </c>
      <c r="Q71" s="155" t="s">
        <v>505</v>
      </c>
      <c r="R71" s="155" t="s">
        <v>505</v>
      </c>
      <c r="S71" s="182">
        <v>7</v>
      </c>
      <c r="T71" s="182">
        <v>7</v>
      </c>
      <c r="U71" s="180"/>
    </row>
    <row r="72" spans="1:21" ht="18" customHeight="1">
      <c r="A72" s="172">
        <v>2013</v>
      </c>
      <c r="B72" s="155" t="s">
        <v>500</v>
      </c>
      <c r="C72" s="152" t="s">
        <v>61</v>
      </c>
      <c r="D72" s="152" t="s">
        <v>501</v>
      </c>
      <c r="E72" s="152" t="s">
        <v>498</v>
      </c>
      <c r="F72" s="155" t="s">
        <v>45</v>
      </c>
      <c r="G72" s="182">
        <v>1061</v>
      </c>
      <c r="H72" s="182">
        <v>972</v>
      </c>
      <c r="I72" s="182">
        <v>821</v>
      </c>
      <c r="J72" s="182">
        <v>151</v>
      </c>
      <c r="K72" s="182">
        <v>126</v>
      </c>
      <c r="L72" s="182">
        <v>72</v>
      </c>
      <c r="M72" s="182">
        <v>54</v>
      </c>
      <c r="N72" s="182">
        <v>90</v>
      </c>
      <c r="O72" s="182">
        <v>170</v>
      </c>
      <c r="P72" s="182">
        <v>801</v>
      </c>
      <c r="Q72" s="155" t="s">
        <v>505</v>
      </c>
      <c r="R72" s="155" t="s">
        <v>505</v>
      </c>
      <c r="S72" s="182">
        <v>29</v>
      </c>
      <c r="T72" s="182">
        <v>81</v>
      </c>
      <c r="U72" s="180"/>
    </row>
    <row r="73" spans="1:21" ht="18" customHeight="1">
      <c r="A73" s="172">
        <v>2013</v>
      </c>
      <c r="B73" s="155" t="s">
        <v>502</v>
      </c>
      <c r="C73" s="152" t="s">
        <v>70</v>
      </c>
      <c r="D73" s="152" t="s">
        <v>501</v>
      </c>
      <c r="E73" s="152" t="s">
        <v>498</v>
      </c>
      <c r="F73" s="155" t="s">
        <v>68</v>
      </c>
      <c r="G73" s="182">
        <v>760</v>
      </c>
      <c r="H73" s="182">
        <v>641</v>
      </c>
      <c r="I73" s="182">
        <v>201</v>
      </c>
      <c r="J73" s="182">
        <v>440</v>
      </c>
      <c r="K73" s="182">
        <v>47</v>
      </c>
      <c r="L73" s="182">
        <v>25</v>
      </c>
      <c r="M73" s="182">
        <v>22</v>
      </c>
      <c r="N73" s="182">
        <v>79</v>
      </c>
      <c r="O73" s="182">
        <v>60</v>
      </c>
      <c r="P73" s="182">
        <v>621</v>
      </c>
      <c r="Q73" s="155" t="s">
        <v>505</v>
      </c>
      <c r="R73" s="155" t="s">
        <v>505</v>
      </c>
      <c r="S73" s="182">
        <v>57</v>
      </c>
      <c r="T73" s="182">
        <v>270</v>
      </c>
      <c r="U73" s="180"/>
    </row>
    <row r="74" spans="1:21" ht="18" customHeight="1">
      <c r="A74" s="172">
        <v>2013</v>
      </c>
      <c r="B74" s="155" t="s">
        <v>503</v>
      </c>
      <c r="C74" s="152" t="s">
        <v>76</v>
      </c>
      <c r="D74" s="152" t="s">
        <v>499</v>
      </c>
      <c r="E74" s="152" t="s">
        <v>498</v>
      </c>
      <c r="F74" s="155" t="s">
        <v>68</v>
      </c>
      <c r="G74" s="182">
        <v>1052</v>
      </c>
      <c r="H74" s="182">
        <v>707</v>
      </c>
      <c r="I74" s="182">
        <v>415</v>
      </c>
      <c r="J74" s="182">
        <v>292</v>
      </c>
      <c r="K74" s="182">
        <v>117</v>
      </c>
      <c r="L74" s="182">
        <v>85</v>
      </c>
      <c r="M74" s="182">
        <v>32</v>
      </c>
      <c r="N74" s="182">
        <v>297</v>
      </c>
      <c r="O74" s="182">
        <v>80</v>
      </c>
      <c r="P74" s="182">
        <v>675</v>
      </c>
      <c r="Q74" s="155" t="s">
        <v>505</v>
      </c>
      <c r="R74" s="155" t="s">
        <v>505</v>
      </c>
      <c r="S74" s="182">
        <v>82</v>
      </c>
      <c r="T74" s="182">
        <v>58</v>
      </c>
      <c r="U74" s="180"/>
    </row>
    <row r="75" spans="1:21" ht="18" customHeight="1">
      <c r="A75" s="172">
        <v>2013</v>
      </c>
      <c r="B75" s="155" t="s">
        <v>504</v>
      </c>
      <c r="C75" s="152" t="s">
        <v>82</v>
      </c>
      <c r="D75" s="152" t="s">
        <v>499</v>
      </c>
      <c r="E75" s="152" t="s">
        <v>498</v>
      </c>
      <c r="F75" s="155" t="s">
        <v>68</v>
      </c>
      <c r="G75" s="182">
        <v>591</v>
      </c>
      <c r="H75" s="182">
        <v>405</v>
      </c>
      <c r="I75" s="182">
        <v>32</v>
      </c>
      <c r="J75" s="182">
        <v>373</v>
      </c>
      <c r="K75" s="182">
        <v>46</v>
      </c>
      <c r="L75" s="182">
        <v>19</v>
      </c>
      <c r="M75" s="182">
        <v>27</v>
      </c>
      <c r="N75" s="182">
        <v>52</v>
      </c>
      <c r="O75" s="182">
        <v>189</v>
      </c>
      <c r="P75" s="182">
        <v>350</v>
      </c>
      <c r="Q75" s="155" t="s">
        <v>505</v>
      </c>
      <c r="R75" s="155" t="s">
        <v>505</v>
      </c>
      <c r="S75" s="182">
        <v>53</v>
      </c>
      <c r="T75" s="182">
        <v>80</v>
      </c>
      <c r="U75" s="180"/>
    </row>
    <row r="76" spans="1:21" ht="18" customHeight="1">
      <c r="A76" s="172">
        <v>2012</v>
      </c>
      <c r="B76" s="155" t="s">
        <v>496</v>
      </c>
      <c r="C76" s="152" t="s">
        <v>47</v>
      </c>
      <c r="D76" s="152" t="s">
        <v>497</v>
      </c>
      <c r="E76" s="152" t="s">
        <v>498</v>
      </c>
      <c r="F76" s="155" t="s">
        <v>45</v>
      </c>
      <c r="G76" s="182">
        <v>804</v>
      </c>
      <c r="H76" s="182">
        <v>477</v>
      </c>
      <c r="I76" s="182">
        <v>299</v>
      </c>
      <c r="J76" s="182">
        <v>178</v>
      </c>
      <c r="K76" s="182">
        <v>129</v>
      </c>
      <c r="L76" s="182">
        <v>92</v>
      </c>
      <c r="M76" s="182">
        <v>37</v>
      </c>
      <c r="N76" s="182">
        <v>4</v>
      </c>
      <c r="O76" s="155" t="s">
        <v>505</v>
      </c>
      <c r="P76" s="155" t="s">
        <v>505</v>
      </c>
      <c r="Q76" s="155" t="s">
        <v>505</v>
      </c>
      <c r="R76" s="155" t="s">
        <v>505</v>
      </c>
      <c r="S76" s="182">
        <v>102</v>
      </c>
      <c r="T76" s="182">
        <v>122</v>
      </c>
      <c r="U76" s="180"/>
    </row>
    <row r="77" spans="1:21" ht="18" customHeight="1">
      <c r="A77" s="172">
        <v>2012</v>
      </c>
      <c r="B77" s="155" t="s">
        <v>53</v>
      </c>
      <c r="C77" s="152" t="s">
        <v>54</v>
      </c>
      <c r="D77" s="152" t="s">
        <v>499</v>
      </c>
      <c r="E77" s="152" t="s">
        <v>498</v>
      </c>
      <c r="F77" s="155" t="s">
        <v>45</v>
      </c>
      <c r="G77" s="182">
        <v>188</v>
      </c>
      <c r="H77" s="182">
        <v>156</v>
      </c>
      <c r="I77" s="182">
        <v>141</v>
      </c>
      <c r="J77" s="182">
        <v>15</v>
      </c>
      <c r="K77" s="182">
        <v>33</v>
      </c>
      <c r="L77" s="182">
        <v>31</v>
      </c>
      <c r="M77" s="182">
        <v>2</v>
      </c>
      <c r="N77" s="182">
        <v>0</v>
      </c>
      <c r="O77" s="155" t="s">
        <v>505</v>
      </c>
      <c r="P77" s="155" t="s">
        <v>505</v>
      </c>
      <c r="Q77" s="155" t="s">
        <v>505</v>
      </c>
      <c r="R77" s="155" t="s">
        <v>505</v>
      </c>
      <c r="S77" s="182">
        <v>9</v>
      </c>
      <c r="T77" s="182">
        <v>12</v>
      </c>
      <c r="U77" s="180"/>
    </row>
    <row r="78" spans="1:21" ht="18" customHeight="1">
      <c r="A78" s="172">
        <v>2012</v>
      </c>
      <c r="B78" s="155" t="s">
        <v>500</v>
      </c>
      <c r="C78" s="152" t="s">
        <v>61</v>
      </c>
      <c r="D78" s="152" t="s">
        <v>501</v>
      </c>
      <c r="E78" s="152" t="s">
        <v>498</v>
      </c>
      <c r="F78" s="155" t="s">
        <v>45</v>
      </c>
      <c r="G78" s="182">
        <v>826</v>
      </c>
      <c r="H78" s="182">
        <v>767</v>
      </c>
      <c r="I78" s="182">
        <v>631</v>
      </c>
      <c r="J78" s="182">
        <v>136</v>
      </c>
      <c r="K78" s="182">
        <v>44</v>
      </c>
      <c r="L78" s="182">
        <v>40</v>
      </c>
      <c r="M78" s="182">
        <v>4</v>
      </c>
      <c r="N78" s="182">
        <v>15</v>
      </c>
      <c r="O78" s="155" t="s">
        <v>505</v>
      </c>
      <c r="P78" s="155" t="s">
        <v>505</v>
      </c>
      <c r="Q78" s="155" t="s">
        <v>505</v>
      </c>
      <c r="R78" s="155" t="s">
        <v>505</v>
      </c>
      <c r="S78" s="182">
        <v>26</v>
      </c>
      <c r="T78" s="182">
        <v>97</v>
      </c>
      <c r="U78" s="180"/>
    </row>
    <row r="79" spans="1:21" ht="18" customHeight="1">
      <c r="A79" s="172">
        <v>2012</v>
      </c>
      <c r="B79" s="155" t="s">
        <v>502</v>
      </c>
      <c r="C79" s="152" t="s">
        <v>70</v>
      </c>
      <c r="D79" s="152" t="s">
        <v>501</v>
      </c>
      <c r="E79" s="152" t="s">
        <v>498</v>
      </c>
      <c r="F79" s="155" t="s">
        <v>68</v>
      </c>
      <c r="G79" s="182">
        <v>1037</v>
      </c>
      <c r="H79" s="182">
        <v>883</v>
      </c>
      <c r="I79" s="182">
        <v>230</v>
      </c>
      <c r="J79" s="182">
        <v>653</v>
      </c>
      <c r="K79" s="182">
        <v>140</v>
      </c>
      <c r="L79" s="182">
        <v>13</v>
      </c>
      <c r="M79" s="182">
        <v>127</v>
      </c>
      <c r="N79" s="182">
        <v>0</v>
      </c>
      <c r="O79" s="155" t="s">
        <v>505</v>
      </c>
      <c r="P79" s="155" t="s">
        <v>505</v>
      </c>
      <c r="Q79" s="155" t="s">
        <v>505</v>
      </c>
      <c r="R79" s="155" t="s">
        <v>505</v>
      </c>
      <c r="S79" s="182">
        <v>77</v>
      </c>
      <c r="T79" s="182">
        <v>277</v>
      </c>
      <c r="U79" s="180"/>
    </row>
    <row r="80" spans="1:21" ht="18" customHeight="1">
      <c r="A80" s="172">
        <v>2012</v>
      </c>
      <c r="B80" s="155" t="s">
        <v>503</v>
      </c>
      <c r="C80" s="152" t="s">
        <v>76</v>
      </c>
      <c r="D80" s="152" t="s">
        <v>499</v>
      </c>
      <c r="E80" s="152" t="s">
        <v>498</v>
      </c>
      <c r="F80" s="155" t="s">
        <v>68</v>
      </c>
      <c r="G80" s="182">
        <v>1018</v>
      </c>
      <c r="H80" s="182">
        <v>646</v>
      </c>
      <c r="I80" s="182">
        <v>351</v>
      </c>
      <c r="J80" s="182">
        <v>295</v>
      </c>
      <c r="K80" s="182">
        <v>59</v>
      </c>
      <c r="L80" s="182">
        <v>39</v>
      </c>
      <c r="M80" s="182">
        <v>20</v>
      </c>
      <c r="N80" s="182">
        <v>42</v>
      </c>
      <c r="O80" s="155" t="s">
        <v>505</v>
      </c>
      <c r="P80" s="155" t="s">
        <v>505</v>
      </c>
      <c r="Q80" s="155" t="s">
        <v>505</v>
      </c>
      <c r="R80" s="155" t="s">
        <v>505</v>
      </c>
      <c r="S80" s="182">
        <v>113</v>
      </c>
      <c r="T80" s="182">
        <v>95</v>
      </c>
      <c r="U80" s="180"/>
    </row>
    <row r="81" spans="1:21" ht="18" customHeight="1">
      <c r="A81" s="172">
        <v>2012</v>
      </c>
      <c r="B81" s="155" t="s">
        <v>504</v>
      </c>
      <c r="C81" s="152" t="s">
        <v>82</v>
      </c>
      <c r="D81" s="152" t="s">
        <v>499</v>
      </c>
      <c r="E81" s="152" t="s">
        <v>498</v>
      </c>
      <c r="F81" s="155" t="s">
        <v>68</v>
      </c>
      <c r="G81" s="182">
        <v>358</v>
      </c>
      <c r="H81" s="182">
        <v>265</v>
      </c>
      <c r="I81" s="182">
        <v>45</v>
      </c>
      <c r="J81" s="182">
        <v>220</v>
      </c>
      <c r="K81" s="182">
        <v>45</v>
      </c>
      <c r="L81" s="182">
        <v>19</v>
      </c>
      <c r="M81" s="182">
        <v>26</v>
      </c>
      <c r="N81" s="182">
        <v>0</v>
      </c>
      <c r="O81" s="155" t="s">
        <v>505</v>
      </c>
      <c r="P81" s="155" t="s">
        <v>505</v>
      </c>
      <c r="Q81" s="155" t="s">
        <v>505</v>
      </c>
      <c r="R81" s="155" t="s">
        <v>505</v>
      </c>
      <c r="S81" s="182">
        <v>31</v>
      </c>
      <c r="T81" s="182">
        <v>78</v>
      </c>
      <c r="U81" s="180"/>
    </row>
    <row r="82" spans="1:21" ht="18" customHeight="1">
      <c r="A82" s="172">
        <v>2011</v>
      </c>
      <c r="B82" s="155" t="s">
        <v>496</v>
      </c>
      <c r="C82" s="152" t="s">
        <v>47</v>
      </c>
      <c r="D82" s="152" t="s">
        <v>497</v>
      </c>
      <c r="E82" s="152" t="s">
        <v>498</v>
      </c>
      <c r="F82" s="155" t="s">
        <v>45</v>
      </c>
      <c r="G82" s="182">
        <v>733</v>
      </c>
      <c r="H82" s="182">
        <v>471</v>
      </c>
      <c r="I82" s="182">
        <v>315</v>
      </c>
      <c r="J82" s="182">
        <v>156</v>
      </c>
      <c r="K82" s="182">
        <v>162</v>
      </c>
      <c r="L82" s="182">
        <v>122</v>
      </c>
      <c r="M82" s="182">
        <v>40</v>
      </c>
      <c r="N82" s="182">
        <v>3</v>
      </c>
      <c r="O82" s="155" t="s">
        <v>505</v>
      </c>
      <c r="P82" s="155" t="s">
        <v>505</v>
      </c>
      <c r="Q82" s="155" t="s">
        <v>505</v>
      </c>
      <c r="R82" s="155" t="s">
        <v>505</v>
      </c>
      <c r="S82" s="182">
        <v>81</v>
      </c>
      <c r="T82" s="182">
        <v>94</v>
      </c>
      <c r="U82" s="180"/>
    </row>
    <row r="83" spans="1:21" ht="18" customHeight="1">
      <c r="A83" s="172">
        <v>2011</v>
      </c>
      <c r="B83" s="155" t="s">
        <v>53</v>
      </c>
      <c r="C83" s="152" t="s">
        <v>54</v>
      </c>
      <c r="D83" s="152" t="s">
        <v>499</v>
      </c>
      <c r="E83" s="152" t="s">
        <v>498</v>
      </c>
      <c r="F83" s="155" t="s">
        <v>45</v>
      </c>
      <c r="G83" s="182">
        <v>208</v>
      </c>
      <c r="H83" s="182">
        <v>162</v>
      </c>
      <c r="I83" s="182">
        <v>127</v>
      </c>
      <c r="J83" s="182">
        <v>35</v>
      </c>
      <c r="K83" s="182">
        <v>21</v>
      </c>
      <c r="L83" s="182">
        <v>9</v>
      </c>
      <c r="M83" s="182">
        <v>12</v>
      </c>
      <c r="N83" s="182">
        <v>0</v>
      </c>
      <c r="O83" s="155" t="s">
        <v>505</v>
      </c>
      <c r="P83" s="155" t="s">
        <v>505</v>
      </c>
      <c r="Q83" s="155" t="s">
        <v>505</v>
      </c>
      <c r="R83" s="155" t="s">
        <v>505</v>
      </c>
      <c r="S83" s="182">
        <v>18</v>
      </c>
      <c r="T83" s="182">
        <v>27</v>
      </c>
      <c r="U83" s="180"/>
    </row>
    <row r="84" spans="1:21" ht="18" customHeight="1">
      <c r="A84" s="172">
        <v>2011</v>
      </c>
      <c r="B84" s="155" t="s">
        <v>500</v>
      </c>
      <c r="C84" s="152" t="s">
        <v>61</v>
      </c>
      <c r="D84" s="152" t="s">
        <v>501</v>
      </c>
      <c r="E84" s="152" t="s">
        <v>498</v>
      </c>
      <c r="F84" s="155" t="s">
        <v>45</v>
      </c>
      <c r="G84" s="182">
        <v>578</v>
      </c>
      <c r="H84" s="182">
        <v>509</v>
      </c>
      <c r="I84" s="182">
        <v>374</v>
      </c>
      <c r="J84" s="182">
        <v>135</v>
      </c>
      <c r="K84" s="182">
        <v>143</v>
      </c>
      <c r="L84" s="182">
        <v>121</v>
      </c>
      <c r="M84" s="182">
        <v>22</v>
      </c>
      <c r="N84" s="182">
        <v>7</v>
      </c>
      <c r="O84" s="155" t="s">
        <v>505</v>
      </c>
      <c r="P84" s="155" t="s">
        <v>505</v>
      </c>
      <c r="Q84" s="155" t="s">
        <v>505</v>
      </c>
      <c r="R84" s="155" t="s">
        <v>505</v>
      </c>
      <c r="S84" s="182">
        <v>28</v>
      </c>
      <c r="T84" s="182">
        <v>127</v>
      </c>
      <c r="U84" s="180"/>
    </row>
    <row r="85" spans="1:21" ht="18" customHeight="1">
      <c r="A85" s="172">
        <v>2011</v>
      </c>
      <c r="B85" s="155" t="s">
        <v>502</v>
      </c>
      <c r="C85" s="152" t="s">
        <v>70</v>
      </c>
      <c r="D85" s="152" t="s">
        <v>501</v>
      </c>
      <c r="E85" s="152" t="s">
        <v>498</v>
      </c>
      <c r="F85" s="155" t="s">
        <v>68</v>
      </c>
      <c r="G85" s="182">
        <v>826</v>
      </c>
      <c r="H85" s="182">
        <v>821</v>
      </c>
      <c r="I85" s="182">
        <v>385</v>
      </c>
      <c r="J85" s="182">
        <v>436</v>
      </c>
      <c r="K85" s="182">
        <v>93</v>
      </c>
      <c r="L85" s="182">
        <v>54</v>
      </c>
      <c r="M85" s="182">
        <v>39</v>
      </c>
      <c r="N85" s="182">
        <v>11</v>
      </c>
      <c r="O85" s="155" t="s">
        <v>505</v>
      </c>
      <c r="P85" s="155" t="s">
        <v>505</v>
      </c>
      <c r="Q85" s="155" t="s">
        <v>505</v>
      </c>
      <c r="R85" s="155" t="s">
        <v>505</v>
      </c>
      <c r="S85" s="182">
        <v>1</v>
      </c>
      <c r="T85" s="182">
        <v>191</v>
      </c>
      <c r="U85" s="180"/>
    </row>
    <row r="86" spans="1:21" ht="18" customHeight="1">
      <c r="A86" s="172">
        <v>2011</v>
      </c>
      <c r="B86" s="155" t="s">
        <v>503</v>
      </c>
      <c r="C86" s="152" t="s">
        <v>76</v>
      </c>
      <c r="D86" s="152" t="s">
        <v>499</v>
      </c>
      <c r="E86" s="152" t="s">
        <v>498</v>
      </c>
      <c r="F86" s="155" t="s">
        <v>68</v>
      </c>
      <c r="G86" s="182">
        <v>951</v>
      </c>
      <c r="H86" s="182">
        <v>532</v>
      </c>
      <c r="I86" s="182">
        <v>237</v>
      </c>
      <c r="J86" s="182">
        <v>295</v>
      </c>
      <c r="K86" s="182">
        <v>57</v>
      </c>
      <c r="L86" s="182">
        <v>37</v>
      </c>
      <c r="M86" s="182">
        <v>20</v>
      </c>
      <c r="N86" s="182">
        <v>6</v>
      </c>
      <c r="O86" s="155" t="s">
        <v>505</v>
      </c>
      <c r="P86" s="155" t="s">
        <v>505</v>
      </c>
      <c r="Q86" s="155" t="s">
        <v>505</v>
      </c>
      <c r="R86" s="155" t="s">
        <v>505</v>
      </c>
      <c r="S86" s="182">
        <v>124</v>
      </c>
      <c r="T86" s="182">
        <v>166</v>
      </c>
      <c r="U86" s="180"/>
    </row>
    <row r="87" spans="1:21" ht="18" customHeight="1">
      <c r="A87" s="172">
        <v>2011</v>
      </c>
      <c r="B87" s="155" t="s">
        <v>504</v>
      </c>
      <c r="C87" s="152" t="s">
        <v>82</v>
      </c>
      <c r="D87" s="152" t="s">
        <v>499</v>
      </c>
      <c r="E87" s="152" t="s">
        <v>498</v>
      </c>
      <c r="F87" s="155" t="s">
        <v>68</v>
      </c>
      <c r="G87" s="182">
        <v>529</v>
      </c>
      <c r="H87" s="182">
        <v>472</v>
      </c>
      <c r="I87" s="182">
        <v>112</v>
      </c>
      <c r="J87" s="182">
        <v>360</v>
      </c>
      <c r="K87" s="182">
        <v>55</v>
      </c>
      <c r="L87" s="182">
        <v>23</v>
      </c>
      <c r="M87" s="182">
        <v>32</v>
      </c>
      <c r="N87" s="182">
        <v>35</v>
      </c>
      <c r="O87" s="155" t="s">
        <v>505</v>
      </c>
      <c r="P87" s="155" t="s">
        <v>505</v>
      </c>
      <c r="Q87" s="155" t="s">
        <v>505</v>
      </c>
      <c r="R87" s="155" t="s">
        <v>505</v>
      </c>
      <c r="S87" s="182">
        <v>16</v>
      </c>
      <c r="T87" s="182">
        <v>81</v>
      </c>
      <c r="U87" s="180"/>
    </row>
    <row r="88" spans="1:21" ht="18" customHeight="1">
      <c r="A88" s="172">
        <v>2010</v>
      </c>
      <c r="B88" s="155" t="s">
        <v>496</v>
      </c>
      <c r="C88" s="152" t="s">
        <v>47</v>
      </c>
      <c r="D88" s="152" t="s">
        <v>497</v>
      </c>
      <c r="E88" s="152" t="s">
        <v>498</v>
      </c>
      <c r="F88" s="155" t="s">
        <v>45</v>
      </c>
      <c r="G88" s="182">
        <v>830</v>
      </c>
      <c r="H88" s="182">
        <v>461</v>
      </c>
      <c r="I88" s="182">
        <v>389</v>
      </c>
      <c r="J88" s="182">
        <v>72</v>
      </c>
      <c r="K88" s="155" t="s">
        <v>505</v>
      </c>
      <c r="L88" s="155" t="s">
        <v>505</v>
      </c>
      <c r="M88" s="155" t="s">
        <v>505</v>
      </c>
      <c r="N88" s="155" t="s">
        <v>505</v>
      </c>
      <c r="O88" s="155" t="s">
        <v>505</v>
      </c>
      <c r="P88" s="155" t="s">
        <v>505</v>
      </c>
      <c r="Q88" s="155" t="s">
        <v>505</v>
      </c>
      <c r="R88" s="155" t="s">
        <v>505</v>
      </c>
      <c r="S88" s="182">
        <v>116</v>
      </c>
      <c r="T88" s="182">
        <v>56</v>
      </c>
      <c r="U88" s="180"/>
    </row>
    <row r="89" spans="1:21" ht="18" customHeight="1">
      <c r="A89" s="172">
        <v>2010</v>
      </c>
      <c r="B89" s="155" t="s">
        <v>53</v>
      </c>
      <c r="C89" s="152" t="s">
        <v>54</v>
      </c>
      <c r="D89" s="152" t="s">
        <v>499</v>
      </c>
      <c r="E89" s="152" t="s">
        <v>498</v>
      </c>
      <c r="F89" s="155" t="s">
        <v>45</v>
      </c>
      <c r="G89" s="182">
        <v>151</v>
      </c>
      <c r="H89" s="182">
        <v>103</v>
      </c>
      <c r="I89" s="182">
        <v>74</v>
      </c>
      <c r="J89" s="182">
        <v>29</v>
      </c>
      <c r="K89" s="155" t="s">
        <v>505</v>
      </c>
      <c r="L89" s="155" t="s">
        <v>505</v>
      </c>
      <c r="M89" s="155" t="s">
        <v>505</v>
      </c>
      <c r="N89" s="155" t="s">
        <v>505</v>
      </c>
      <c r="O89" s="155" t="s">
        <v>505</v>
      </c>
      <c r="P89" s="155" t="s">
        <v>505</v>
      </c>
      <c r="Q89" s="155" t="s">
        <v>505</v>
      </c>
      <c r="R89" s="155" t="s">
        <v>505</v>
      </c>
      <c r="S89" s="182">
        <v>15</v>
      </c>
      <c r="T89" s="182">
        <v>8</v>
      </c>
      <c r="U89" s="180"/>
    </row>
    <row r="90" spans="1:21" ht="18" customHeight="1">
      <c r="A90" s="172">
        <v>2010</v>
      </c>
      <c r="B90" s="155" t="s">
        <v>500</v>
      </c>
      <c r="C90" s="152" t="s">
        <v>61</v>
      </c>
      <c r="D90" s="152" t="s">
        <v>501</v>
      </c>
      <c r="E90" s="152" t="s">
        <v>498</v>
      </c>
      <c r="F90" s="155" t="s">
        <v>45</v>
      </c>
      <c r="G90" s="182">
        <v>1460</v>
      </c>
      <c r="H90" s="182">
        <v>937</v>
      </c>
      <c r="I90" s="182">
        <v>646</v>
      </c>
      <c r="J90" s="182">
        <v>291</v>
      </c>
      <c r="K90" s="155" t="s">
        <v>505</v>
      </c>
      <c r="L90" s="155" t="s">
        <v>505</v>
      </c>
      <c r="M90" s="155" t="s">
        <v>505</v>
      </c>
      <c r="N90" s="155" t="s">
        <v>505</v>
      </c>
      <c r="O90" s="155" t="s">
        <v>505</v>
      </c>
      <c r="P90" s="155" t="s">
        <v>505</v>
      </c>
      <c r="Q90" s="155" t="s">
        <v>505</v>
      </c>
      <c r="R90" s="155" t="s">
        <v>505</v>
      </c>
      <c r="S90" s="182">
        <v>158</v>
      </c>
      <c r="T90" s="182">
        <v>93</v>
      </c>
      <c r="U90" s="180"/>
    </row>
    <row r="91" spans="1:21" ht="18" customHeight="1">
      <c r="A91" s="172">
        <v>2010</v>
      </c>
      <c r="B91" s="155" t="s">
        <v>502</v>
      </c>
      <c r="C91" s="152" t="s">
        <v>70</v>
      </c>
      <c r="D91" s="152" t="s">
        <v>501</v>
      </c>
      <c r="E91" s="152" t="s">
        <v>498</v>
      </c>
      <c r="F91" s="155" t="s">
        <v>68</v>
      </c>
      <c r="G91" s="182">
        <v>914</v>
      </c>
      <c r="H91" s="182">
        <v>801</v>
      </c>
      <c r="I91" s="182">
        <v>329</v>
      </c>
      <c r="J91" s="182">
        <v>472</v>
      </c>
      <c r="K91" s="155" t="s">
        <v>505</v>
      </c>
      <c r="L91" s="155" t="s">
        <v>505</v>
      </c>
      <c r="M91" s="155" t="s">
        <v>505</v>
      </c>
      <c r="N91" s="155" t="s">
        <v>505</v>
      </c>
      <c r="O91" s="155" t="s">
        <v>505</v>
      </c>
      <c r="P91" s="155" t="s">
        <v>505</v>
      </c>
      <c r="Q91" s="155" t="s">
        <v>505</v>
      </c>
      <c r="R91" s="155" t="s">
        <v>505</v>
      </c>
      <c r="S91" s="182">
        <v>46</v>
      </c>
      <c r="T91" s="182">
        <v>147</v>
      </c>
      <c r="U91" s="180"/>
    </row>
    <row r="92" spans="1:21" ht="18" customHeight="1">
      <c r="A92" s="172">
        <v>2010</v>
      </c>
      <c r="B92" s="155" t="s">
        <v>503</v>
      </c>
      <c r="C92" s="152" t="s">
        <v>76</v>
      </c>
      <c r="D92" s="152" t="s">
        <v>499</v>
      </c>
      <c r="E92" s="152" t="s">
        <v>498</v>
      </c>
      <c r="F92" s="155" t="s">
        <v>68</v>
      </c>
      <c r="G92" s="182">
        <v>1242</v>
      </c>
      <c r="H92" s="182">
        <v>581</v>
      </c>
      <c r="I92" s="182">
        <v>277</v>
      </c>
      <c r="J92" s="182">
        <v>304</v>
      </c>
      <c r="K92" s="155" t="s">
        <v>505</v>
      </c>
      <c r="L92" s="155" t="s">
        <v>505</v>
      </c>
      <c r="M92" s="155" t="s">
        <v>505</v>
      </c>
      <c r="N92" s="155" t="s">
        <v>505</v>
      </c>
      <c r="O92" s="155" t="s">
        <v>505</v>
      </c>
      <c r="P92" s="155" t="s">
        <v>505</v>
      </c>
      <c r="Q92" s="155" t="s">
        <v>505</v>
      </c>
      <c r="R92" s="155" t="s">
        <v>505</v>
      </c>
      <c r="S92" s="182">
        <v>199</v>
      </c>
      <c r="T92" s="182">
        <v>125</v>
      </c>
      <c r="U92" s="180"/>
    </row>
    <row r="93" spans="1:21" ht="18" customHeight="1">
      <c r="A93" s="172">
        <v>2010</v>
      </c>
      <c r="B93" s="155" t="s">
        <v>504</v>
      </c>
      <c r="C93" s="152" t="s">
        <v>82</v>
      </c>
      <c r="D93" s="152" t="s">
        <v>499</v>
      </c>
      <c r="E93" s="152" t="s">
        <v>498</v>
      </c>
      <c r="F93" s="155" t="s">
        <v>68</v>
      </c>
      <c r="G93" s="182">
        <v>587</v>
      </c>
      <c r="H93" s="182">
        <v>542</v>
      </c>
      <c r="I93" s="182">
        <v>55</v>
      </c>
      <c r="J93" s="182">
        <v>487</v>
      </c>
      <c r="K93" s="155" t="s">
        <v>505</v>
      </c>
      <c r="L93" s="155" t="s">
        <v>505</v>
      </c>
      <c r="M93" s="155" t="s">
        <v>505</v>
      </c>
      <c r="N93" s="155" t="s">
        <v>505</v>
      </c>
      <c r="O93" s="155" t="s">
        <v>505</v>
      </c>
      <c r="P93" s="155" t="s">
        <v>505</v>
      </c>
      <c r="Q93" s="155" t="s">
        <v>505</v>
      </c>
      <c r="R93" s="155" t="s">
        <v>505</v>
      </c>
      <c r="S93" s="182">
        <v>19</v>
      </c>
      <c r="T93" s="182">
        <v>85</v>
      </c>
      <c r="U93" s="180"/>
    </row>
    <row r="94" spans="1:21" ht="18" customHeight="1">
      <c r="A94" s="172">
        <v>2009</v>
      </c>
      <c r="B94" s="155" t="s">
        <v>496</v>
      </c>
      <c r="C94" s="152" t="s">
        <v>47</v>
      </c>
      <c r="D94" s="152" t="s">
        <v>497</v>
      </c>
      <c r="E94" s="152" t="s">
        <v>498</v>
      </c>
      <c r="F94" s="155" t="s">
        <v>45</v>
      </c>
      <c r="G94" s="182">
        <v>830</v>
      </c>
      <c r="H94" s="182">
        <v>461</v>
      </c>
      <c r="I94" s="182">
        <v>389</v>
      </c>
      <c r="J94" s="182">
        <v>72</v>
      </c>
      <c r="K94" s="155" t="s">
        <v>505</v>
      </c>
      <c r="L94" s="155" t="s">
        <v>505</v>
      </c>
      <c r="M94" s="155" t="s">
        <v>505</v>
      </c>
      <c r="N94" s="155" t="s">
        <v>505</v>
      </c>
      <c r="O94" s="155" t="s">
        <v>505</v>
      </c>
      <c r="P94" s="155" t="s">
        <v>505</v>
      </c>
      <c r="Q94" s="155" t="s">
        <v>505</v>
      </c>
      <c r="R94" s="155" t="s">
        <v>505</v>
      </c>
      <c r="S94" s="182">
        <v>116</v>
      </c>
      <c r="T94" s="182">
        <v>56</v>
      </c>
      <c r="U94" s="180"/>
    </row>
    <row r="95" spans="1:21" ht="18" customHeight="1">
      <c r="A95" s="172">
        <v>2009</v>
      </c>
      <c r="B95" s="155" t="s">
        <v>53</v>
      </c>
      <c r="C95" s="152" t="s">
        <v>54</v>
      </c>
      <c r="D95" s="152" t="s">
        <v>499</v>
      </c>
      <c r="E95" s="152" t="s">
        <v>498</v>
      </c>
      <c r="F95" s="155" t="s">
        <v>45</v>
      </c>
      <c r="G95" s="182">
        <v>151</v>
      </c>
      <c r="H95" s="182">
        <v>103</v>
      </c>
      <c r="I95" s="182">
        <v>74</v>
      </c>
      <c r="J95" s="182">
        <v>29</v>
      </c>
      <c r="K95" s="155" t="s">
        <v>505</v>
      </c>
      <c r="L95" s="155" t="s">
        <v>505</v>
      </c>
      <c r="M95" s="155" t="s">
        <v>505</v>
      </c>
      <c r="N95" s="155" t="s">
        <v>505</v>
      </c>
      <c r="O95" s="155" t="s">
        <v>505</v>
      </c>
      <c r="P95" s="155" t="s">
        <v>505</v>
      </c>
      <c r="Q95" s="155" t="s">
        <v>505</v>
      </c>
      <c r="R95" s="155" t="s">
        <v>505</v>
      </c>
      <c r="S95" s="182">
        <v>15</v>
      </c>
      <c r="T95" s="182">
        <v>8</v>
      </c>
      <c r="U95" s="180"/>
    </row>
    <row r="96" spans="1:21" ht="18" customHeight="1">
      <c r="A96" s="172">
        <v>2009</v>
      </c>
      <c r="B96" s="155" t="s">
        <v>500</v>
      </c>
      <c r="C96" s="152" t="s">
        <v>61</v>
      </c>
      <c r="D96" s="152" t="s">
        <v>501</v>
      </c>
      <c r="E96" s="152" t="s">
        <v>498</v>
      </c>
      <c r="F96" s="155" t="s">
        <v>45</v>
      </c>
      <c r="G96" s="182">
        <v>1460</v>
      </c>
      <c r="H96" s="182">
        <v>937</v>
      </c>
      <c r="I96" s="182">
        <v>646</v>
      </c>
      <c r="J96" s="182">
        <v>291</v>
      </c>
      <c r="K96" s="155" t="s">
        <v>505</v>
      </c>
      <c r="L96" s="155" t="s">
        <v>505</v>
      </c>
      <c r="M96" s="155" t="s">
        <v>505</v>
      </c>
      <c r="N96" s="155" t="s">
        <v>505</v>
      </c>
      <c r="O96" s="155" t="s">
        <v>505</v>
      </c>
      <c r="P96" s="155" t="s">
        <v>505</v>
      </c>
      <c r="Q96" s="155" t="s">
        <v>505</v>
      </c>
      <c r="R96" s="155" t="s">
        <v>505</v>
      </c>
      <c r="S96" s="182">
        <v>158</v>
      </c>
      <c r="T96" s="182">
        <v>93</v>
      </c>
      <c r="U96" s="180"/>
    </row>
    <row r="97" spans="1:21" ht="18" customHeight="1">
      <c r="A97" s="172">
        <v>2009</v>
      </c>
      <c r="B97" s="155" t="s">
        <v>502</v>
      </c>
      <c r="C97" s="152" t="s">
        <v>70</v>
      </c>
      <c r="D97" s="152" t="s">
        <v>501</v>
      </c>
      <c r="E97" s="152" t="s">
        <v>498</v>
      </c>
      <c r="F97" s="155" t="s">
        <v>68</v>
      </c>
      <c r="G97" s="182">
        <v>922</v>
      </c>
      <c r="H97" s="182">
        <v>693</v>
      </c>
      <c r="I97" s="182">
        <v>296</v>
      </c>
      <c r="J97" s="182">
        <v>397</v>
      </c>
      <c r="K97" s="155" t="s">
        <v>505</v>
      </c>
      <c r="L97" s="155" t="s">
        <v>505</v>
      </c>
      <c r="M97" s="155" t="s">
        <v>505</v>
      </c>
      <c r="N97" s="155" t="s">
        <v>505</v>
      </c>
      <c r="O97" s="155" t="s">
        <v>505</v>
      </c>
      <c r="P97" s="155" t="s">
        <v>505</v>
      </c>
      <c r="Q97" s="155" t="s">
        <v>505</v>
      </c>
      <c r="R97" s="155" t="s">
        <v>505</v>
      </c>
      <c r="S97" s="182">
        <v>73</v>
      </c>
      <c r="T97" s="182">
        <v>312</v>
      </c>
      <c r="U97" s="180"/>
    </row>
    <row r="98" spans="1:21" ht="18" customHeight="1">
      <c r="A98" s="172">
        <v>2009</v>
      </c>
      <c r="B98" s="155" t="s">
        <v>503</v>
      </c>
      <c r="C98" s="152" t="s">
        <v>76</v>
      </c>
      <c r="D98" s="152" t="s">
        <v>499</v>
      </c>
      <c r="E98" s="152" t="s">
        <v>498</v>
      </c>
      <c r="F98" s="155" t="s">
        <v>68</v>
      </c>
      <c r="G98" s="182">
        <v>1242</v>
      </c>
      <c r="H98" s="182">
        <v>581</v>
      </c>
      <c r="I98" s="182">
        <v>277</v>
      </c>
      <c r="J98" s="182">
        <v>304</v>
      </c>
      <c r="K98" s="155" t="s">
        <v>505</v>
      </c>
      <c r="L98" s="155" t="s">
        <v>505</v>
      </c>
      <c r="M98" s="155" t="s">
        <v>505</v>
      </c>
      <c r="N98" s="155" t="s">
        <v>505</v>
      </c>
      <c r="O98" s="155" t="s">
        <v>505</v>
      </c>
      <c r="P98" s="155" t="s">
        <v>505</v>
      </c>
      <c r="Q98" s="155" t="s">
        <v>505</v>
      </c>
      <c r="R98" s="155" t="s">
        <v>505</v>
      </c>
      <c r="S98" s="182">
        <v>199</v>
      </c>
      <c r="T98" s="182">
        <v>125</v>
      </c>
      <c r="U98" s="180"/>
    </row>
    <row r="99" spans="1:21" ht="18" customHeight="1">
      <c r="A99" s="172">
        <v>2009</v>
      </c>
      <c r="B99" s="155" t="s">
        <v>504</v>
      </c>
      <c r="C99" s="152" t="s">
        <v>82</v>
      </c>
      <c r="D99" s="152" t="s">
        <v>499</v>
      </c>
      <c r="E99" s="152" t="s">
        <v>498</v>
      </c>
      <c r="F99" s="155" t="s">
        <v>68</v>
      </c>
      <c r="G99" s="182">
        <v>633</v>
      </c>
      <c r="H99" s="182">
        <v>569</v>
      </c>
      <c r="I99" s="182">
        <v>82</v>
      </c>
      <c r="J99" s="182">
        <v>487</v>
      </c>
      <c r="K99" s="155" t="s">
        <v>505</v>
      </c>
      <c r="L99" s="155" t="s">
        <v>505</v>
      </c>
      <c r="M99" s="155" t="s">
        <v>505</v>
      </c>
      <c r="N99" s="155" t="s">
        <v>505</v>
      </c>
      <c r="O99" s="155" t="s">
        <v>505</v>
      </c>
      <c r="P99" s="155" t="s">
        <v>505</v>
      </c>
      <c r="Q99" s="155" t="s">
        <v>505</v>
      </c>
      <c r="R99" s="155" t="s">
        <v>505</v>
      </c>
      <c r="S99" s="182">
        <v>29</v>
      </c>
      <c r="T99" s="182">
        <v>85</v>
      </c>
      <c r="U99" s="180"/>
    </row>
    <row r="100" spans="1:21" ht="18" customHeight="1">
      <c r="A100" s="172">
        <v>2008</v>
      </c>
      <c r="B100" s="155" t="s">
        <v>496</v>
      </c>
      <c r="C100" s="152" t="s">
        <v>47</v>
      </c>
      <c r="D100" s="152" t="s">
        <v>497</v>
      </c>
      <c r="E100" s="152" t="s">
        <v>498</v>
      </c>
      <c r="F100" s="155" t="s">
        <v>45</v>
      </c>
      <c r="G100" s="182">
        <v>1042</v>
      </c>
      <c r="H100" s="182">
        <v>489</v>
      </c>
      <c r="I100" s="182">
        <v>389</v>
      </c>
      <c r="J100" s="182">
        <v>100</v>
      </c>
      <c r="K100" s="155" t="s">
        <v>505</v>
      </c>
      <c r="L100" s="155" t="s">
        <v>505</v>
      </c>
      <c r="M100" s="155" t="s">
        <v>505</v>
      </c>
      <c r="N100" s="155" t="s">
        <v>505</v>
      </c>
      <c r="O100" s="155" t="s">
        <v>505</v>
      </c>
      <c r="P100" s="155" t="s">
        <v>505</v>
      </c>
      <c r="Q100" s="155" t="s">
        <v>505</v>
      </c>
      <c r="R100" s="155" t="s">
        <v>505</v>
      </c>
      <c r="S100" s="182">
        <v>186</v>
      </c>
      <c r="T100" s="182">
        <v>52</v>
      </c>
      <c r="U100" s="180"/>
    </row>
    <row r="101" spans="1:21" ht="18" customHeight="1">
      <c r="A101" s="172">
        <v>2008</v>
      </c>
      <c r="B101" s="155" t="s">
        <v>53</v>
      </c>
      <c r="C101" s="152" t="s">
        <v>54</v>
      </c>
      <c r="D101" s="152" t="s">
        <v>499</v>
      </c>
      <c r="E101" s="152" t="s">
        <v>498</v>
      </c>
      <c r="F101" s="155" t="s">
        <v>45</v>
      </c>
      <c r="G101" s="182">
        <v>128</v>
      </c>
      <c r="H101" s="182">
        <v>92</v>
      </c>
      <c r="I101" s="182">
        <v>62</v>
      </c>
      <c r="J101" s="182">
        <v>30</v>
      </c>
      <c r="K101" s="155" t="s">
        <v>505</v>
      </c>
      <c r="L101" s="155" t="s">
        <v>505</v>
      </c>
      <c r="M101" s="155" t="s">
        <v>505</v>
      </c>
      <c r="N101" s="155" t="s">
        <v>505</v>
      </c>
      <c r="O101" s="155" t="s">
        <v>505</v>
      </c>
      <c r="P101" s="155" t="s">
        <v>505</v>
      </c>
      <c r="Q101" s="155" t="s">
        <v>505</v>
      </c>
      <c r="R101" s="155" t="s">
        <v>505</v>
      </c>
      <c r="S101" s="182">
        <v>15</v>
      </c>
      <c r="T101" s="182">
        <v>25</v>
      </c>
      <c r="U101" s="180"/>
    </row>
    <row r="102" spans="1:21" ht="18" customHeight="1">
      <c r="A102" s="172">
        <v>2008</v>
      </c>
      <c r="B102" s="155" t="s">
        <v>500</v>
      </c>
      <c r="C102" s="152" t="s">
        <v>61</v>
      </c>
      <c r="D102" s="152" t="s">
        <v>501</v>
      </c>
      <c r="E102" s="152" t="s">
        <v>498</v>
      </c>
      <c r="F102" s="155" t="s">
        <v>45</v>
      </c>
      <c r="G102" s="182">
        <v>1263</v>
      </c>
      <c r="H102" s="182">
        <v>857</v>
      </c>
      <c r="I102" s="182">
        <v>575</v>
      </c>
      <c r="J102" s="182">
        <v>282</v>
      </c>
      <c r="K102" s="155" t="s">
        <v>505</v>
      </c>
      <c r="L102" s="155" t="s">
        <v>505</v>
      </c>
      <c r="M102" s="155" t="s">
        <v>505</v>
      </c>
      <c r="N102" s="155" t="s">
        <v>505</v>
      </c>
      <c r="O102" s="155" t="s">
        <v>505</v>
      </c>
      <c r="P102" s="155" t="s">
        <v>505</v>
      </c>
      <c r="Q102" s="155" t="s">
        <v>505</v>
      </c>
      <c r="R102" s="155" t="s">
        <v>505</v>
      </c>
      <c r="S102" s="182">
        <v>135</v>
      </c>
      <c r="T102" s="182">
        <v>217</v>
      </c>
      <c r="U102" s="180"/>
    </row>
    <row r="103" spans="1:21" ht="18" customHeight="1">
      <c r="A103" s="172">
        <v>2008</v>
      </c>
      <c r="B103" s="155" t="s">
        <v>502</v>
      </c>
      <c r="C103" s="152" t="s">
        <v>70</v>
      </c>
      <c r="D103" s="152" t="s">
        <v>501</v>
      </c>
      <c r="E103" s="152" t="s">
        <v>498</v>
      </c>
      <c r="F103" s="155" t="s">
        <v>68</v>
      </c>
      <c r="G103" s="182">
        <v>1302</v>
      </c>
      <c r="H103" s="182">
        <v>1208</v>
      </c>
      <c r="I103" s="182">
        <v>703</v>
      </c>
      <c r="J103" s="182">
        <v>505</v>
      </c>
      <c r="K103" s="155" t="s">
        <v>505</v>
      </c>
      <c r="L103" s="155" t="s">
        <v>505</v>
      </c>
      <c r="M103" s="155" t="s">
        <v>505</v>
      </c>
      <c r="N103" s="155" t="s">
        <v>505</v>
      </c>
      <c r="O103" s="155" t="s">
        <v>505</v>
      </c>
      <c r="P103" s="155" t="s">
        <v>505</v>
      </c>
      <c r="Q103" s="155" t="s">
        <v>505</v>
      </c>
      <c r="R103" s="155" t="s">
        <v>505</v>
      </c>
      <c r="S103" s="182">
        <v>28</v>
      </c>
      <c r="T103" s="182">
        <v>656</v>
      </c>
      <c r="U103" s="180"/>
    </row>
    <row r="104" spans="1:21" ht="18" customHeight="1">
      <c r="A104" s="172">
        <v>2008</v>
      </c>
      <c r="B104" s="155" t="s">
        <v>503</v>
      </c>
      <c r="C104" s="152" t="s">
        <v>76</v>
      </c>
      <c r="D104" s="152" t="s">
        <v>499</v>
      </c>
      <c r="E104" s="152" t="s">
        <v>498</v>
      </c>
      <c r="F104" s="155" t="s">
        <v>68</v>
      </c>
      <c r="G104" s="182">
        <v>385</v>
      </c>
      <c r="H104" s="182">
        <v>233</v>
      </c>
      <c r="I104" s="182">
        <v>192</v>
      </c>
      <c r="J104" s="182">
        <v>41</v>
      </c>
      <c r="K104" s="155" t="s">
        <v>505</v>
      </c>
      <c r="L104" s="155" t="s">
        <v>505</v>
      </c>
      <c r="M104" s="155" t="s">
        <v>505</v>
      </c>
      <c r="N104" s="155" t="s">
        <v>505</v>
      </c>
      <c r="O104" s="155" t="s">
        <v>505</v>
      </c>
      <c r="P104" s="155" t="s">
        <v>505</v>
      </c>
      <c r="Q104" s="155" t="s">
        <v>505</v>
      </c>
      <c r="R104" s="155" t="s">
        <v>505</v>
      </c>
      <c r="S104" s="182">
        <v>42</v>
      </c>
      <c r="T104" s="182">
        <v>99</v>
      </c>
      <c r="U104" s="180"/>
    </row>
    <row r="105" spans="1:21" ht="18" customHeight="1">
      <c r="A105" s="172">
        <v>2008</v>
      </c>
      <c r="B105" s="155" t="s">
        <v>504</v>
      </c>
      <c r="C105" s="152" t="s">
        <v>82</v>
      </c>
      <c r="D105" s="152" t="s">
        <v>499</v>
      </c>
      <c r="E105" s="152" t="s">
        <v>498</v>
      </c>
      <c r="F105" s="155" t="s">
        <v>68</v>
      </c>
      <c r="G105" s="182">
        <v>274</v>
      </c>
      <c r="H105" s="182">
        <v>256</v>
      </c>
      <c r="I105" s="182">
        <v>53</v>
      </c>
      <c r="J105" s="182">
        <v>203</v>
      </c>
      <c r="K105" s="155" t="s">
        <v>505</v>
      </c>
      <c r="L105" s="155" t="s">
        <v>505</v>
      </c>
      <c r="M105" s="155" t="s">
        <v>505</v>
      </c>
      <c r="N105" s="155" t="s">
        <v>505</v>
      </c>
      <c r="O105" s="155" t="s">
        <v>505</v>
      </c>
      <c r="P105" s="155" t="s">
        <v>505</v>
      </c>
      <c r="Q105" s="155" t="s">
        <v>505</v>
      </c>
      <c r="R105" s="155" t="s">
        <v>505</v>
      </c>
      <c r="S105" s="182">
        <v>7</v>
      </c>
      <c r="T105" s="182">
        <v>122</v>
      </c>
      <c r="U105" s="180"/>
    </row>
    <row r="106" spans="1:21" ht="18" customHeight="1">
      <c r="A106" s="172">
        <v>2007</v>
      </c>
      <c r="B106" s="155" t="s">
        <v>496</v>
      </c>
      <c r="C106" s="152" t="s">
        <v>47</v>
      </c>
      <c r="D106" s="152" t="s">
        <v>497</v>
      </c>
      <c r="E106" s="152" t="s">
        <v>498</v>
      </c>
      <c r="F106" s="155" t="s">
        <v>45</v>
      </c>
      <c r="G106" s="182">
        <v>857</v>
      </c>
      <c r="H106" s="182">
        <v>504</v>
      </c>
      <c r="I106" s="182">
        <v>441</v>
      </c>
      <c r="J106" s="182">
        <v>63</v>
      </c>
      <c r="K106" s="155" t="s">
        <v>505</v>
      </c>
      <c r="L106" s="155" t="s">
        <v>505</v>
      </c>
      <c r="M106" s="155" t="s">
        <v>505</v>
      </c>
      <c r="N106" s="155" t="s">
        <v>505</v>
      </c>
      <c r="O106" s="155" t="s">
        <v>505</v>
      </c>
      <c r="P106" s="155" t="s">
        <v>505</v>
      </c>
      <c r="Q106" s="155" t="s">
        <v>505</v>
      </c>
      <c r="R106" s="155" t="s">
        <v>505</v>
      </c>
      <c r="S106" s="182">
        <v>118</v>
      </c>
      <c r="T106" s="182">
        <v>78</v>
      </c>
      <c r="U106" s="180"/>
    </row>
    <row r="107" spans="1:21" ht="18" customHeight="1">
      <c r="A107" s="172">
        <v>2007</v>
      </c>
      <c r="B107" s="155" t="s">
        <v>53</v>
      </c>
      <c r="C107" s="152" t="s">
        <v>54</v>
      </c>
      <c r="D107" s="152" t="s">
        <v>499</v>
      </c>
      <c r="E107" s="152" t="s">
        <v>498</v>
      </c>
      <c r="F107" s="155" t="s">
        <v>45</v>
      </c>
      <c r="G107" s="182">
        <v>188</v>
      </c>
      <c r="H107" s="182">
        <v>109</v>
      </c>
      <c r="I107" s="182">
        <v>72</v>
      </c>
      <c r="J107" s="182">
        <v>37</v>
      </c>
      <c r="K107" s="155" t="s">
        <v>505</v>
      </c>
      <c r="L107" s="155" t="s">
        <v>505</v>
      </c>
      <c r="M107" s="155" t="s">
        <v>505</v>
      </c>
      <c r="N107" s="155" t="s">
        <v>505</v>
      </c>
      <c r="O107" s="155" t="s">
        <v>505</v>
      </c>
      <c r="P107" s="155" t="s">
        <v>505</v>
      </c>
      <c r="Q107" s="155" t="s">
        <v>505</v>
      </c>
      <c r="R107" s="155" t="s">
        <v>505</v>
      </c>
      <c r="S107" s="182">
        <v>28</v>
      </c>
      <c r="T107" s="182">
        <v>26</v>
      </c>
      <c r="U107" s="180"/>
    </row>
    <row r="108" spans="1:21" ht="18" customHeight="1">
      <c r="A108" s="172">
        <v>2007</v>
      </c>
      <c r="B108" s="155" t="s">
        <v>500</v>
      </c>
      <c r="C108" s="152" t="s">
        <v>61</v>
      </c>
      <c r="D108" s="152" t="s">
        <v>501</v>
      </c>
      <c r="E108" s="152" t="s">
        <v>498</v>
      </c>
      <c r="F108" s="155" t="s">
        <v>45</v>
      </c>
      <c r="G108" s="182">
        <v>1452</v>
      </c>
      <c r="H108" s="182">
        <v>963</v>
      </c>
      <c r="I108" s="182">
        <v>752</v>
      </c>
      <c r="J108" s="182">
        <v>211</v>
      </c>
      <c r="K108" s="155" t="s">
        <v>505</v>
      </c>
      <c r="L108" s="155" t="s">
        <v>505</v>
      </c>
      <c r="M108" s="155" t="s">
        <v>505</v>
      </c>
      <c r="N108" s="155" t="s">
        <v>505</v>
      </c>
      <c r="O108" s="155" t="s">
        <v>505</v>
      </c>
      <c r="P108" s="155" t="s">
        <v>505</v>
      </c>
      <c r="Q108" s="155" t="s">
        <v>505</v>
      </c>
      <c r="R108" s="155" t="s">
        <v>505</v>
      </c>
      <c r="S108" s="182">
        <v>178</v>
      </c>
      <c r="T108" s="182">
        <v>134</v>
      </c>
      <c r="U108" s="180"/>
    </row>
    <row r="109" spans="1:21" ht="18" customHeight="1">
      <c r="A109" s="172">
        <v>2007</v>
      </c>
      <c r="B109" s="155" t="s">
        <v>502</v>
      </c>
      <c r="C109" s="152" t="s">
        <v>70</v>
      </c>
      <c r="D109" s="152" t="s">
        <v>501</v>
      </c>
      <c r="E109" s="152" t="s">
        <v>498</v>
      </c>
      <c r="F109" s="155" t="s">
        <v>68</v>
      </c>
      <c r="G109" s="182">
        <v>718</v>
      </c>
      <c r="H109" s="182">
        <v>626</v>
      </c>
      <c r="I109" s="182">
        <v>348</v>
      </c>
      <c r="J109" s="182">
        <v>278</v>
      </c>
      <c r="K109" s="155" t="s">
        <v>505</v>
      </c>
      <c r="L109" s="155" t="s">
        <v>505</v>
      </c>
      <c r="M109" s="155" t="s">
        <v>505</v>
      </c>
      <c r="N109" s="155" t="s">
        <v>505</v>
      </c>
      <c r="O109" s="155" t="s">
        <v>505</v>
      </c>
      <c r="P109" s="155" t="s">
        <v>505</v>
      </c>
      <c r="Q109" s="155" t="s">
        <v>505</v>
      </c>
      <c r="R109" s="155" t="s">
        <v>505</v>
      </c>
      <c r="S109" s="182">
        <v>27</v>
      </c>
      <c r="T109" s="182">
        <v>372</v>
      </c>
      <c r="U109" s="180"/>
    </row>
    <row r="110" spans="1:21" ht="18" customHeight="1">
      <c r="A110" s="172">
        <v>2007</v>
      </c>
      <c r="B110" s="155" t="s">
        <v>503</v>
      </c>
      <c r="C110" s="152" t="s">
        <v>76</v>
      </c>
      <c r="D110" s="152" t="s">
        <v>499</v>
      </c>
      <c r="E110" s="152" t="s">
        <v>498</v>
      </c>
      <c r="F110" s="155" t="s">
        <v>68</v>
      </c>
      <c r="G110" s="182">
        <v>385</v>
      </c>
      <c r="H110" s="182">
        <v>233</v>
      </c>
      <c r="I110" s="182">
        <v>192</v>
      </c>
      <c r="J110" s="182">
        <v>41</v>
      </c>
      <c r="K110" s="155" t="s">
        <v>505</v>
      </c>
      <c r="L110" s="155" t="s">
        <v>505</v>
      </c>
      <c r="M110" s="155" t="s">
        <v>505</v>
      </c>
      <c r="N110" s="155" t="s">
        <v>505</v>
      </c>
      <c r="O110" s="155" t="s">
        <v>505</v>
      </c>
      <c r="P110" s="155" t="s">
        <v>505</v>
      </c>
      <c r="Q110" s="155" t="s">
        <v>505</v>
      </c>
      <c r="R110" s="155" t="s">
        <v>505</v>
      </c>
      <c r="S110" s="182">
        <v>42</v>
      </c>
      <c r="T110" s="182">
        <v>99</v>
      </c>
      <c r="U110" s="180"/>
    </row>
    <row r="111" spans="1:21" ht="18" customHeight="1">
      <c r="A111" s="172">
        <v>2007</v>
      </c>
      <c r="B111" s="155" t="s">
        <v>504</v>
      </c>
      <c r="C111" s="152" t="s">
        <v>82</v>
      </c>
      <c r="D111" s="152" t="s">
        <v>499</v>
      </c>
      <c r="E111" s="152" t="s">
        <v>498</v>
      </c>
      <c r="F111" s="155" t="s">
        <v>68</v>
      </c>
      <c r="G111" s="182">
        <v>274</v>
      </c>
      <c r="H111" s="182">
        <v>256</v>
      </c>
      <c r="I111" s="182">
        <v>53</v>
      </c>
      <c r="J111" s="182">
        <v>203</v>
      </c>
      <c r="K111" s="155" t="s">
        <v>505</v>
      </c>
      <c r="L111" s="155" t="s">
        <v>505</v>
      </c>
      <c r="M111" s="155" t="s">
        <v>505</v>
      </c>
      <c r="N111" s="155" t="s">
        <v>505</v>
      </c>
      <c r="O111" s="155" t="s">
        <v>505</v>
      </c>
      <c r="P111" s="155" t="s">
        <v>505</v>
      </c>
      <c r="Q111" s="155" t="s">
        <v>505</v>
      </c>
      <c r="R111" s="155" t="s">
        <v>505</v>
      </c>
      <c r="S111" s="182">
        <v>7</v>
      </c>
      <c r="T111" s="182">
        <v>122</v>
      </c>
      <c r="U111" s="180"/>
    </row>
    <row r="112" spans="1:21" ht="18" customHeight="1">
      <c r="A112" s="155"/>
      <c r="B112" s="177" t="s">
        <v>506</v>
      </c>
      <c r="C112" s="154" t="s">
        <v>507</v>
      </c>
      <c r="D112" s="154" t="s">
        <v>508</v>
      </c>
      <c r="E112" s="155"/>
      <c r="F112" s="155"/>
      <c r="G112" s="155"/>
      <c r="H112" s="155"/>
      <c r="I112" s="155"/>
      <c r="J112" s="155"/>
      <c r="K112" s="155"/>
      <c r="L112" s="155"/>
      <c r="M112" s="155"/>
      <c r="N112" s="155"/>
      <c r="O112" s="155"/>
      <c r="P112" s="155"/>
      <c r="Q112" s="155"/>
      <c r="R112" s="155"/>
      <c r="S112" s="155"/>
      <c r="T112" s="155"/>
      <c r="U112" s="180"/>
    </row>
    <row r="113" spans="1:21" ht="18" customHeight="1">
      <c r="A113" s="155"/>
      <c r="B113" s="152" t="s">
        <v>509</v>
      </c>
      <c r="C113" s="152" t="s">
        <v>60</v>
      </c>
      <c r="D113" s="152">
        <v>2017</v>
      </c>
      <c r="E113" s="155"/>
      <c r="F113" s="155"/>
      <c r="G113" s="155"/>
      <c r="H113" s="155"/>
      <c r="I113" s="155"/>
      <c r="J113" s="155"/>
      <c r="K113" s="155"/>
      <c r="L113" s="155"/>
      <c r="M113" s="155"/>
      <c r="N113" s="155"/>
      <c r="O113" s="155"/>
      <c r="P113" s="155"/>
      <c r="Q113" s="155"/>
      <c r="R113" s="155"/>
      <c r="S113" s="155"/>
      <c r="T113" s="155"/>
      <c r="U113" s="180"/>
    </row>
    <row r="114" spans="1:21" ht="18" customHeight="1">
      <c r="A114" s="155"/>
      <c r="B114" s="152" t="s">
        <v>510</v>
      </c>
      <c r="C114" s="152" t="s">
        <v>60</v>
      </c>
      <c r="D114" s="152">
        <v>2018</v>
      </c>
      <c r="E114" s="155"/>
      <c r="F114" s="155"/>
      <c r="G114" s="155"/>
      <c r="H114" s="155"/>
      <c r="I114" s="155"/>
      <c r="J114" s="155"/>
      <c r="K114" s="155"/>
      <c r="L114" s="155"/>
      <c r="M114" s="155"/>
      <c r="N114" s="155"/>
      <c r="O114" s="155"/>
      <c r="P114" s="155"/>
      <c r="Q114" s="155"/>
      <c r="R114" s="155"/>
      <c r="S114" s="155"/>
      <c r="T114" s="155"/>
      <c r="U114" s="180"/>
    </row>
    <row r="115" spans="1:21">
      <c r="A115" s="180"/>
      <c r="B115" s="180"/>
      <c r="C115" s="180"/>
      <c r="D115" s="180"/>
      <c r="E115" s="180"/>
      <c r="F115" s="180"/>
      <c r="G115" s="180"/>
      <c r="H115" s="180"/>
      <c r="I115" s="180"/>
      <c r="J115" s="180"/>
      <c r="K115" s="180"/>
      <c r="L115" s="180"/>
      <c r="M115" s="180"/>
      <c r="N115" s="180"/>
      <c r="O115" s="180"/>
      <c r="P115" s="180"/>
      <c r="Q115" s="180"/>
      <c r="R115" s="180"/>
      <c r="S115" s="180"/>
      <c r="T115" s="180"/>
      <c r="U115" s="1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249977111117893"/>
  </sheetPr>
  <dimension ref="A1:R247"/>
  <sheetViews>
    <sheetView showGridLines="0" workbookViewId="0"/>
  </sheetViews>
  <sheetFormatPr defaultColWidth="9.125" defaultRowHeight="15"/>
  <cols>
    <col min="1" max="16384" width="9.125" style="13"/>
  </cols>
  <sheetData>
    <row r="1" spans="1:18" s="21" customFormat="1" ht="30.75" customHeight="1">
      <c r="I1" s="39" t="s">
        <v>4344</v>
      </c>
    </row>
    <row r="2" spans="1:18" ht="17.100000000000001" customHeight="1">
      <c r="A2" s="14" t="s">
        <v>511</v>
      </c>
      <c r="B2" s="14"/>
      <c r="C2" s="14"/>
      <c r="D2" s="14"/>
      <c r="E2" s="14"/>
      <c r="F2" s="14"/>
      <c r="G2" s="14"/>
      <c r="H2" s="14"/>
      <c r="I2" s="14" t="s">
        <v>512</v>
      </c>
      <c r="J2" s="23"/>
      <c r="K2" s="23"/>
      <c r="L2" s="23"/>
      <c r="M2" s="23"/>
      <c r="N2" s="23"/>
      <c r="O2" s="23"/>
      <c r="P2" s="23"/>
      <c r="Q2" s="23"/>
      <c r="R2" s="23"/>
    </row>
    <row r="3" spans="1:18" ht="17.100000000000001" customHeight="1">
      <c r="A3" s="15" t="s">
        <v>513</v>
      </c>
      <c r="B3" s="14"/>
      <c r="C3" s="14"/>
      <c r="D3" s="14"/>
      <c r="E3" s="14"/>
      <c r="F3" s="14"/>
      <c r="G3" s="14"/>
      <c r="H3" s="14"/>
      <c r="I3" s="14" t="s">
        <v>514</v>
      </c>
      <c r="J3" s="23"/>
      <c r="K3" s="23"/>
      <c r="L3" s="23"/>
      <c r="M3" s="23"/>
      <c r="N3" s="23"/>
      <c r="O3" s="23"/>
      <c r="P3" s="23"/>
      <c r="Q3" s="23"/>
      <c r="R3" s="23"/>
    </row>
    <row r="4" spans="1:18" ht="17.100000000000001" customHeight="1">
      <c r="A4" s="15" t="s">
        <v>515</v>
      </c>
      <c r="B4" s="14"/>
      <c r="C4" s="14"/>
      <c r="D4" s="14"/>
      <c r="E4" s="14"/>
      <c r="F4" s="14"/>
      <c r="G4" s="14"/>
      <c r="H4" s="14"/>
      <c r="I4" s="14" t="s">
        <v>516</v>
      </c>
      <c r="J4" s="23"/>
      <c r="K4" s="23"/>
      <c r="L4" s="23"/>
      <c r="M4" s="23"/>
      <c r="N4" s="23"/>
      <c r="O4" s="23"/>
      <c r="P4" s="23"/>
      <c r="Q4" s="23"/>
      <c r="R4" s="23"/>
    </row>
    <row r="5" spans="1:18" ht="17.100000000000001" customHeight="1">
      <c r="A5" s="15" t="s">
        <v>517</v>
      </c>
      <c r="B5" s="14"/>
      <c r="C5" s="14"/>
      <c r="D5" s="14"/>
      <c r="E5" s="14"/>
      <c r="F5" s="14"/>
      <c r="G5" s="14"/>
      <c r="H5" s="14"/>
      <c r="I5" s="14" t="s">
        <v>518</v>
      </c>
      <c r="J5" s="23"/>
      <c r="K5" s="23"/>
      <c r="L5" s="23"/>
      <c r="M5" s="23"/>
      <c r="N5" s="23"/>
      <c r="O5" s="23"/>
      <c r="P5" s="23"/>
      <c r="Q5" s="23"/>
      <c r="R5" s="23"/>
    </row>
    <row r="6" spans="1:18" ht="17.100000000000001" customHeight="1">
      <c r="A6" s="14" t="s">
        <v>519</v>
      </c>
      <c r="B6" s="14"/>
      <c r="C6" s="14"/>
      <c r="D6" s="14"/>
      <c r="E6" s="14"/>
      <c r="F6" s="14"/>
      <c r="G6" s="14"/>
      <c r="H6" s="14"/>
      <c r="I6" s="14" t="s">
        <v>512</v>
      </c>
      <c r="J6" s="23"/>
      <c r="K6" s="23"/>
      <c r="L6" s="23"/>
      <c r="M6" s="23"/>
      <c r="N6" s="23"/>
      <c r="O6" s="23"/>
      <c r="P6" s="23"/>
      <c r="Q6" s="23"/>
      <c r="R6" s="23"/>
    </row>
    <row r="7" spans="1:18" ht="17.100000000000001" customHeight="1">
      <c r="A7" s="14"/>
      <c r="B7" s="14"/>
      <c r="C7" s="14"/>
      <c r="D7" s="14"/>
      <c r="E7" s="14"/>
      <c r="F7" s="14"/>
      <c r="G7" s="14"/>
      <c r="H7" s="14"/>
      <c r="I7" s="14"/>
      <c r="J7" s="23"/>
      <c r="K7" s="23"/>
      <c r="L7" s="23"/>
      <c r="M7" s="23"/>
      <c r="N7" s="23"/>
      <c r="O7" s="23"/>
      <c r="P7" s="23"/>
      <c r="Q7" s="23"/>
      <c r="R7" s="23"/>
    </row>
    <row r="8" spans="1:18" ht="17.100000000000001" customHeight="1">
      <c r="A8" s="14" t="s">
        <v>520</v>
      </c>
      <c r="B8" s="14"/>
      <c r="C8" s="14"/>
      <c r="D8" s="14"/>
      <c r="E8" s="14"/>
      <c r="F8" s="14"/>
      <c r="G8" s="14"/>
      <c r="H8" s="14"/>
      <c r="I8" s="14" t="s">
        <v>512</v>
      </c>
      <c r="J8" s="23"/>
      <c r="K8" s="23"/>
      <c r="L8" s="23"/>
      <c r="M8" s="23"/>
      <c r="N8" s="23"/>
      <c r="O8" s="23"/>
      <c r="P8" s="23"/>
      <c r="Q8" s="23"/>
      <c r="R8" s="23"/>
    </row>
    <row r="9" spans="1:18" ht="17.100000000000001" customHeight="1">
      <c r="A9" s="14"/>
      <c r="B9" s="14"/>
      <c r="C9" s="14"/>
      <c r="D9" s="14"/>
      <c r="E9" s="14"/>
      <c r="F9" s="14"/>
      <c r="G9" s="14"/>
      <c r="H9" s="14"/>
      <c r="I9" s="14" t="s">
        <v>521</v>
      </c>
      <c r="J9" s="23"/>
      <c r="K9" s="23"/>
      <c r="L9" s="23"/>
      <c r="M9" s="23"/>
      <c r="N9" s="23"/>
      <c r="O9" s="23"/>
      <c r="P9" s="23"/>
      <c r="Q9" s="23"/>
      <c r="R9" s="23"/>
    </row>
    <row r="10" spans="1:18" ht="17.100000000000001" customHeight="1">
      <c r="A10" s="14" t="s">
        <v>522</v>
      </c>
      <c r="B10" s="14"/>
      <c r="C10" s="14"/>
      <c r="D10" s="14"/>
      <c r="E10" s="14"/>
      <c r="F10" s="14"/>
      <c r="G10" s="14"/>
      <c r="H10" s="14"/>
      <c r="I10" s="14" t="s">
        <v>512</v>
      </c>
      <c r="J10" s="23"/>
      <c r="K10" s="23"/>
      <c r="L10" s="23"/>
      <c r="M10" s="23"/>
      <c r="N10" s="23"/>
      <c r="O10" s="23"/>
      <c r="P10" s="23"/>
      <c r="Q10" s="23"/>
      <c r="R10" s="23"/>
    </row>
    <row r="11" spans="1:18" ht="17.100000000000001" customHeight="1">
      <c r="A11" s="14"/>
      <c r="B11" s="14"/>
      <c r="C11" s="14"/>
      <c r="D11" s="14"/>
      <c r="E11" s="14"/>
      <c r="F11" s="14"/>
      <c r="G11" s="14"/>
      <c r="H11" s="14"/>
      <c r="I11" s="14"/>
      <c r="J11" s="23"/>
      <c r="K11" s="23"/>
      <c r="L11" s="23"/>
      <c r="M11" s="23"/>
      <c r="N11" s="23"/>
      <c r="O11" s="23"/>
      <c r="P11" s="23"/>
      <c r="Q11" s="23"/>
      <c r="R11" s="23"/>
    </row>
    <row r="12" spans="1:18" ht="17.100000000000001" customHeight="1">
      <c r="A12" s="14" t="s">
        <v>523</v>
      </c>
      <c r="B12" s="14"/>
      <c r="C12" s="14"/>
      <c r="D12" s="14"/>
      <c r="E12" s="14"/>
      <c r="F12" s="14"/>
      <c r="G12" s="14"/>
      <c r="H12" s="14"/>
      <c r="I12" s="14" t="s">
        <v>524</v>
      </c>
      <c r="J12" s="23"/>
      <c r="K12" s="23"/>
      <c r="L12" s="23"/>
      <c r="M12" s="23"/>
      <c r="N12" s="23"/>
      <c r="O12" s="23"/>
      <c r="P12" s="23"/>
      <c r="Q12" s="23"/>
      <c r="R12" s="23"/>
    </row>
    <row r="13" spans="1:18" ht="17.100000000000001" customHeight="1">
      <c r="A13" s="14"/>
      <c r="B13" s="14"/>
      <c r="C13" s="14"/>
      <c r="D13" s="14"/>
      <c r="E13" s="14"/>
      <c r="F13" s="14"/>
      <c r="G13" s="14"/>
      <c r="H13" s="14"/>
      <c r="I13" s="14" t="s">
        <v>525</v>
      </c>
      <c r="J13" s="23"/>
      <c r="K13" s="23"/>
      <c r="L13" s="23"/>
      <c r="M13" s="23"/>
      <c r="N13" s="23"/>
      <c r="O13" s="23"/>
      <c r="P13" s="23"/>
      <c r="Q13" s="23"/>
      <c r="R13" s="23"/>
    </row>
    <row r="14" spans="1:18" ht="17.100000000000001" customHeight="1">
      <c r="A14" s="14" t="s">
        <v>526</v>
      </c>
      <c r="B14" s="14"/>
      <c r="C14" s="14"/>
      <c r="D14" s="14"/>
      <c r="E14" s="14"/>
      <c r="F14" s="14"/>
      <c r="G14" s="14"/>
      <c r="H14" s="14"/>
      <c r="I14" s="14" t="s">
        <v>527</v>
      </c>
      <c r="J14" s="23"/>
      <c r="K14" s="23"/>
      <c r="L14" s="23"/>
      <c r="M14" s="23"/>
      <c r="N14" s="23"/>
      <c r="O14" s="23"/>
      <c r="P14" s="23"/>
      <c r="Q14" s="23"/>
      <c r="R14" s="23"/>
    </row>
    <row r="15" spans="1:18" ht="17.100000000000001" customHeight="1">
      <c r="A15" s="14"/>
      <c r="B15" s="14"/>
      <c r="C15" s="14"/>
      <c r="D15" s="14"/>
      <c r="E15" s="14"/>
      <c r="F15" s="14"/>
      <c r="G15" s="14"/>
      <c r="H15" s="14"/>
      <c r="I15" s="14" t="s">
        <v>528</v>
      </c>
      <c r="J15" s="23"/>
      <c r="K15" s="23"/>
      <c r="L15" s="23"/>
      <c r="M15" s="23"/>
      <c r="N15" s="23"/>
      <c r="O15" s="23"/>
      <c r="P15" s="23"/>
      <c r="Q15" s="23"/>
      <c r="R15" s="23"/>
    </row>
    <row r="16" spans="1:18" ht="17.100000000000001" customHeight="1">
      <c r="A16" s="14" t="s">
        <v>529</v>
      </c>
      <c r="B16" s="14"/>
      <c r="C16" s="14"/>
      <c r="D16" s="14"/>
      <c r="E16" s="14"/>
      <c r="F16" s="14"/>
      <c r="G16" s="14"/>
      <c r="H16" s="14"/>
      <c r="I16" s="14" t="s">
        <v>530</v>
      </c>
      <c r="J16" s="23"/>
      <c r="K16" s="23"/>
      <c r="L16" s="23"/>
      <c r="M16" s="23"/>
      <c r="N16" s="23"/>
      <c r="O16" s="23"/>
      <c r="P16" s="23"/>
      <c r="Q16" s="23"/>
      <c r="R16" s="23"/>
    </row>
    <row r="17" spans="1:18" ht="17.100000000000001" customHeight="1">
      <c r="A17" s="14"/>
      <c r="B17" s="14"/>
      <c r="C17" s="14"/>
      <c r="D17" s="14"/>
      <c r="E17" s="14"/>
      <c r="F17" s="14"/>
      <c r="G17" s="14"/>
      <c r="H17" s="14"/>
      <c r="I17" s="14" t="s">
        <v>531</v>
      </c>
      <c r="J17" s="23"/>
      <c r="K17" s="23"/>
      <c r="L17" s="23"/>
      <c r="M17" s="23"/>
      <c r="N17" s="23"/>
      <c r="O17" s="23"/>
      <c r="P17" s="23"/>
      <c r="Q17" s="23"/>
      <c r="R17" s="23"/>
    </row>
    <row r="18" spans="1:18" ht="17.100000000000001" customHeight="1">
      <c r="A18" s="14" t="s">
        <v>532</v>
      </c>
      <c r="B18" s="14"/>
      <c r="C18" s="14"/>
      <c r="D18" s="14"/>
      <c r="E18" s="14"/>
      <c r="F18" s="14"/>
      <c r="G18" s="14"/>
      <c r="H18" s="14"/>
      <c r="I18" s="14" t="s">
        <v>533</v>
      </c>
      <c r="J18" s="23"/>
      <c r="K18" s="23"/>
      <c r="L18" s="23"/>
      <c r="M18" s="23"/>
      <c r="N18" s="23"/>
      <c r="O18" s="23"/>
      <c r="P18" s="23"/>
      <c r="Q18" s="23"/>
      <c r="R18" s="23"/>
    </row>
    <row r="19" spans="1:18" ht="17.100000000000001" customHeight="1">
      <c r="A19" s="14"/>
      <c r="B19" s="14"/>
      <c r="C19" s="14"/>
      <c r="D19" s="14"/>
      <c r="E19" s="14"/>
      <c r="F19" s="14"/>
      <c r="G19" s="14"/>
      <c r="H19" s="14"/>
      <c r="I19" s="14" t="s">
        <v>534</v>
      </c>
      <c r="J19" s="23"/>
      <c r="K19" s="23"/>
      <c r="L19" s="23"/>
      <c r="M19" s="23"/>
      <c r="N19" s="23"/>
      <c r="O19" s="23"/>
      <c r="P19" s="23"/>
      <c r="Q19" s="23"/>
      <c r="R19" s="23"/>
    </row>
    <row r="20" spans="1:18" ht="17.100000000000001" customHeight="1">
      <c r="A20" s="14" t="s">
        <v>535</v>
      </c>
      <c r="B20" s="14"/>
      <c r="C20" s="14"/>
      <c r="D20" s="14"/>
      <c r="E20" s="14"/>
      <c r="F20" s="14"/>
      <c r="G20" s="14"/>
      <c r="H20" s="14"/>
      <c r="I20" s="14" t="s">
        <v>536</v>
      </c>
      <c r="J20" s="23"/>
      <c r="K20" s="23"/>
      <c r="L20" s="23"/>
      <c r="M20" s="23"/>
      <c r="N20" s="23"/>
      <c r="O20" s="23"/>
      <c r="P20" s="23"/>
      <c r="Q20" s="23"/>
      <c r="R20" s="23"/>
    </row>
    <row r="21" spans="1:18" ht="17.100000000000001" customHeight="1">
      <c r="A21" s="14" t="s">
        <v>537</v>
      </c>
      <c r="B21" s="14"/>
      <c r="C21" s="14"/>
      <c r="D21" s="14"/>
      <c r="E21" s="14"/>
      <c r="F21" s="14"/>
      <c r="G21" s="14"/>
      <c r="H21" s="14"/>
      <c r="I21" s="14" t="s">
        <v>538</v>
      </c>
      <c r="J21" s="23"/>
      <c r="K21" s="23"/>
      <c r="L21" s="23"/>
      <c r="M21" s="23"/>
      <c r="N21" s="23"/>
      <c r="O21" s="23"/>
      <c r="P21" s="23"/>
      <c r="Q21" s="23"/>
      <c r="R21" s="23"/>
    </row>
    <row r="22" spans="1:18" ht="17.100000000000001" customHeight="1">
      <c r="A22" s="14" t="s">
        <v>539</v>
      </c>
      <c r="B22" s="14"/>
      <c r="C22" s="14"/>
      <c r="D22" s="14"/>
      <c r="E22" s="14"/>
      <c r="F22" s="14"/>
      <c r="G22" s="14"/>
      <c r="H22" s="14"/>
      <c r="I22" s="14" t="s">
        <v>540</v>
      </c>
      <c r="J22" s="23"/>
      <c r="K22" s="23"/>
      <c r="L22" s="23"/>
      <c r="M22" s="23"/>
      <c r="N22" s="23"/>
      <c r="O22" s="23"/>
      <c r="P22" s="23"/>
      <c r="Q22" s="23"/>
      <c r="R22" s="23"/>
    </row>
    <row r="23" spans="1:18" ht="17.100000000000001" customHeight="1">
      <c r="A23" s="14" t="s">
        <v>541</v>
      </c>
      <c r="B23" s="14"/>
      <c r="C23" s="14"/>
      <c r="D23" s="14"/>
      <c r="E23" s="14"/>
      <c r="F23" s="14"/>
      <c r="G23" s="14"/>
      <c r="H23" s="14"/>
      <c r="I23" s="14" t="s">
        <v>542</v>
      </c>
      <c r="J23" s="23"/>
      <c r="K23" s="23"/>
      <c r="L23" s="23"/>
      <c r="M23" s="23"/>
      <c r="N23" s="23"/>
      <c r="O23" s="23"/>
      <c r="P23" s="23"/>
      <c r="Q23" s="23"/>
      <c r="R23" s="23"/>
    </row>
    <row r="24" spans="1:18" ht="17.100000000000001" customHeight="1">
      <c r="A24" s="14"/>
      <c r="B24" s="14"/>
      <c r="C24" s="14"/>
      <c r="D24" s="14"/>
      <c r="E24" s="14"/>
      <c r="F24" s="14"/>
      <c r="G24" s="14"/>
      <c r="H24" s="14"/>
      <c r="I24" s="14" t="s">
        <v>543</v>
      </c>
      <c r="J24" s="23"/>
      <c r="K24" s="23"/>
      <c r="L24" s="23"/>
      <c r="M24" s="23"/>
      <c r="N24" s="23"/>
      <c r="O24" s="23"/>
      <c r="P24" s="23"/>
      <c r="Q24" s="23"/>
      <c r="R24" s="23"/>
    </row>
    <row r="25" spans="1:18" ht="17.100000000000001" customHeight="1">
      <c r="A25" s="14" t="s">
        <v>544</v>
      </c>
      <c r="B25" s="14"/>
      <c r="C25" s="14"/>
      <c r="D25" s="14"/>
      <c r="E25" s="14"/>
      <c r="F25" s="14"/>
      <c r="G25" s="14"/>
      <c r="H25" s="14"/>
      <c r="I25" s="14" t="s">
        <v>545</v>
      </c>
      <c r="J25" s="23"/>
      <c r="K25" s="23"/>
      <c r="L25" s="23"/>
      <c r="M25" s="23"/>
      <c r="N25" s="23"/>
      <c r="O25" s="23"/>
      <c r="P25" s="23"/>
      <c r="Q25" s="23"/>
      <c r="R25" s="23"/>
    </row>
    <row r="26" spans="1:18" ht="17.100000000000001" customHeight="1">
      <c r="A26" s="14" t="s">
        <v>546</v>
      </c>
      <c r="B26" s="14"/>
      <c r="C26" s="14"/>
      <c r="D26" s="14"/>
      <c r="E26" s="14"/>
      <c r="F26" s="14"/>
      <c r="G26" s="14"/>
      <c r="H26" s="14"/>
      <c r="I26" s="14" t="s">
        <v>547</v>
      </c>
      <c r="J26" s="23"/>
      <c r="K26" s="23"/>
      <c r="L26" s="23"/>
      <c r="M26" s="23"/>
      <c r="N26" s="23"/>
      <c r="O26" s="23"/>
      <c r="P26" s="23"/>
      <c r="Q26" s="23"/>
      <c r="R26" s="23"/>
    </row>
    <row r="27" spans="1:18" ht="17.100000000000001" customHeight="1">
      <c r="A27" s="14" t="s">
        <v>548</v>
      </c>
      <c r="B27" s="14"/>
      <c r="C27" s="14"/>
      <c r="D27" s="14"/>
      <c r="E27" s="14"/>
      <c r="F27" s="14"/>
      <c r="G27" s="14"/>
      <c r="H27" s="14"/>
      <c r="I27" s="14" t="s">
        <v>549</v>
      </c>
      <c r="J27" s="23"/>
      <c r="K27" s="23"/>
      <c r="L27" s="23"/>
      <c r="M27" s="23"/>
      <c r="N27" s="23"/>
      <c r="O27" s="23"/>
      <c r="P27" s="23"/>
      <c r="Q27" s="23"/>
      <c r="R27" s="23"/>
    </row>
    <row r="28" spans="1:18" ht="17.100000000000001" customHeight="1">
      <c r="A28" s="14"/>
      <c r="B28" s="14"/>
      <c r="C28" s="14"/>
      <c r="D28" s="14"/>
      <c r="E28" s="14"/>
      <c r="F28" s="14"/>
      <c r="G28" s="14"/>
      <c r="H28" s="14"/>
      <c r="I28" s="14" t="s">
        <v>550</v>
      </c>
      <c r="J28" s="23"/>
      <c r="K28" s="23"/>
      <c r="L28" s="23"/>
      <c r="M28" s="23"/>
      <c r="N28" s="23"/>
      <c r="O28" s="23"/>
      <c r="P28" s="23"/>
      <c r="Q28" s="23"/>
      <c r="R28" s="23"/>
    </row>
    <row r="29" spans="1:18" ht="17.100000000000001" customHeight="1">
      <c r="A29" s="14" t="s">
        <v>551</v>
      </c>
      <c r="B29" s="14"/>
      <c r="C29" s="14"/>
      <c r="D29" s="14"/>
      <c r="E29" s="14"/>
      <c r="F29" s="14"/>
      <c r="G29" s="14"/>
      <c r="H29" s="14"/>
      <c r="I29" s="14" t="s">
        <v>552</v>
      </c>
      <c r="J29" s="23"/>
      <c r="K29" s="23"/>
      <c r="L29" s="23"/>
      <c r="M29" s="23"/>
      <c r="N29" s="23"/>
      <c r="O29" s="23"/>
      <c r="P29" s="23"/>
      <c r="Q29" s="23"/>
      <c r="R29" s="23"/>
    </row>
    <row r="30" spans="1:18" ht="17.100000000000001" customHeight="1">
      <c r="A30" s="14" t="s">
        <v>553</v>
      </c>
      <c r="B30" s="14"/>
      <c r="C30" s="14"/>
      <c r="D30" s="14"/>
      <c r="E30" s="14"/>
      <c r="F30" s="14"/>
      <c r="G30" s="14"/>
      <c r="H30" s="14"/>
      <c r="I30" s="14" t="s">
        <v>554</v>
      </c>
      <c r="J30" s="23"/>
      <c r="K30" s="23"/>
      <c r="L30" s="23"/>
      <c r="M30" s="23"/>
      <c r="N30" s="23"/>
      <c r="O30" s="23"/>
      <c r="P30" s="23"/>
      <c r="Q30" s="23"/>
      <c r="R30" s="23"/>
    </row>
    <row r="31" spans="1:18" ht="17.100000000000001" customHeight="1">
      <c r="A31" s="14" t="s">
        <v>555</v>
      </c>
      <c r="B31" s="14"/>
      <c r="C31" s="14"/>
      <c r="D31" s="14"/>
      <c r="E31" s="14"/>
      <c r="F31" s="14"/>
      <c r="G31" s="14"/>
      <c r="H31" s="14"/>
      <c r="I31" s="14" t="s">
        <v>556</v>
      </c>
      <c r="J31" s="23"/>
      <c r="K31" s="23"/>
      <c r="L31" s="23"/>
      <c r="M31" s="23"/>
      <c r="N31" s="23"/>
      <c r="O31" s="23"/>
      <c r="P31" s="23"/>
      <c r="Q31" s="23"/>
      <c r="R31" s="23"/>
    </row>
    <row r="32" spans="1:18" ht="17.100000000000001" customHeight="1">
      <c r="A32" s="14"/>
      <c r="B32" s="14"/>
      <c r="C32" s="14"/>
      <c r="D32" s="14"/>
      <c r="E32" s="14"/>
      <c r="F32" s="14"/>
      <c r="G32" s="14"/>
      <c r="H32" s="14"/>
      <c r="I32" s="14"/>
      <c r="J32" s="23"/>
      <c r="K32" s="23"/>
      <c r="L32" s="23"/>
      <c r="M32" s="23"/>
      <c r="N32" s="23"/>
      <c r="O32" s="23"/>
      <c r="P32" s="23"/>
      <c r="Q32" s="23"/>
      <c r="R32" s="23"/>
    </row>
    <row r="33" spans="1:18" ht="17.100000000000001" customHeight="1">
      <c r="A33" s="14" t="s">
        <v>557</v>
      </c>
      <c r="B33" s="14"/>
      <c r="C33" s="14"/>
      <c r="D33" s="14"/>
      <c r="E33" s="14"/>
      <c r="F33" s="14"/>
      <c r="G33" s="14"/>
      <c r="H33" s="14"/>
      <c r="I33" s="14" t="s">
        <v>512</v>
      </c>
      <c r="J33" s="23"/>
      <c r="K33" s="23"/>
      <c r="L33" s="23"/>
      <c r="M33" s="23"/>
      <c r="N33" s="23"/>
      <c r="O33" s="23"/>
      <c r="P33" s="23"/>
      <c r="Q33" s="23"/>
      <c r="R33" s="23"/>
    </row>
    <row r="34" spans="1:18" ht="17.100000000000001" customHeight="1">
      <c r="A34" s="14" t="s">
        <v>558</v>
      </c>
      <c r="B34" s="14"/>
      <c r="C34" s="14"/>
      <c r="D34" s="14"/>
      <c r="E34" s="14"/>
      <c r="F34" s="14"/>
      <c r="G34" s="14"/>
      <c r="H34" s="14"/>
      <c r="I34" s="14" t="s">
        <v>559</v>
      </c>
      <c r="J34" s="23"/>
      <c r="K34" s="23"/>
      <c r="L34" s="23"/>
      <c r="M34" s="23"/>
      <c r="N34" s="23"/>
      <c r="O34" s="23"/>
      <c r="P34" s="23"/>
      <c r="Q34" s="23"/>
      <c r="R34" s="23"/>
    </row>
    <row r="35" spans="1:18" ht="17.100000000000001" customHeight="1">
      <c r="A35" s="14"/>
      <c r="B35" s="14"/>
      <c r="C35" s="14"/>
      <c r="D35" s="14"/>
      <c r="E35" s="14"/>
      <c r="F35" s="14"/>
      <c r="G35" s="14"/>
      <c r="H35" s="14"/>
      <c r="I35" s="14" t="s">
        <v>512</v>
      </c>
      <c r="J35" s="23"/>
      <c r="K35" s="23"/>
      <c r="L35" s="23"/>
      <c r="M35" s="23"/>
      <c r="N35" s="23"/>
      <c r="O35" s="23"/>
      <c r="P35" s="23"/>
      <c r="Q35" s="23"/>
      <c r="R35" s="23"/>
    </row>
    <row r="36" spans="1:18" ht="17.100000000000001" customHeight="1">
      <c r="A36" s="14" t="s">
        <v>560</v>
      </c>
      <c r="B36" s="14"/>
      <c r="C36" s="14"/>
      <c r="D36" s="14"/>
      <c r="E36" s="14"/>
      <c r="F36" s="14"/>
      <c r="G36" s="14"/>
      <c r="H36" s="14"/>
      <c r="I36" s="14"/>
      <c r="J36" s="23"/>
      <c r="K36" s="23"/>
      <c r="L36" s="23"/>
      <c r="M36" s="23"/>
      <c r="N36" s="23"/>
      <c r="O36" s="23"/>
      <c r="P36" s="23"/>
      <c r="Q36" s="23"/>
      <c r="R36" s="23"/>
    </row>
    <row r="37" spans="1:18" ht="17.100000000000001" customHeight="1">
      <c r="A37" s="14" t="s">
        <v>561</v>
      </c>
      <c r="B37" s="14"/>
      <c r="C37" s="14"/>
      <c r="D37" s="14"/>
      <c r="E37" s="14"/>
      <c r="F37" s="14"/>
      <c r="G37" s="14"/>
      <c r="H37" s="14"/>
      <c r="I37" s="14" t="s">
        <v>524</v>
      </c>
      <c r="J37" s="23"/>
      <c r="K37" s="23"/>
      <c r="L37" s="23"/>
      <c r="M37" s="23"/>
      <c r="N37" s="23"/>
      <c r="O37" s="23"/>
      <c r="P37" s="23"/>
      <c r="Q37" s="23"/>
      <c r="R37" s="23"/>
    </row>
    <row r="38" spans="1:18" ht="17.100000000000001" customHeight="1">
      <c r="A38" s="14"/>
      <c r="B38" s="14"/>
      <c r="C38" s="14"/>
      <c r="D38" s="14"/>
      <c r="E38" s="14"/>
      <c r="F38" s="14"/>
      <c r="G38" s="14"/>
      <c r="H38" s="14"/>
      <c r="I38" s="14" t="s">
        <v>525</v>
      </c>
      <c r="J38" s="23"/>
      <c r="K38" s="23"/>
      <c r="L38" s="23"/>
      <c r="M38" s="23"/>
      <c r="N38" s="23"/>
      <c r="O38" s="23"/>
      <c r="P38" s="23"/>
      <c r="Q38" s="23"/>
      <c r="R38" s="23"/>
    </row>
    <row r="39" spans="1:18" ht="17.100000000000001" customHeight="1">
      <c r="A39" s="14" t="s">
        <v>562</v>
      </c>
      <c r="B39" s="14"/>
      <c r="C39" s="14"/>
      <c r="D39" s="14"/>
      <c r="E39" s="14"/>
      <c r="F39" s="14"/>
      <c r="G39" s="14"/>
      <c r="H39" s="14"/>
      <c r="I39" s="14" t="s">
        <v>563</v>
      </c>
      <c r="J39" s="23"/>
      <c r="K39" s="23"/>
      <c r="L39" s="23"/>
      <c r="M39" s="23"/>
      <c r="N39" s="23"/>
      <c r="O39" s="23"/>
      <c r="P39" s="23"/>
      <c r="Q39" s="23"/>
      <c r="R39" s="23"/>
    </row>
    <row r="40" spans="1:18" ht="17.100000000000001" customHeight="1">
      <c r="A40" s="14" t="s">
        <v>564</v>
      </c>
      <c r="B40" s="14"/>
      <c r="C40" s="14"/>
      <c r="D40" s="14"/>
      <c r="E40" s="14"/>
      <c r="F40" s="14"/>
      <c r="G40" s="14"/>
      <c r="H40" s="14"/>
      <c r="I40" s="14" t="s">
        <v>565</v>
      </c>
      <c r="J40" s="23"/>
      <c r="K40" s="23"/>
      <c r="L40" s="23"/>
      <c r="M40" s="23"/>
      <c r="N40" s="23"/>
      <c r="O40" s="23"/>
      <c r="P40" s="23"/>
      <c r="Q40" s="23"/>
      <c r="R40" s="23"/>
    </row>
    <row r="41" spans="1:18" ht="17.100000000000001" customHeight="1">
      <c r="A41" s="14" t="s">
        <v>566</v>
      </c>
      <c r="B41" s="14"/>
      <c r="C41" s="14"/>
      <c r="D41" s="14"/>
      <c r="E41" s="14"/>
      <c r="F41" s="14"/>
      <c r="G41" s="14"/>
      <c r="H41" s="14"/>
      <c r="I41" s="14" t="s">
        <v>567</v>
      </c>
      <c r="J41" s="23"/>
      <c r="K41" s="23"/>
      <c r="L41" s="23"/>
      <c r="M41" s="23"/>
      <c r="N41" s="23"/>
      <c r="O41" s="23"/>
      <c r="P41" s="23"/>
      <c r="Q41" s="23"/>
      <c r="R41" s="23"/>
    </row>
    <row r="42" spans="1:18" ht="17.100000000000001" customHeight="1">
      <c r="A42" s="14" t="s">
        <v>568</v>
      </c>
      <c r="B42" s="14"/>
      <c r="C42" s="14"/>
      <c r="D42" s="14"/>
      <c r="E42" s="14"/>
      <c r="F42" s="14"/>
      <c r="G42" s="14"/>
      <c r="H42" s="14"/>
      <c r="I42" s="14" t="s">
        <v>569</v>
      </c>
      <c r="J42" s="23"/>
      <c r="K42" s="23"/>
      <c r="L42" s="23"/>
      <c r="M42" s="23"/>
      <c r="N42" s="23"/>
      <c r="O42" s="23"/>
      <c r="P42" s="23"/>
      <c r="Q42" s="23"/>
      <c r="R42" s="23"/>
    </row>
    <row r="43" spans="1:18" ht="17.100000000000001" customHeight="1">
      <c r="A43" s="14"/>
      <c r="B43" s="14"/>
      <c r="C43" s="14"/>
      <c r="D43" s="14"/>
      <c r="E43" s="14"/>
      <c r="F43" s="14"/>
      <c r="G43" s="14"/>
      <c r="H43" s="14"/>
      <c r="I43" s="14" t="s">
        <v>570</v>
      </c>
      <c r="J43" s="23"/>
      <c r="K43" s="23"/>
      <c r="L43" s="23"/>
      <c r="M43" s="23"/>
      <c r="N43" s="23"/>
      <c r="O43" s="23"/>
      <c r="P43" s="23"/>
      <c r="Q43" s="23"/>
      <c r="R43" s="23"/>
    </row>
    <row r="44" spans="1:18" ht="17.100000000000001" customHeight="1">
      <c r="A44" s="14" t="s">
        <v>571</v>
      </c>
      <c r="B44" s="14"/>
      <c r="C44" s="14"/>
      <c r="D44" s="14"/>
      <c r="E44" s="14"/>
      <c r="F44" s="14"/>
      <c r="G44" s="14"/>
      <c r="H44" s="14"/>
      <c r="I44" s="14" t="s">
        <v>572</v>
      </c>
      <c r="J44" s="23"/>
      <c r="K44" s="23"/>
      <c r="L44" s="23"/>
      <c r="M44" s="23"/>
      <c r="N44" s="23"/>
      <c r="O44" s="23"/>
      <c r="P44" s="23"/>
      <c r="Q44" s="23"/>
      <c r="R44" s="23"/>
    </row>
    <row r="45" spans="1:18" ht="17.100000000000001" customHeight="1">
      <c r="A45" s="14"/>
      <c r="B45" s="14"/>
      <c r="C45" s="14"/>
      <c r="D45" s="14"/>
      <c r="E45" s="14"/>
      <c r="F45" s="14"/>
      <c r="G45" s="14"/>
      <c r="H45" s="14"/>
      <c r="I45" s="14" t="s">
        <v>573</v>
      </c>
      <c r="J45" s="23"/>
      <c r="K45" s="23"/>
      <c r="L45" s="23"/>
      <c r="M45" s="23"/>
      <c r="N45" s="23"/>
      <c r="O45" s="23"/>
      <c r="P45" s="23"/>
      <c r="Q45" s="23"/>
      <c r="R45" s="23"/>
    </row>
    <row r="46" spans="1:18" ht="17.100000000000001" customHeight="1">
      <c r="A46" s="14" t="s">
        <v>574</v>
      </c>
      <c r="B46" s="14"/>
      <c r="C46" s="14"/>
      <c r="D46" s="14"/>
      <c r="E46" s="14"/>
      <c r="F46" s="14"/>
      <c r="G46" s="14"/>
      <c r="H46" s="14"/>
      <c r="I46" s="14" t="s">
        <v>575</v>
      </c>
      <c r="J46" s="23"/>
      <c r="K46" s="23"/>
      <c r="L46" s="23"/>
      <c r="M46" s="23"/>
      <c r="N46" s="23"/>
      <c r="O46" s="23"/>
      <c r="P46" s="23"/>
      <c r="Q46" s="23"/>
      <c r="R46" s="23"/>
    </row>
    <row r="47" spans="1:18" ht="17.100000000000001" customHeight="1">
      <c r="A47" s="14"/>
      <c r="B47" s="14"/>
      <c r="C47" s="14"/>
      <c r="D47" s="14"/>
      <c r="E47" s="14"/>
      <c r="F47" s="14"/>
      <c r="G47" s="14"/>
      <c r="H47" s="14"/>
      <c r="I47" s="14" t="s">
        <v>576</v>
      </c>
      <c r="J47" s="23"/>
      <c r="K47" s="23"/>
      <c r="L47" s="23"/>
      <c r="M47" s="23"/>
      <c r="N47" s="23"/>
      <c r="O47" s="23"/>
      <c r="P47" s="23"/>
      <c r="Q47" s="23"/>
      <c r="R47" s="23"/>
    </row>
    <row r="48" spans="1:18" ht="17.100000000000001" customHeight="1">
      <c r="A48" s="14" t="s">
        <v>519</v>
      </c>
      <c r="B48" s="14"/>
      <c r="C48" s="14"/>
      <c r="D48" s="14"/>
      <c r="E48" s="14"/>
      <c r="F48" s="14"/>
      <c r="G48" s="14"/>
      <c r="H48" s="14"/>
      <c r="I48" s="14" t="s">
        <v>577</v>
      </c>
      <c r="J48" s="23"/>
      <c r="K48" s="23"/>
      <c r="L48" s="23"/>
      <c r="M48" s="23"/>
      <c r="N48" s="23"/>
      <c r="O48" s="23"/>
      <c r="P48" s="23"/>
      <c r="Q48" s="23"/>
      <c r="R48" s="23"/>
    </row>
    <row r="49" spans="1:18" ht="17.100000000000001" customHeight="1">
      <c r="A49" s="14" t="s">
        <v>578</v>
      </c>
      <c r="B49" s="14"/>
      <c r="C49" s="14"/>
      <c r="D49" s="14"/>
      <c r="E49" s="14"/>
      <c r="F49" s="14"/>
      <c r="G49" s="14"/>
      <c r="H49" s="14"/>
      <c r="I49" s="14"/>
      <c r="J49" s="23"/>
      <c r="K49" s="23"/>
      <c r="L49" s="23"/>
      <c r="M49" s="23"/>
      <c r="N49" s="23"/>
      <c r="O49" s="23"/>
      <c r="P49" s="23"/>
      <c r="Q49" s="23"/>
      <c r="R49" s="23"/>
    </row>
    <row r="50" spans="1:18" ht="17.100000000000001" customHeight="1">
      <c r="A50" s="14" t="s">
        <v>519</v>
      </c>
      <c r="B50" s="14"/>
      <c r="C50" s="14"/>
      <c r="D50" s="14"/>
      <c r="E50" s="14"/>
      <c r="F50" s="14"/>
      <c r="G50" s="14"/>
      <c r="H50" s="14"/>
      <c r="I50" s="14"/>
      <c r="J50" s="23"/>
      <c r="K50" s="23"/>
      <c r="L50" s="23"/>
      <c r="M50" s="23"/>
      <c r="N50" s="23"/>
      <c r="O50" s="23"/>
      <c r="P50" s="23"/>
      <c r="Q50" s="23"/>
      <c r="R50" s="23"/>
    </row>
    <row r="51" spans="1:18" ht="17.100000000000001" customHeight="1">
      <c r="A51" s="14"/>
      <c r="B51" s="14"/>
      <c r="C51" s="14"/>
      <c r="D51" s="14"/>
      <c r="E51" s="14"/>
      <c r="F51" s="14"/>
      <c r="G51" s="14"/>
      <c r="H51" s="14"/>
      <c r="I51" s="14" t="s">
        <v>579</v>
      </c>
      <c r="J51" s="23"/>
      <c r="K51" s="23"/>
      <c r="L51" s="23"/>
      <c r="M51" s="23"/>
      <c r="N51" s="23"/>
      <c r="O51" s="23"/>
      <c r="P51" s="23"/>
      <c r="Q51" s="23"/>
      <c r="R51" s="23"/>
    </row>
    <row r="52" spans="1:18" ht="17.100000000000001" customHeight="1">
      <c r="A52" s="14" t="s">
        <v>580</v>
      </c>
      <c r="B52" s="14"/>
      <c r="C52" s="14"/>
      <c r="D52" s="14"/>
      <c r="E52" s="14"/>
      <c r="F52" s="14"/>
      <c r="G52" s="14"/>
      <c r="H52" s="14"/>
      <c r="I52" s="14" t="s">
        <v>581</v>
      </c>
      <c r="J52" s="23"/>
      <c r="K52" s="23"/>
      <c r="L52" s="23"/>
      <c r="M52" s="23"/>
      <c r="N52" s="23"/>
      <c r="O52" s="23"/>
      <c r="P52" s="23"/>
      <c r="Q52" s="23"/>
      <c r="R52" s="23"/>
    </row>
    <row r="53" spans="1:18" ht="17.100000000000001" customHeight="1">
      <c r="A53" s="14" t="s">
        <v>582</v>
      </c>
      <c r="B53" s="14"/>
      <c r="C53" s="14"/>
      <c r="D53" s="14"/>
      <c r="E53" s="14"/>
      <c r="F53" s="14"/>
      <c r="G53" s="14"/>
      <c r="H53" s="14"/>
      <c r="I53" s="14" t="s">
        <v>583</v>
      </c>
      <c r="J53" s="23"/>
      <c r="K53" s="23"/>
      <c r="L53" s="23"/>
      <c r="M53" s="23"/>
      <c r="N53" s="23"/>
      <c r="O53" s="23"/>
      <c r="P53" s="23"/>
      <c r="Q53" s="23"/>
      <c r="R53" s="23"/>
    </row>
    <row r="54" spans="1:18" ht="17.100000000000001" customHeight="1">
      <c r="A54" s="14" t="s">
        <v>584</v>
      </c>
      <c r="B54" s="14"/>
      <c r="C54" s="14"/>
      <c r="D54" s="14"/>
      <c r="E54" s="14"/>
      <c r="F54" s="14"/>
      <c r="G54" s="14"/>
      <c r="H54" s="14"/>
      <c r="I54" s="14" t="s">
        <v>585</v>
      </c>
      <c r="J54" s="23"/>
      <c r="K54" s="23"/>
      <c r="L54" s="23"/>
      <c r="M54" s="23"/>
      <c r="N54" s="23"/>
      <c r="O54" s="23"/>
      <c r="P54" s="23"/>
      <c r="Q54" s="23"/>
      <c r="R54" s="23"/>
    </row>
    <row r="55" spans="1:18" ht="17.100000000000001" customHeight="1">
      <c r="A55" s="14" t="s">
        <v>586</v>
      </c>
      <c r="B55" s="14"/>
      <c r="C55" s="14"/>
      <c r="D55" s="14"/>
      <c r="E55" s="14"/>
      <c r="F55" s="14"/>
      <c r="G55" s="14"/>
      <c r="H55" s="14"/>
      <c r="I55" s="14" t="s">
        <v>587</v>
      </c>
      <c r="J55" s="23"/>
      <c r="K55" s="23"/>
      <c r="L55" s="23"/>
      <c r="M55" s="23"/>
      <c r="N55" s="23"/>
      <c r="O55" s="23"/>
      <c r="P55" s="23"/>
      <c r="Q55" s="23"/>
      <c r="R55" s="23"/>
    </row>
    <row r="56" spans="1:18" ht="17.100000000000001" customHeight="1">
      <c r="A56" s="14" t="s">
        <v>588</v>
      </c>
      <c r="B56" s="14"/>
      <c r="C56" s="14"/>
      <c r="D56" s="14"/>
      <c r="E56" s="14"/>
      <c r="F56" s="14"/>
      <c r="G56" s="14"/>
      <c r="H56" s="14"/>
      <c r="I56" s="14" t="s">
        <v>589</v>
      </c>
      <c r="J56" s="23"/>
      <c r="K56" s="23"/>
      <c r="L56" s="23"/>
      <c r="M56" s="23"/>
      <c r="N56" s="23"/>
      <c r="O56" s="23"/>
      <c r="P56" s="23"/>
      <c r="Q56" s="23"/>
      <c r="R56" s="23"/>
    </row>
    <row r="57" spans="1:18" ht="17.100000000000001" customHeight="1">
      <c r="A57" s="14" t="s">
        <v>590</v>
      </c>
      <c r="B57" s="14"/>
      <c r="C57" s="14"/>
      <c r="D57" s="14"/>
      <c r="E57" s="14"/>
      <c r="F57" s="14"/>
      <c r="G57" s="14"/>
      <c r="H57" s="14"/>
      <c r="I57" s="14" t="s">
        <v>591</v>
      </c>
      <c r="J57" s="23"/>
      <c r="K57" s="23"/>
      <c r="L57" s="23"/>
      <c r="M57" s="23"/>
      <c r="N57" s="23"/>
      <c r="O57" s="23"/>
      <c r="P57" s="23"/>
      <c r="Q57" s="23"/>
      <c r="R57" s="23"/>
    </row>
    <row r="58" spans="1:18" ht="17.100000000000001" customHeight="1">
      <c r="A58" s="14" t="s">
        <v>592</v>
      </c>
      <c r="B58" s="14"/>
      <c r="C58" s="14"/>
      <c r="D58" s="14"/>
      <c r="E58" s="14"/>
      <c r="F58" s="14"/>
      <c r="G58" s="14"/>
      <c r="H58" s="14"/>
      <c r="I58" s="14" t="s">
        <v>593</v>
      </c>
      <c r="J58" s="23"/>
      <c r="K58" s="23"/>
      <c r="L58" s="23"/>
      <c r="M58" s="23"/>
      <c r="N58" s="23"/>
      <c r="O58" s="23"/>
      <c r="P58" s="23"/>
      <c r="Q58" s="23"/>
      <c r="R58" s="23"/>
    </row>
    <row r="59" spans="1:18" ht="17.100000000000001" customHeight="1">
      <c r="A59" s="14"/>
      <c r="B59" s="14"/>
      <c r="C59" s="14"/>
      <c r="D59" s="14"/>
      <c r="E59" s="14"/>
      <c r="F59" s="14"/>
      <c r="G59" s="14"/>
      <c r="H59" s="14"/>
      <c r="I59" s="14"/>
      <c r="J59" s="23"/>
      <c r="K59" s="23"/>
      <c r="L59" s="23"/>
      <c r="M59" s="23"/>
      <c r="N59" s="23"/>
      <c r="O59" s="23"/>
      <c r="P59" s="23"/>
      <c r="Q59" s="23"/>
      <c r="R59" s="23"/>
    </row>
    <row r="60" spans="1:18" ht="17.100000000000001" customHeight="1">
      <c r="A60" s="14" t="s">
        <v>519</v>
      </c>
      <c r="B60" s="14"/>
      <c r="C60" s="14"/>
      <c r="D60" s="14"/>
      <c r="E60" s="14"/>
      <c r="F60" s="14"/>
      <c r="G60" s="14"/>
      <c r="H60" s="14"/>
      <c r="I60" s="14" t="s">
        <v>512</v>
      </c>
      <c r="J60" s="23"/>
      <c r="K60" s="23"/>
      <c r="L60" s="23"/>
      <c r="M60" s="23"/>
      <c r="N60" s="23"/>
      <c r="O60" s="23"/>
      <c r="P60" s="23"/>
      <c r="Q60" s="23"/>
      <c r="R60" s="23"/>
    </row>
    <row r="61" spans="1:18" ht="17.100000000000001" customHeight="1">
      <c r="A61" s="14" t="s">
        <v>594</v>
      </c>
      <c r="B61" s="14"/>
      <c r="C61" s="14"/>
      <c r="D61" s="14"/>
      <c r="E61" s="14"/>
      <c r="F61" s="14"/>
      <c r="G61" s="14"/>
      <c r="H61" s="14"/>
      <c r="I61" s="14" t="s">
        <v>595</v>
      </c>
      <c r="J61" s="23"/>
      <c r="K61" s="23"/>
      <c r="L61" s="23"/>
      <c r="M61" s="23"/>
      <c r="N61" s="23"/>
      <c r="O61" s="23"/>
      <c r="P61" s="23"/>
      <c r="Q61" s="23"/>
      <c r="R61" s="23"/>
    </row>
    <row r="62" spans="1:18" ht="17.100000000000001" customHeight="1">
      <c r="A62" s="14" t="s">
        <v>519</v>
      </c>
      <c r="B62" s="14"/>
      <c r="C62" s="14"/>
      <c r="D62" s="14"/>
      <c r="E62" s="14"/>
      <c r="F62" s="14"/>
      <c r="G62" s="14"/>
      <c r="H62" s="14"/>
      <c r="I62" s="14" t="s">
        <v>512</v>
      </c>
      <c r="J62" s="23"/>
      <c r="K62" s="23"/>
      <c r="L62" s="23"/>
      <c r="M62" s="23"/>
      <c r="N62" s="23"/>
      <c r="O62" s="23"/>
      <c r="P62" s="23"/>
      <c r="Q62" s="23"/>
      <c r="R62" s="23"/>
    </row>
    <row r="63" spans="1:18" ht="17.100000000000001" customHeight="1">
      <c r="A63" s="14"/>
      <c r="B63" s="14"/>
      <c r="C63" s="14"/>
      <c r="D63" s="14"/>
      <c r="E63" s="14"/>
      <c r="F63" s="14"/>
      <c r="G63" s="14"/>
      <c r="H63" s="14"/>
      <c r="I63" s="14"/>
      <c r="J63" s="23"/>
      <c r="K63" s="23"/>
      <c r="L63" s="23"/>
      <c r="M63" s="23"/>
      <c r="N63" s="23"/>
      <c r="O63" s="23"/>
      <c r="P63" s="23"/>
      <c r="Q63" s="23"/>
      <c r="R63" s="23"/>
    </row>
    <row r="64" spans="1:18" ht="17.100000000000001" customHeight="1">
      <c r="A64" s="14" t="s">
        <v>524</v>
      </c>
      <c r="B64" s="14"/>
      <c r="C64" s="14"/>
      <c r="D64" s="14"/>
      <c r="E64" s="14"/>
      <c r="F64" s="14"/>
      <c r="G64" s="14"/>
      <c r="H64" s="14"/>
      <c r="I64" s="14" t="s">
        <v>596</v>
      </c>
      <c r="J64" s="23"/>
      <c r="K64" s="23"/>
      <c r="L64" s="23"/>
      <c r="M64" s="23"/>
      <c r="N64" s="23"/>
      <c r="O64" s="23"/>
      <c r="P64" s="23"/>
      <c r="Q64" s="23"/>
      <c r="R64" s="23"/>
    </row>
    <row r="65" spans="1:18" ht="17.100000000000001" customHeight="1">
      <c r="A65" s="14" t="s">
        <v>597</v>
      </c>
      <c r="B65" s="14"/>
      <c r="C65" s="14"/>
      <c r="D65" s="14"/>
      <c r="E65" s="14"/>
      <c r="F65" s="14"/>
      <c r="G65" s="14"/>
      <c r="H65" s="14"/>
      <c r="I65" s="14"/>
      <c r="J65" s="23"/>
      <c r="K65" s="23"/>
      <c r="L65" s="23"/>
      <c r="M65" s="23"/>
      <c r="N65" s="23"/>
      <c r="O65" s="23"/>
      <c r="P65" s="23"/>
      <c r="Q65" s="23"/>
      <c r="R65" s="23"/>
    </row>
    <row r="66" spans="1:18" ht="17.100000000000001" customHeight="1">
      <c r="A66" s="14" t="s">
        <v>598</v>
      </c>
      <c r="B66" s="14"/>
      <c r="C66" s="14"/>
      <c r="D66" s="14"/>
      <c r="E66" s="14"/>
      <c r="F66" s="14"/>
      <c r="G66" s="14"/>
      <c r="H66" s="14"/>
      <c r="I66" s="14" t="s">
        <v>599</v>
      </c>
      <c r="J66" s="23"/>
      <c r="K66" s="23"/>
      <c r="L66" s="23"/>
      <c r="M66" s="23"/>
      <c r="N66" s="23"/>
      <c r="O66" s="23"/>
      <c r="P66" s="23"/>
      <c r="Q66" s="23"/>
      <c r="R66" s="23"/>
    </row>
    <row r="67" spans="1:18" ht="17.100000000000001" customHeight="1">
      <c r="A67" s="14"/>
      <c r="B67" s="14"/>
      <c r="C67" s="14"/>
      <c r="D67" s="14"/>
      <c r="E67" s="14"/>
      <c r="F67" s="14"/>
      <c r="G67" s="14"/>
      <c r="H67" s="14"/>
      <c r="I67" s="14" t="s">
        <v>600</v>
      </c>
      <c r="J67" s="23"/>
      <c r="K67" s="23"/>
      <c r="L67" s="23"/>
      <c r="M67" s="23"/>
      <c r="N67" s="23"/>
      <c r="O67" s="23"/>
      <c r="P67" s="23"/>
      <c r="Q67" s="23"/>
      <c r="R67" s="23"/>
    </row>
    <row r="68" spans="1:18" ht="17.100000000000001" customHeight="1">
      <c r="A68" s="14" t="s">
        <v>524</v>
      </c>
      <c r="B68" s="14"/>
      <c r="C68" s="14"/>
      <c r="D68" s="14"/>
      <c r="E68" s="14"/>
      <c r="F68" s="14"/>
      <c r="G68" s="14"/>
      <c r="H68" s="14"/>
      <c r="I68" s="14" t="s">
        <v>601</v>
      </c>
      <c r="J68" s="23"/>
      <c r="K68" s="23"/>
      <c r="L68" s="23"/>
      <c r="M68" s="23"/>
      <c r="N68" s="23"/>
      <c r="O68" s="23"/>
      <c r="P68" s="23"/>
      <c r="Q68" s="23"/>
      <c r="R68" s="23"/>
    </row>
    <row r="69" spans="1:18" ht="17.100000000000001" customHeight="1">
      <c r="A69" s="14" t="s">
        <v>602</v>
      </c>
      <c r="B69" s="14"/>
      <c r="C69" s="14"/>
      <c r="D69" s="14"/>
      <c r="E69" s="14"/>
      <c r="F69" s="14"/>
      <c r="G69" s="14"/>
      <c r="H69" s="14"/>
      <c r="I69" s="14" t="s">
        <v>603</v>
      </c>
      <c r="J69" s="23"/>
      <c r="K69" s="23"/>
      <c r="L69" s="23"/>
      <c r="M69" s="23"/>
      <c r="N69" s="23"/>
      <c r="O69" s="23"/>
      <c r="P69" s="23"/>
      <c r="Q69" s="23"/>
      <c r="R69" s="23"/>
    </row>
    <row r="70" spans="1:18" ht="17.100000000000001" customHeight="1">
      <c r="A70" s="14" t="s">
        <v>604</v>
      </c>
      <c r="B70" s="14"/>
      <c r="C70" s="14"/>
      <c r="D70" s="14"/>
      <c r="E70" s="14"/>
      <c r="F70" s="14"/>
      <c r="G70" s="14"/>
      <c r="H70" s="14"/>
      <c r="I70" s="14"/>
      <c r="J70" s="23"/>
      <c r="K70" s="23"/>
      <c r="L70" s="23"/>
      <c r="M70" s="23"/>
      <c r="N70" s="23"/>
      <c r="O70" s="23"/>
      <c r="P70" s="23"/>
      <c r="Q70" s="23"/>
      <c r="R70" s="23"/>
    </row>
    <row r="71" spans="1:18" ht="17.100000000000001" customHeight="1">
      <c r="A71" s="14"/>
      <c r="B71" s="14"/>
      <c r="C71" s="14"/>
      <c r="D71" s="14"/>
      <c r="E71" s="14"/>
      <c r="F71" s="14"/>
      <c r="G71" s="14"/>
      <c r="H71" s="14"/>
      <c r="I71" s="14" t="s">
        <v>605</v>
      </c>
      <c r="J71" s="23"/>
      <c r="K71" s="23"/>
      <c r="L71" s="23"/>
      <c r="M71" s="23"/>
      <c r="N71" s="23"/>
      <c r="O71" s="23"/>
      <c r="P71" s="23"/>
      <c r="Q71" s="23"/>
      <c r="R71" s="23"/>
    </row>
    <row r="72" spans="1:18" ht="17.100000000000001" customHeight="1">
      <c r="A72" s="14" t="s">
        <v>524</v>
      </c>
      <c r="B72" s="14"/>
      <c r="C72" s="14"/>
      <c r="D72" s="14"/>
      <c r="E72" s="14"/>
      <c r="F72" s="14"/>
      <c r="G72" s="14"/>
      <c r="H72" s="14"/>
      <c r="I72" s="14" t="s">
        <v>606</v>
      </c>
      <c r="J72" s="23"/>
      <c r="K72" s="23"/>
      <c r="L72" s="23"/>
      <c r="M72" s="23"/>
      <c r="N72" s="23"/>
      <c r="O72" s="23"/>
      <c r="P72" s="23"/>
      <c r="Q72" s="23"/>
      <c r="R72" s="23"/>
    </row>
    <row r="73" spans="1:18" ht="17.100000000000001" customHeight="1">
      <c r="A73" s="14" t="s">
        <v>607</v>
      </c>
      <c r="B73" s="14"/>
      <c r="C73" s="14"/>
      <c r="D73" s="14"/>
      <c r="E73" s="14"/>
      <c r="F73" s="14"/>
      <c r="G73" s="14"/>
      <c r="H73" s="14"/>
      <c r="I73" s="14" t="s">
        <v>608</v>
      </c>
      <c r="J73" s="23"/>
      <c r="K73" s="23"/>
      <c r="L73" s="23"/>
      <c r="M73" s="23"/>
      <c r="N73" s="23"/>
      <c r="O73" s="23"/>
      <c r="P73" s="23"/>
      <c r="Q73" s="23"/>
      <c r="R73" s="23"/>
    </row>
    <row r="74" spans="1:18" ht="17.100000000000001" customHeight="1">
      <c r="A74" s="14" t="s">
        <v>609</v>
      </c>
      <c r="B74" s="14"/>
      <c r="C74" s="14"/>
      <c r="D74" s="14"/>
      <c r="E74" s="14"/>
      <c r="F74" s="14"/>
      <c r="G74" s="14"/>
      <c r="H74" s="14"/>
      <c r="I74" s="14"/>
      <c r="J74" s="23"/>
      <c r="K74" s="23"/>
      <c r="L74" s="23"/>
      <c r="M74" s="23"/>
      <c r="N74" s="23"/>
      <c r="O74" s="23"/>
      <c r="P74" s="23"/>
      <c r="Q74" s="23"/>
      <c r="R74" s="23"/>
    </row>
    <row r="75" spans="1:18" ht="17.100000000000001" customHeight="1">
      <c r="A75" s="14"/>
      <c r="B75" s="14"/>
      <c r="C75" s="14"/>
      <c r="D75" s="14"/>
      <c r="E75" s="14"/>
      <c r="F75" s="14"/>
      <c r="G75" s="14"/>
      <c r="H75" s="14"/>
      <c r="I75" s="14" t="s">
        <v>610</v>
      </c>
      <c r="J75" s="23"/>
      <c r="K75" s="23"/>
      <c r="L75" s="23"/>
      <c r="M75" s="23"/>
      <c r="N75" s="23"/>
      <c r="O75" s="23"/>
      <c r="P75" s="23"/>
      <c r="Q75" s="23"/>
      <c r="R75" s="23"/>
    </row>
    <row r="76" spans="1:18" ht="17.100000000000001" customHeight="1">
      <c r="A76" s="14" t="s">
        <v>524</v>
      </c>
      <c r="B76" s="14"/>
      <c r="C76" s="14"/>
      <c r="D76" s="14"/>
      <c r="E76" s="14"/>
      <c r="F76" s="14"/>
      <c r="G76" s="14"/>
      <c r="H76" s="14"/>
      <c r="I76" s="14" t="s">
        <v>611</v>
      </c>
      <c r="J76" s="23"/>
      <c r="K76" s="23"/>
      <c r="L76" s="23"/>
      <c r="M76" s="23"/>
      <c r="N76" s="23"/>
      <c r="O76" s="23"/>
      <c r="P76" s="23"/>
      <c r="Q76" s="23"/>
      <c r="R76" s="23"/>
    </row>
    <row r="77" spans="1:18" ht="17.100000000000001" customHeight="1">
      <c r="A77" s="14" t="s">
        <v>612</v>
      </c>
      <c r="B77" s="14"/>
      <c r="C77" s="14"/>
      <c r="D77" s="14"/>
      <c r="E77" s="14"/>
      <c r="F77" s="14"/>
      <c r="G77" s="14"/>
      <c r="H77" s="14"/>
      <c r="I77" s="14" t="s">
        <v>613</v>
      </c>
      <c r="J77" s="23"/>
      <c r="K77" s="23"/>
      <c r="L77" s="23"/>
      <c r="M77" s="23"/>
      <c r="N77" s="23"/>
      <c r="O77" s="23"/>
      <c r="P77" s="23"/>
      <c r="Q77" s="23"/>
      <c r="R77" s="23"/>
    </row>
    <row r="78" spans="1:18" ht="17.100000000000001" customHeight="1">
      <c r="A78" s="14" t="s">
        <v>614</v>
      </c>
      <c r="B78" s="14"/>
      <c r="C78" s="14"/>
      <c r="D78" s="14"/>
      <c r="E78" s="14"/>
      <c r="F78" s="14"/>
      <c r="G78" s="14"/>
      <c r="H78" s="14"/>
      <c r="I78" s="14"/>
      <c r="J78" s="23"/>
      <c r="K78" s="23"/>
      <c r="L78" s="23"/>
      <c r="M78" s="23"/>
      <c r="N78" s="23"/>
      <c r="O78" s="23"/>
      <c r="P78" s="23"/>
      <c r="Q78" s="23"/>
      <c r="R78" s="23"/>
    </row>
    <row r="79" spans="1:18" ht="17.100000000000001" customHeight="1">
      <c r="A79" s="14"/>
      <c r="B79" s="14"/>
      <c r="C79" s="14"/>
      <c r="D79" s="14"/>
      <c r="E79" s="14"/>
      <c r="F79" s="14"/>
      <c r="G79" s="14"/>
      <c r="H79" s="14"/>
      <c r="I79" s="14" t="s">
        <v>615</v>
      </c>
      <c r="J79" s="23"/>
      <c r="K79" s="23"/>
      <c r="L79" s="23"/>
      <c r="M79" s="23"/>
      <c r="N79" s="23"/>
      <c r="O79" s="23"/>
      <c r="P79" s="23"/>
      <c r="Q79" s="23"/>
      <c r="R79" s="23"/>
    </row>
    <row r="80" spans="1:18" ht="17.100000000000001" customHeight="1">
      <c r="A80" s="14" t="s">
        <v>524</v>
      </c>
      <c r="B80" s="14"/>
      <c r="C80" s="14"/>
      <c r="D80" s="14"/>
      <c r="E80" s="14"/>
      <c r="F80" s="14"/>
      <c r="G80" s="14"/>
      <c r="H80" s="14"/>
      <c r="I80" s="14" t="s">
        <v>616</v>
      </c>
      <c r="J80" s="23"/>
      <c r="K80" s="23"/>
      <c r="L80" s="23"/>
      <c r="M80" s="23"/>
      <c r="N80" s="23"/>
      <c r="O80" s="23"/>
      <c r="P80" s="23"/>
      <c r="Q80" s="23"/>
      <c r="R80" s="23"/>
    </row>
    <row r="81" spans="1:18" ht="17.100000000000001" customHeight="1">
      <c r="A81" s="14" t="s">
        <v>617</v>
      </c>
      <c r="B81" s="14"/>
      <c r="C81" s="14"/>
      <c r="D81" s="14"/>
      <c r="E81" s="14"/>
      <c r="F81" s="14"/>
      <c r="G81" s="14"/>
      <c r="H81" s="14"/>
      <c r="I81" s="14"/>
      <c r="J81" s="23"/>
      <c r="K81" s="23"/>
      <c r="L81" s="23"/>
      <c r="M81" s="23"/>
      <c r="N81" s="23"/>
      <c r="O81" s="23"/>
      <c r="P81" s="23"/>
      <c r="Q81" s="23"/>
      <c r="R81" s="23"/>
    </row>
    <row r="82" spans="1:18" ht="17.100000000000001" customHeight="1">
      <c r="A82" s="14" t="s">
        <v>618</v>
      </c>
      <c r="B82" s="14"/>
      <c r="C82" s="14"/>
      <c r="D82" s="14"/>
      <c r="E82" s="14"/>
      <c r="F82" s="14"/>
      <c r="G82" s="14"/>
      <c r="H82" s="14"/>
      <c r="I82" s="14" t="s">
        <v>619</v>
      </c>
      <c r="J82" s="23"/>
      <c r="K82" s="23"/>
      <c r="L82" s="23"/>
      <c r="M82" s="23"/>
      <c r="N82" s="23"/>
      <c r="O82" s="23"/>
      <c r="P82" s="23"/>
      <c r="Q82" s="23"/>
      <c r="R82" s="23"/>
    </row>
    <row r="83" spans="1:18" ht="17.100000000000001" customHeight="1">
      <c r="A83" s="14"/>
      <c r="B83" s="14"/>
      <c r="C83" s="14"/>
      <c r="D83" s="14"/>
      <c r="E83" s="14"/>
      <c r="F83" s="14"/>
      <c r="G83" s="14"/>
      <c r="H83" s="14"/>
      <c r="I83" s="14" t="s">
        <v>620</v>
      </c>
      <c r="J83" s="23"/>
      <c r="K83" s="23"/>
      <c r="L83" s="23"/>
      <c r="M83" s="23"/>
      <c r="N83" s="23"/>
      <c r="O83" s="23"/>
      <c r="P83" s="23"/>
      <c r="Q83" s="23"/>
      <c r="R83" s="23"/>
    </row>
    <row r="84" spans="1:18" ht="17.100000000000001" customHeight="1">
      <c r="A84" s="14" t="s">
        <v>519</v>
      </c>
      <c r="B84" s="14"/>
      <c r="C84" s="14"/>
      <c r="D84" s="14"/>
      <c r="E84" s="14"/>
      <c r="F84" s="14"/>
      <c r="G84" s="14"/>
      <c r="H84" s="14"/>
      <c r="I84" s="14"/>
      <c r="J84" s="23"/>
      <c r="K84" s="23"/>
      <c r="L84" s="23"/>
      <c r="M84" s="23"/>
      <c r="N84" s="23"/>
      <c r="O84" s="23"/>
      <c r="P84" s="23"/>
      <c r="Q84" s="23"/>
      <c r="R84" s="23"/>
    </row>
    <row r="85" spans="1:18" ht="17.100000000000001" customHeight="1">
      <c r="A85" s="14" t="s">
        <v>621</v>
      </c>
      <c r="B85" s="14"/>
      <c r="C85" s="14"/>
      <c r="D85" s="14"/>
      <c r="E85" s="14"/>
      <c r="F85" s="14"/>
      <c r="G85" s="14"/>
      <c r="H85" s="14"/>
      <c r="I85" s="14" t="s">
        <v>622</v>
      </c>
      <c r="J85" s="23"/>
      <c r="K85" s="23"/>
      <c r="L85" s="23"/>
      <c r="M85" s="23"/>
      <c r="N85" s="23"/>
      <c r="O85" s="23"/>
      <c r="P85" s="23"/>
      <c r="Q85" s="23"/>
      <c r="R85" s="23"/>
    </row>
    <row r="86" spans="1:18" ht="17.100000000000001" customHeight="1">
      <c r="A86" s="14" t="s">
        <v>519</v>
      </c>
      <c r="B86" s="14"/>
      <c r="C86" s="14"/>
      <c r="D86" s="14"/>
      <c r="E86" s="14"/>
      <c r="F86" s="14"/>
      <c r="G86" s="14"/>
      <c r="H86" s="14"/>
      <c r="I86" s="14" t="s">
        <v>623</v>
      </c>
      <c r="J86" s="23"/>
      <c r="K86" s="23"/>
      <c r="L86" s="23"/>
      <c r="M86" s="23"/>
      <c r="N86" s="23"/>
      <c r="O86" s="23"/>
      <c r="P86" s="23"/>
      <c r="Q86" s="23"/>
      <c r="R86" s="23"/>
    </row>
    <row r="87" spans="1:18" ht="17.100000000000001" customHeight="1">
      <c r="A87" s="14" t="s">
        <v>524</v>
      </c>
      <c r="B87" s="14"/>
      <c r="C87" s="14"/>
      <c r="D87" s="14"/>
      <c r="E87" s="14"/>
      <c r="F87" s="14"/>
      <c r="G87" s="14"/>
      <c r="H87" s="14"/>
      <c r="I87" s="14" t="s">
        <v>624</v>
      </c>
      <c r="J87" s="23"/>
      <c r="K87" s="23"/>
      <c r="L87" s="23"/>
      <c r="M87" s="23"/>
      <c r="N87" s="23"/>
      <c r="O87" s="23"/>
      <c r="P87" s="23"/>
      <c r="Q87" s="23"/>
      <c r="R87" s="23"/>
    </row>
    <row r="88" spans="1:18" ht="17.100000000000001" customHeight="1">
      <c r="A88" s="14" t="s">
        <v>625</v>
      </c>
      <c r="B88" s="14"/>
      <c r="C88" s="14"/>
      <c r="D88" s="14"/>
      <c r="E88" s="14"/>
      <c r="F88" s="14"/>
      <c r="G88" s="14"/>
      <c r="H88" s="14"/>
      <c r="I88" s="14" t="s">
        <v>626</v>
      </c>
      <c r="J88" s="23"/>
      <c r="K88" s="23"/>
      <c r="L88" s="23"/>
      <c r="M88" s="23"/>
      <c r="N88" s="23"/>
      <c r="O88" s="23"/>
      <c r="P88" s="23"/>
      <c r="Q88" s="23"/>
      <c r="R88" s="23"/>
    </row>
    <row r="89" spans="1:18" ht="17.100000000000001" customHeight="1">
      <c r="A89" s="14" t="s">
        <v>627</v>
      </c>
      <c r="B89" s="14"/>
      <c r="C89" s="14"/>
      <c r="D89" s="14"/>
      <c r="E89" s="14"/>
      <c r="F89" s="14"/>
      <c r="G89" s="14"/>
      <c r="H89" s="14"/>
      <c r="I89" s="14"/>
      <c r="J89" s="23"/>
      <c r="K89" s="23"/>
      <c r="L89" s="23"/>
      <c r="M89" s="23"/>
      <c r="N89" s="23"/>
      <c r="O89" s="23"/>
      <c r="P89" s="23"/>
      <c r="Q89" s="23"/>
      <c r="R89" s="23"/>
    </row>
    <row r="90" spans="1:18" ht="17.100000000000001" customHeight="1">
      <c r="A90" s="14"/>
      <c r="B90" s="14"/>
      <c r="C90" s="14"/>
      <c r="D90" s="14"/>
      <c r="E90" s="14"/>
      <c r="F90" s="14"/>
      <c r="G90" s="14"/>
      <c r="H90" s="14"/>
      <c r="I90" s="14" t="s">
        <v>628</v>
      </c>
      <c r="J90" s="23"/>
      <c r="K90" s="23"/>
      <c r="L90" s="23"/>
      <c r="M90" s="23"/>
      <c r="N90" s="23"/>
      <c r="O90" s="23"/>
      <c r="P90" s="23"/>
      <c r="Q90" s="23"/>
      <c r="R90" s="23"/>
    </row>
    <row r="91" spans="1:18" ht="17.100000000000001" customHeight="1">
      <c r="A91" s="14" t="s">
        <v>524</v>
      </c>
      <c r="B91" s="14"/>
      <c r="C91" s="14"/>
      <c r="D91" s="14"/>
      <c r="E91" s="14"/>
      <c r="F91" s="14"/>
      <c r="G91" s="14"/>
      <c r="H91" s="14"/>
      <c r="I91" s="14"/>
      <c r="J91" s="23"/>
      <c r="K91" s="23"/>
      <c r="L91" s="23"/>
      <c r="M91" s="23"/>
      <c r="N91" s="23"/>
      <c r="O91" s="23"/>
      <c r="P91" s="23"/>
      <c r="Q91" s="23"/>
      <c r="R91" s="23"/>
    </row>
    <row r="92" spans="1:18" ht="17.100000000000001" customHeight="1">
      <c r="A92" s="14" t="s">
        <v>629</v>
      </c>
      <c r="B92" s="14"/>
      <c r="C92" s="14"/>
      <c r="D92" s="14"/>
      <c r="E92" s="14"/>
      <c r="F92" s="14"/>
      <c r="G92" s="14"/>
      <c r="H92" s="14"/>
      <c r="I92" s="14" t="s">
        <v>512</v>
      </c>
      <c r="J92" s="23"/>
      <c r="K92" s="23"/>
      <c r="L92" s="23"/>
      <c r="M92" s="23"/>
      <c r="N92" s="23"/>
      <c r="O92" s="23"/>
      <c r="P92" s="23"/>
      <c r="Q92" s="23"/>
      <c r="R92" s="23"/>
    </row>
    <row r="93" spans="1:18" ht="17.100000000000001" customHeight="1">
      <c r="A93" s="14" t="s">
        <v>630</v>
      </c>
      <c r="B93" s="14"/>
      <c r="C93" s="14"/>
      <c r="D93" s="14"/>
      <c r="E93" s="14"/>
      <c r="F93" s="14"/>
      <c r="G93" s="14"/>
      <c r="H93" s="14"/>
      <c r="I93" s="14" t="s">
        <v>631</v>
      </c>
      <c r="J93" s="23"/>
      <c r="K93" s="23"/>
      <c r="L93" s="23"/>
      <c r="M93" s="23"/>
      <c r="N93" s="23"/>
      <c r="O93" s="23"/>
      <c r="P93" s="23"/>
      <c r="Q93" s="23"/>
      <c r="R93" s="23"/>
    </row>
    <row r="94" spans="1:18" ht="17.100000000000001" customHeight="1">
      <c r="A94" s="14"/>
      <c r="B94" s="14"/>
      <c r="C94" s="14"/>
      <c r="D94" s="14"/>
      <c r="E94" s="14"/>
      <c r="F94" s="14"/>
      <c r="G94" s="14"/>
      <c r="H94" s="14"/>
      <c r="I94" s="14" t="s">
        <v>512</v>
      </c>
      <c r="J94" s="23"/>
      <c r="K94" s="23"/>
      <c r="L94" s="23"/>
      <c r="M94" s="23"/>
      <c r="N94" s="23"/>
      <c r="O94" s="23"/>
      <c r="P94" s="23"/>
      <c r="Q94" s="23"/>
      <c r="R94" s="23"/>
    </row>
    <row r="95" spans="1:18" ht="17.100000000000001" customHeight="1">
      <c r="A95" s="14" t="s">
        <v>524</v>
      </c>
      <c r="B95" s="14"/>
      <c r="C95" s="14"/>
      <c r="D95" s="14"/>
      <c r="E95" s="14"/>
      <c r="F95" s="14"/>
      <c r="G95" s="14"/>
      <c r="H95" s="14"/>
      <c r="I95" s="14" t="s">
        <v>632</v>
      </c>
      <c r="J95" s="23"/>
      <c r="K95" s="23"/>
      <c r="L95" s="23"/>
      <c r="M95" s="23"/>
      <c r="N95" s="23"/>
      <c r="O95" s="23"/>
      <c r="P95" s="23"/>
      <c r="Q95" s="23"/>
      <c r="R95" s="23"/>
    </row>
    <row r="96" spans="1:18" ht="17.100000000000001" customHeight="1">
      <c r="A96" s="14" t="s">
        <v>633</v>
      </c>
      <c r="B96" s="14"/>
      <c r="C96" s="14"/>
      <c r="D96" s="14"/>
      <c r="E96" s="14"/>
      <c r="F96" s="14"/>
      <c r="G96" s="14"/>
      <c r="H96" s="14"/>
      <c r="I96" s="14" t="s">
        <v>634</v>
      </c>
      <c r="J96" s="23"/>
      <c r="K96" s="23"/>
      <c r="L96" s="23"/>
      <c r="M96" s="23"/>
      <c r="N96" s="23"/>
      <c r="O96" s="23"/>
      <c r="P96" s="23"/>
      <c r="Q96" s="23"/>
      <c r="R96" s="23"/>
    </row>
    <row r="97" spans="1:18" ht="17.100000000000001" customHeight="1">
      <c r="A97" s="14" t="s">
        <v>635</v>
      </c>
      <c r="B97" s="14"/>
      <c r="C97" s="14"/>
      <c r="D97" s="14"/>
      <c r="E97" s="14"/>
      <c r="F97" s="14"/>
      <c r="G97" s="14"/>
      <c r="H97" s="14"/>
      <c r="I97" s="14" t="s">
        <v>636</v>
      </c>
      <c r="J97" s="23"/>
      <c r="K97" s="23"/>
      <c r="L97" s="23"/>
      <c r="M97" s="23"/>
      <c r="N97" s="23"/>
      <c r="O97" s="23"/>
      <c r="P97" s="23"/>
      <c r="Q97" s="23"/>
      <c r="R97" s="23"/>
    </row>
    <row r="98" spans="1:18" ht="17.100000000000001" customHeight="1">
      <c r="A98" s="14"/>
      <c r="B98" s="14"/>
      <c r="C98" s="14"/>
      <c r="D98" s="14"/>
      <c r="E98" s="14"/>
      <c r="F98" s="14"/>
      <c r="G98" s="14"/>
      <c r="H98" s="14"/>
      <c r="I98" s="14"/>
      <c r="J98" s="23"/>
      <c r="K98" s="23"/>
      <c r="L98" s="23"/>
      <c r="M98" s="23"/>
      <c r="N98" s="23"/>
      <c r="O98" s="23"/>
      <c r="P98" s="23"/>
      <c r="Q98" s="23"/>
      <c r="R98" s="23"/>
    </row>
    <row r="99" spans="1:18" ht="17.100000000000001" customHeight="1">
      <c r="A99" s="14" t="s">
        <v>524</v>
      </c>
      <c r="B99" s="14"/>
      <c r="C99" s="14"/>
      <c r="D99" s="14"/>
      <c r="E99" s="14"/>
      <c r="F99" s="14"/>
      <c r="G99" s="14"/>
      <c r="H99" s="14"/>
      <c r="I99" s="14" t="s">
        <v>637</v>
      </c>
      <c r="J99" s="23"/>
      <c r="K99" s="23"/>
      <c r="L99" s="23"/>
      <c r="M99" s="23"/>
      <c r="N99" s="23"/>
      <c r="O99" s="23"/>
      <c r="P99" s="23"/>
      <c r="Q99" s="23"/>
      <c r="R99" s="23"/>
    </row>
    <row r="100" spans="1:18" ht="17.100000000000001" customHeight="1">
      <c r="A100" s="14" t="s">
        <v>638</v>
      </c>
      <c r="B100" s="14"/>
      <c r="C100" s="14"/>
      <c r="D100" s="14"/>
      <c r="E100" s="14"/>
      <c r="F100" s="14"/>
      <c r="G100" s="14"/>
      <c r="H100" s="14"/>
      <c r="I100" s="14" t="s">
        <v>639</v>
      </c>
      <c r="J100" s="23"/>
      <c r="K100" s="23"/>
      <c r="L100" s="23"/>
      <c r="M100" s="23"/>
      <c r="N100" s="23"/>
      <c r="O100" s="23"/>
      <c r="P100" s="23"/>
      <c r="Q100" s="23"/>
      <c r="R100" s="23"/>
    </row>
    <row r="101" spans="1:18" ht="17.100000000000001" customHeight="1">
      <c r="A101" s="14" t="s">
        <v>640</v>
      </c>
      <c r="B101" s="14"/>
      <c r="C101" s="14"/>
      <c r="D101" s="14"/>
      <c r="E101" s="14"/>
      <c r="F101" s="14"/>
      <c r="G101" s="14"/>
      <c r="H101" s="14"/>
      <c r="I101" s="14" t="s">
        <v>641</v>
      </c>
      <c r="J101" s="23"/>
      <c r="K101" s="23"/>
      <c r="L101" s="23"/>
      <c r="M101" s="23"/>
      <c r="N101" s="23"/>
      <c r="O101" s="23"/>
      <c r="P101" s="23"/>
      <c r="Q101" s="23"/>
      <c r="R101" s="23"/>
    </row>
    <row r="102" spans="1:18" ht="17.100000000000001" customHeight="1">
      <c r="A102" s="14"/>
      <c r="B102" s="14"/>
      <c r="C102" s="14"/>
      <c r="D102" s="14"/>
      <c r="E102" s="14"/>
      <c r="F102" s="14"/>
      <c r="G102" s="14"/>
      <c r="H102" s="14"/>
      <c r="I102" s="14" t="s">
        <v>642</v>
      </c>
      <c r="J102" s="23"/>
      <c r="K102" s="23"/>
      <c r="L102" s="23"/>
      <c r="M102" s="23"/>
      <c r="N102" s="23"/>
      <c r="O102" s="23"/>
      <c r="P102" s="23"/>
      <c r="Q102" s="23"/>
      <c r="R102" s="23"/>
    </row>
    <row r="103" spans="1:18" ht="17.100000000000001" customHeight="1">
      <c r="A103" s="14" t="s">
        <v>524</v>
      </c>
      <c r="B103" s="14"/>
      <c r="C103" s="14"/>
      <c r="D103" s="14"/>
      <c r="E103" s="14"/>
      <c r="F103" s="14"/>
      <c r="G103" s="14"/>
      <c r="H103" s="14"/>
      <c r="I103" s="14" t="s">
        <v>643</v>
      </c>
      <c r="J103" s="23"/>
      <c r="K103" s="23"/>
      <c r="L103" s="23"/>
      <c r="M103" s="23"/>
      <c r="N103" s="23"/>
      <c r="O103" s="23"/>
      <c r="P103" s="23"/>
      <c r="Q103" s="23"/>
      <c r="R103" s="23"/>
    </row>
    <row r="104" spans="1:18" ht="17.100000000000001" customHeight="1">
      <c r="A104" s="14" t="s">
        <v>644</v>
      </c>
      <c r="B104" s="14"/>
      <c r="C104" s="14"/>
      <c r="D104" s="14"/>
      <c r="E104" s="14"/>
      <c r="F104" s="14"/>
      <c r="G104" s="14"/>
      <c r="H104" s="14"/>
      <c r="I104" s="14" t="s">
        <v>645</v>
      </c>
      <c r="J104" s="23"/>
      <c r="K104" s="23"/>
      <c r="L104" s="23"/>
      <c r="M104" s="23"/>
      <c r="N104" s="23"/>
      <c r="O104" s="23"/>
      <c r="P104" s="23"/>
      <c r="Q104" s="23"/>
      <c r="R104" s="23"/>
    </row>
    <row r="105" spans="1:18" ht="17.100000000000001" customHeight="1">
      <c r="A105" s="14" t="s">
        <v>646</v>
      </c>
      <c r="B105" s="14"/>
      <c r="C105" s="14"/>
      <c r="D105" s="14"/>
      <c r="E105" s="14"/>
      <c r="F105" s="14"/>
      <c r="G105" s="14"/>
      <c r="H105" s="14"/>
      <c r="I105" s="14" t="s">
        <v>647</v>
      </c>
      <c r="J105" s="23"/>
      <c r="K105" s="23"/>
      <c r="L105" s="23"/>
      <c r="M105" s="23"/>
      <c r="N105" s="23"/>
      <c r="O105" s="23"/>
      <c r="P105" s="23"/>
      <c r="Q105" s="23"/>
      <c r="R105" s="23"/>
    </row>
    <row r="106" spans="1:18" ht="17.100000000000001" customHeight="1">
      <c r="A106" s="14"/>
      <c r="B106" s="14"/>
      <c r="C106" s="14"/>
      <c r="D106" s="14"/>
      <c r="E106" s="14"/>
      <c r="F106" s="14"/>
      <c r="G106" s="14"/>
      <c r="H106" s="14"/>
      <c r="I106" s="14" t="s">
        <v>648</v>
      </c>
      <c r="J106" s="23"/>
      <c r="K106" s="23"/>
      <c r="L106" s="23"/>
      <c r="M106" s="23"/>
      <c r="N106" s="23"/>
      <c r="O106" s="23"/>
      <c r="P106" s="23"/>
      <c r="Q106" s="23"/>
      <c r="R106" s="23"/>
    </row>
    <row r="107" spans="1:18" ht="17.100000000000001" customHeight="1">
      <c r="A107" s="14" t="s">
        <v>524</v>
      </c>
      <c r="B107" s="14"/>
      <c r="C107" s="14"/>
      <c r="D107" s="14"/>
      <c r="E107" s="14"/>
      <c r="F107" s="14"/>
      <c r="G107" s="14"/>
      <c r="H107" s="14"/>
      <c r="I107" s="14"/>
      <c r="J107" s="23"/>
      <c r="K107" s="23"/>
      <c r="L107" s="23"/>
      <c r="M107" s="23"/>
      <c r="N107" s="23"/>
      <c r="O107" s="23"/>
      <c r="P107" s="23"/>
      <c r="Q107" s="23"/>
      <c r="R107" s="23"/>
    </row>
    <row r="108" spans="1:18" ht="17.100000000000001" customHeight="1">
      <c r="A108" s="14" t="s">
        <v>649</v>
      </c>
      <c r="B108" s="14"/>
      <c r="C108" s="14"/>
      <c r="D108" s="14"/>
      <c r="E108" s="14"/>
      <c r="F108" s="14"/>
      <c r="G108" s="14"/>
      <c r="H108" s="14"/>
      <c r="I108" s="14" t="s">
        <v>650</v>
      </c>
      <c r="J108" s="23"/>
      <c r="K108" s="23"/>
      <c r="L108" s="23"/>
      <c r="M108" s="23"/>
      <c r="N108" s="23"/>
      <c r="O108" s="23"/>
      <c r="P108" s="23"/>
      <c r="Q108" s="23"/>
      <c r="R108" s="23"/>
    </row>
    <row r="109" spans="1:18" ht="17.100000000000001" customHeight="1">
      <c r="A109" s="14" t="s">
        <v>651</v>
      </c>
      <c r="B109" s="14"/>
      <c r="C109" s="14"/>
      <c r="D109" s="14"/>
      <c r="E109" s="14"/>
      <c r="F109" s="14"/>
      <c r="G109" s="14"/>
      <c r="H109" s="14"/>
      <c r="I109" s="14" t="s">
        <v>652</v>
      </c>
      <c r="J109" s="23"/>
      <c r="K109" s="23"/>
      <c r="L109" s="23"/>
      <c r="M109" s="23"/>
      <c r="N109" s="23"/>
      <c r="O109" s="23"/>
      <c r="P109" s="23"/>
      <c r="Q109" s="23"/>
      <c r="R109" s="23"/>
    </row>
    <row r="110" spans="1:18" ht="17.100000000000001" customHeight="1">
      <c r="A110" s="14"/>
      <c r="B110" s="14"/>
      <c r="C110" s="14"/>
      <c r="D110" s="14"/>
      <c r="E110" s="14"/>
      <c r="F110" s="14"/>
      <c r="G110" s="14"/>
      <c r="H110" s="14"/>
      <c r="I110" s="14" t="s">
        <v>645</v>
      </c>
      <c r="J110" s="23"/>
      <c r="K110" s="23"/>
      <c r="L110" s="23"/>
      <c r="M110" s="23"/>
      <c r="N110" s="23"/>
      <c r="O110" s="23"/>
      <c r="P110" s="23"/>
      <c r="Q110" s="23"/>
      <c r="R110" s="23"/>
    </row>
    <row r="111" spans="1:18" ht="17.100000000000001" customHeight="1">
      <c r="A111" s="14" t="s">
        <v>519</v>
      </c>
      <c r="B111" s="14"/>
      <c r="C111" s="14"/>
      <c r="D111" s="14"/>
      <c r="E111" s="14"/>
      <c r="F111" s="14"/>
      <c r="G111" s="14"/>
      <c r="H111" s="14"/>
      <c r="I111" s="14" t="s">
        <v>653</v>
      </c>
      <c r="J111" s="23"/>
      <c r="K111" s="23"/>
      <c r="L111" s="23"/>
      <c r="M111" s="23"/>
      <c r="N111" s="23"/>
      <c r="O111" s="23"/>
      <c r="P111" s="23"/>
      <c r="Q111" s="23"/>
      <c r="R111" s="23"/>
    </row>
    <row r="112" spans="1:18" ht="17.100000000000001" customHeight="1">
      <c r="A112" s="14" t="s">
        <v>654</v>
      </c>
      <c r="B112" s="14"/>
      <c r="C112" s="14"/>
      <c r="D112" s="14"/>
      <c r="E112" s="14"/>
      <c r="F112" s="14"/>
      <c r="G112" s="14"/>
      <c r="H112" s="14"/>
      <c r="I112" s="14" t="s">
        <v>655</v>
      </c>
      <c r="J112" s="23"/>
      <c r="K112" s="23"/>
      <c r="L112" s="23"/>
      <c r="M112" s="23"/>
      <c r="N112" s="23"/>
      <c r="O112" s="23"/>
      <c r="P112" s="23"/>
      <c r="Q112" s="23"/>
      <c r="R112" s="23"/>
    </row>
    <row r="113" spans="1:18" ht="17.100000000000001" customHeight="1">
      <c r="A113" s="14" t="s">
        <v>519</v>
      </c>
      <c r="B113" s="14"/>
      <c r="C113" s="14"/>
      <c r="D113" s="14"/>
      <c r="E113" s="14"/>
      <c r="F113" s="14"/>
      <c r="G113" s="14"/>
      <c r="H113" s="14"/>
      <c r="I113" s="14"/>
      <c r="J113" s="23"/>
      <c r="K113" s="23"/>
      <c r="L113" s="23"/>
      <c r="M113" s="23"/>
      <c r="N113" s="23"/>
      <c r="O113" s="23"/>
      <c r="P113" s="23"/>
      <c r="Q113" s="23"/>
      <c r="R113" s="23"/>
    </row>
    <row r="114" spans="1:18" ht="17.100000000000001" customHeight="1">
      <c r="A114" s="14" t="s">
        <v>656</v>
      </c>
      <c r="B114" s="14"/>
      <c r="C114" s="14"/>
      <c r="D114" s="14"/>
      <c r="E114" s="14"/>
      <c r="F114" s="14"/>
      <c r="G114" s="14"/>
      <c r="H114" s="14"/>
      <c r="I114" s="14" t="s">
        <v>657</v>
      </c>
      <c r="J114" s="23"/>
      <c r="K114" s="23"/>
      <c r="L114" s="23"/>
      <c r="M114" s="23"/>
      <c r="N114" s="23"/>
      <c r="O114" s="23"/>
      <c r="P114" s="23"/>
      <c r="Q114" s="23"/>
      <c r="R114" s="23"/>
    </row>
    <row r="115" spans="1:18" ht="17.100000000000001" customHeight="1">
      <c r="A115" s="14" t="s">
        <v>658</v>
      </c>
      <c r="B115" s="14"/>
      <c r="C115" s="14"/>
      <c r="D115" s="14"/>
      <c r="E115" s="14"/>
      <c r="F115" s="14"/>
      <c r="G115" s="14"/>
      <c r="H115" s="14"/>
      <c r="I115" s="14" t="s">
        <v>652</v>
      </c>
      <c r="J115" s="23"/>
      <c r="K115" s="23"/>
      <c r="L115" s="23"/>
      <c r="M115" s="23"/>
      <c r="N115" s="23"/>
      <c r="O115" s="23"/>
      <c r="P115" s="23"/>
      <c r="Q115" s="23"/>
      <c r="R115" s="23"/>
    </row>
    <row r="116" spans="1:18" ht="17.100000000000001" customHeight="1">
      <c r="A116" s="14" t="s">
        <v>636</v>
      </c>
      <c r="B116" s="14"/>
      <c r="C116" s="14"/>
      <c r="D116" s="14"/>
      <c r="E116" s="14"/>
      <c r="F116" s="14"/>
      <c r="G116" s="14"/>
      <c r="H116" s="14"/>
      <c r="I116" s="14" t="s">
        <v>645</v>
      </c>
      <c r="J116" s="23"/>
      <c r="K116" s="23"/>
      <c r="L116" s="23"/>
      <c r="M116" s="23"/>
      <c r="N116" s="23"/>
      <c r="O116" s="23"/>
      <c r="P116" s="23"/>
      <c r="Q116" s="23"/>
      <c r="R116" s="23"/>
    </row>
    <row r="117" spans="1:18" ht="17.100000000000001" customHeight="1">
      <c r="A117" s="14"/>
      <c r="B117" s="14"/>
      <c r="C117" s="14"/>
      <c r="D117" s="14"/>
      <c r="E117" s="14"/>
      <c r="F117" s="14"/>
      <c r="G117" s="14"/>
      <c r="H117" s="14"/>
      <c r="I117" s="14" t="s">
        <v>659</v>
      </c>
      <c r="J117" s="23"/>
      <c r="K117" s="23"/>
      <c r="L117" s="23"/>
      <c r="M117" s="23"/>
      <c r="N117" s="23"/>
      <c r="O117" s="23"/>
      <c r="P117" s="23"/>
      <c r="Q117" s="23"/>
      <c r="R117" s="23"/>
    </row>
    <row r="118" spans="1:18" ht="17.100000000000001" customHeight="1">
      <c r="A118" s="14" t="s">
        <v>660</v>
      </c>
      <c r="B118" s="14"/>
      <c r="C118" s="14"/>
      <c r="D118" s="14"/>
      <c r="E118" s="14"/>
      <c r="F118" s="14"/>
      <c r="G118" s="14"/>
      <c r="H118" s="14"/>
      <c r="I118" s="14"/>
      <c r="J118" s="23"/>
      <c r="K118" s="23"/>
      <c r="L118" s="23"/>
      <c r="M118" s="23"/>
      <c r="N118" s="23"/>
      <c r="O118" s="23"/>
      <c r="P118" s="23"/>
      <c r="Q118" s="23"/>
      <c r="R118" s="23"/>
    </row>
    <row r="119" spans="1:18" ht="17.100000000000001" customHeight="1">
      <c r="A119" s="14"/>
      <c r="B119" s="14"/>
      <c r="C119" s="14"/>
      <c r="D119" s="14"/>
      <c r="E119" s="14"/>
      <c r="F119" s="14"/>
      <c r="G119" s="14"/>
      <c r="H119" s="14"/>
      <c r="I119" s="14" t="s">
        <v>512</v>
      </c>
      <c r="J119" s="23"/>
      <c r="K119" s="23"/>
      <c r="L119" s="23"/>
      <c r="M119" s="23"/>
      <c r="N119" s="23"/>
      <c r="O119" s="23"/>
      <c r="P119" s="23"/>
      <c r="Q119" s="23"/>
      <c r="R119" s="23"/>
    </row>
    <row r="120" spans="1:18" ht="17.100000000000001" customHeight="1">
      <c r="A120" s="14" t="s">
        <v>661</v>
      </c>
      <c r="B120" s="14"/>
      <c r="C120" s="14"/>
      <c r="D120" s="14"/>
      <c r="E120" s="14"/>
      <c r="F120" s="14"/>
      <c r="G120" s="14"/>
      <c r="H120" s="14"/>
      <c r="I120" s="14" t="s">
        <v>662</v>
      </c>
      <c r="J120" s="23"/>
      <c r="K120" s="23"/>
      <c r="L120" s="23"/>
      <c r="M120" s="23"/>
      <c r="N120" s="23"/>
      <c r="O120" s="23"/>
      <c r="P120" s="23"/>
      <c r="Q120" s="23"/>
      <c r="R120" s="23"/>
    </row>
    <row r="121" spans="1:18" ht="17.100000000000001" customHeight="1">
      <c r="A121" s="14" t="s">
        <v>639</v>
      </c>
      <c r="B121" s="14"/>
      <c r="C121" s="14"/>
      <c r="D121" s="14"/>
      <c r="E121" s="14"/>
      <c r="F121" s="14"/>
      <c r="G121" s="14"/>
      <c r="H121" s="14"/>
      <c r="I121" s="14" t="s">
        <v>512</v>
      </c>
      <c r="J121" s="23"/>
      <c r="K121" s="23"/>
      <c r="L121" s="23"/>
      <c r="M121" s="23"/>
      <c r="N121" s="23"/>
      <c r="O121" s="23"/>
      <c r="P121" s="23"/>
      <c r="Q121" s="23"/>
      <c r="R121" s="23"/>
    </row>
    <row r="122" spans="1:18" ht="17.100000000000001" customHeight="1">
      <c r="A122" s="14" t="s">
        <v>641</v>
      </c>
      <c r="B122" s="14"/>
      <c r="C122" s="14"/>
      <c r="D122" s="14"/>
      <c r="E122" s="14"/>
      <c r="F122" s="14"/>
      <c r="G122" s="14"/>
      <c r="H122" s="14"/>
      <c r="I122" s="14" t="s">
        <v>663</v>
      </c>
      <c r="J122" s="23"/>
      <c r="K122" s="23"/>
      <c r="L122" s="23"/>
      <c r="M122" s="23"/>
      <c r="N122" s="23"/>
      <c r="O122" s="23"/>
      <c r="P122" s="23"/>
      <c r="Q122" s="23"/>
      <c r="R122" s="23"/>
    </row>
    <row r="123" spans="1:18" ht="17.100000000000001" customHeight="1">
      <c r="A123" s="14" t="s">
        <v>642</v>
      </c>
      <c r="B123" s="14"/>
      <c r="C123" s="14"/>
      <c r="D123" s="14"/>
      <c r="E123" s="14"/>
      <c r="F123" s="14"/>
      <c r="G123" s="14"/>
      <c r="H123" s="14"/>
      <c r="I123" s="14"/>
      <c r="J123" s="23"/>
      <c r="K123" s="23"/>
      <c r="L123" s="23"/>
      <c r="M123" s="23"/>
      <c r="N123" s="23"/>
      <c r="O123" s="23"/>
      <c r="P123" s="23"/>
      <c r="Q123" s="23"/>
      <c r="R123" s="23"/>
    </row>
    <row r="124" spans="1:18" ht="17.100000000000001" customHeight="1">
      <c r="A124" s="14" t="s">
        <v>664</v>
      </c>
      <c r="B124" s="14"/>
      <c r="C124" s="14"/>
      <c r="D124" s="14"/>
      <c r="E124" s="14"/>
      <c r="F124" s="14"/>
      <c r="G124" s="14"/>
      <c r="H124" s="14"/>
      <c r="I124" s="14" t="s">
        <v>665</v>
      </c>
      <c r="J124" s="23"/>
      <c r="K124" s="23"/>
      <c r="L124" s="23"/>
      <c r="M124" s="23"/>
      <c r="N124" s="23"/>
      <c r="O124" s="23"/>
      <c r="P124" s="23"/>
      <c r="Q124" s="23"/>
      <c r="R124" s="23"/>
    </row>
    <row r="125" spans="1:18" ht="17.100000000000001" customHeight="1">
      <c r="A125" s="14" t="s">
        <v>645</v>
      </c>
      <c r="B125" s="14"/>
      <c r="C125" s="14"/>
      <c r="D125" s="14"/>
      <c r="E125" s="14"/>
      <c r="F125" s="14"/>
      <c r="G125" s="14"/>
      <c r="H125" s="14"/>
      <c r="I125" s="14" t="s">
        <v>636</v>
      </c>
      <c r="J125" s="23"/>
      <c r="K125" s="23"/>
      <c r="L125" s="23"/>
      <c r="M125" s="23"/>
      <c r="N125" s="23"/>
      <c r="O125" s="23"/>
      <c r="P125" s="23"/>
      <c r="Q125" s="23"/>
      <c r="R125" s="23"/>
    </row>
    <row r="126" spans="1:18" ht="17.100000000000001" customHeight="1">
      <c r="A126" s="14" t="s">
        <v>647</v>
      </c>
      <c r="B126" s="14"/>
      <c r="C126" s="14"/>
      <c r="D126" s="14"/>
      <c r="E126" s="14"/>
      <c r="F126" s="14"/>
      <c r="G126" s="14"/>
      <c r="H126" s="14"/>
      <c r="I126" s="14"/>
      <c r="J126" s="23"/>
      <c r="K126" s="23"/>
      <c r="L126" s="23"/>
      <c r="M126" s="23"/>
      <c r="N126" s="23"/>
      <c r="O126" s="23"/>
      <c r="P126" s="23"/>
      <c r="Q126" s="23"/>
      <c r="R126" s="23"/>
    </row>
    <row r="127" spans="1:18" ht="17.100000000000001" customHeight="1">
      <c r="A127" s="14" t="s">
        <v>648</v>
      </c>
      <c r="B127" s="14"/>
      <c r="C127" s="14"/>
      <c r="D127" s="14"/>
      <c r="E127" s="14"/>
      <c r="F127" s="14"/>
      <c r="G127" s="14"/>
      <c r="H127" s="14"/>
      <c r="I127" s="14" t="s">
        <v>666</v>
      </c>
      <c r="J127" s="23"/>
      <c r="K127" s="23"/>
      <c r="L127" s="23"/>
      <c r="M127" s="23"/>
      <c r="N127" s="23"/>
      <c r="O127" s="23"/>
      <c r="P127" s="23"/>
      <c r="Q127" s="23"/>
      <c r="R127" s="23"/>
    </row>
    <row r="128" spans="1:18" ht="17.100000000000001" customHeight="1">
      <c r="A128" s="14"/>
      <c r="B128" s="14"/>
      <c r="C128" s="14"/>
      <c r="D128" s="14"/>
      <c r="E128" s="14"/>
      <c r="F128" s="14"/>
      <c r="G128" s="14"/>
      <c r="H128" s="14"/>
      <c r="I128" s="14"/>
      <c r="J128" s="23"/>
      <c r="K128" s="23"/>
      <c r="L128" s="23"/>
      <c r="M128" s="23"/>
      <c r="N128" s="23"/>
      <c r="O128" s="23"/>
      <c r="P128" s="23"/>
      <c r="Q128" s="23"/>
      <c r="R128" s="23"/>
    </row>
    <row r="129" spans="1:18" ht="17.100000000000001" customHeight="1">
      <c r="A129" s="14" t="s">
        <v>667</v>
      </c>
      <c r="B129" s="14"/>
      <c r="C129" s="14"/>
      <c r="D129" s="14"/>
      <c r="E129" s="14"/>
      <c r="F129" s="14"/>
      <c r="G129" s="14"/>
      <c r="H129" s="14"/>
      <c r="I129" s="14" t="s">
        <v>639</v>
      </c>
      <c r="J129" s="23"/>
      <c r="K129" s="23"/>
      <c r="L129" s="23"/>
      <c r="M129" s="23"/>
      <c r="N129" s="23"/>
      <c r="O129" s="23"/>
      <c r="P129" s="23"/>
      <c r="Q129" s="23"/>
      <c r="R129" s="23"/>
    </row>
    <row r="130" spans="1:18" ht="17.100000000000001" customHeight="1">
      <c r="A130" s="14" t="s">
        <v>652</v>
      </c>
      <c r="B130" s="14"/>
      <c r="C130" s="14"/>
      <c r="D130" s="14"/>
      <c r="E130" s="14"/>
      <c r="F130" s="14"/>
      <c r="G130" s="14"/>
      <c r="H130" s="14"/>
      <c r="I130" s="14" t="s">
        <v>668</v>
      </c>
      <c r="J130" s="23"/>
      <c r="K130" s="23"/>
      <c r="L130" s="23"/>
      <c r="M130" s="23"/>
      <c r="N130" s="23"/>
      <c r="O130" s="23"/>
      <c r="P130" s="23"/>
      <c r="Q130" s="23"/>
      <c r="R130" s="23"/>
    </row>
    <row r="131" spans="1:18" ht="17.100000000000001" customHeight="1">
      <c r="A131" s="14" t="s">
        <v>645</v>
      </c>
      <c r="B131" s="14"/>
      <c r="C131" s="14"/>
      <c r="D131" s="14"/>
      <c r="E131" s="14"/>
      <c r="F131" s="14"/>
      <c r="G131" s="14"/>
      <c r="H131" s="14"/>
      <c r="I131" s="14" t="s">
        <v>669</v>
      </c>
      <c r="J131" s="23"/>
      <c r="K131" s="23"/>
      <c r="L131" s="23"/>
      <c r="M131" s="23"/>
      <c r="N131" s="23"/>
      <c r="O131" s="23"/>
      <c r="P131" s="23"/>
      <c r="Q131" s="23"/>
      <c r="R131" s="23"/>
    </row>
    <row r="132" spans="1:18" ht="17.100000000000001" customHeight="1">
      <c r="A132" s="14" t="s">
        <v>653</v>
      </c>
      <c r="B132" s="14"/>
      <c r="C132" s="14"/>
      <c r="D132" s="14"/>
      <c r="E132" s="14"/>
      <c r="F132" s="14"/>
      <c r="G132" s="14"/>
      <c r="H132" s="14"/>
      <c r="I132" s="14"/>
      <c r="J132" s="23"/>
      <c r="K132" s="23"/>
      <c r="L132" s="23"/>
      <c r="M132" s="23"/>
      <c r="N132" s="23"/>
      <c r="O132" s="23"/>
      <c r="P132" s="23"/>
      <c r="Q132" s="23"/>
      <c r="R132" s="23"/>
    </row>
    <row r="133" spans="1:18" ht="17.100000000000001" customHeight="1">
      <c r="A133" s="14" t="s">
        <v>655</v>
      </c>
      <c r="B133" s="14"/>
      <c r="C133" s="14"/>
      <c r="D133" s="14"/>
      <c r="E133" s="14"/>
      <c r="F133" s="14"/>
      <c r="G133" s="14"/>
      <c r="H133" s="14"/>
      <c r="I133" s="14" t="s">
        <v>670</v>
      </c>
      <c r="J133" s="23"/>
      <c r="K133" s="23"/>
      <c r="L133" s="23"/>
      <c r="M133" s="23"/>
      <c r="N133" s="23"/>
      <c r="O133" s="23"/>
      <c r="P133" s="23"/>
      <c r="Q133" s="23"/>
      <c r="R133" s="23"/>
    </row>
    <row r="134" spans="1:18" ht="17.100000000000001" customHeight="1">
      <c r="A134" s="14"/>
      <c r="B134" s="14"/>
      <c r="C134" s="14"/>
      <c r="D134" s="14"/>
      <c r="E134" s="14"/>
      <c r="F134" s="14"/>
      <c r="G134" s="14"/>
      <c r="H134" s="14"/>
      <c r="I134" s="14" t="s">
        <v>671</v>
      </c>
      <c r="J134" s="23"/>
      <c r="K134" s="23"/>
      <c r="L134" s="23"/>
      <c r="M134" s="23"/>
      <c r="N134" s="23"/>
      <c r="O134" s="23"/>
      <c r="P134" s="23"/>
      <c r="Q134" s="23"/>
      <c r="R134" s="23"/>
    </row>
    <row r="135" spans="1:18" ht="17.100000000000001" customHeight="1">
      <c r="A135" s="14" t="s">
        <v>672</v>
      </c>
      <c r="B135" s="14"/>
      <c r="C135" s="14"/>
      <c r="D135" s="14"/>
      <c r="E135" s="14"/>
      <c r="F135" s="14"/>
      <c r="G135" s="14"/>
      <c r="H135" s="14"/>
      <c r="I135" s="14"/>
      <c r="J135" s="23"/>
      <c r="K135" s="23"/>
      <c r="L135" s="23"/>
      <c r="M135" s="23"/>
      <c r="N135" s="23"/>
      <c r="O135" s="23"/>
      <c r="P135" s="23"/>
      <c r="Q135" s="23"/>
      <c r="R135" s="23"/>
    </row>
    <row r="136" spans="1:18" ht="17.100000000000001" customHeight="1">
      <c r="A136" s="14" t="s">
        <v>652</v>
      </c>
      <c r="B136" s="14"/>
      <c r="C136" s="14"/>
      <c r="D136" s="14"/>
      <c r="E136" s="14"/>
      <c r="F136" s="14"/>
      <c r="G136" s="14"/>
      <c r="H136" s="14"/>
      <c r="I136" s="14" t="s">
        <v>673</v>
      </c>
      <c r="J136" s="23"/>
      <c r="K136" s="23"/>
      <c r="L136" s="23"/>
      <c r="M136" s="23"/>
      <c r="N136" s="23"/>
      <c r="O136" s="23"/>
      <c r="P136" s="23"/>
      <c r="Q136" s="23"/>
      <c r="R136" s="23"/>
    </row>
    <row r="137" spans="1:18" ht="17.100000000000001" customHeight="1">
      <c r="A137" s="14" t="s">
        <v>645</v>
      </c>
      <c r="B137" s="14"/>
      <c r="C137" s="14"/>
      <c r="D137" s="14"/>
      <c r="E137" s="14"/>
      <c r="F137" s="14"/>
      <c r="G137" s="14"/>
      <c r="H137" s="14"/>
      <c r="I137" s="14" t="s">
        <v>674</v>
      </c>
      <c r="J137" s="23"/>
      <c r="K137" s="23"/>
      <c r="L137" s="23"/>
      <c r="M137" s="23"/>
      <c r="N137" s="23"/>
      <c r="O137" s="23"/>
      <c r="P137" s="23"/>
      <c r="Q137" s="23"/>
      <c r="R137" s="23"/>
    </row>
    <row r="138" spans="1:18" ht="17.100000000000001" customHeight="1">
      <c r="A138" s="14" t="s">
        <v>659</v>
      </c>
      <c r="B138" s="14"/>
      <c r="C138" s="14"/>
      <c r="D138" s="14"/>
      <c r="E138" s="14"/>
      <c r="F138" s="14"/>
      <c r="G138" s="14"/>
      <c r="H138" s="14"/>
      <c r="I138" s="14"/>
      <c r="J138" s="23"/>
      <c r="K138" s="23"/>
      <c r="L138" s="23"/>
      <c r="M138" s="23"/>
      <c r="N138" s="23"/>
      <c r="O138" s="23"/>
      <c r="P138" s="23"/>
      <c r="Q138" s="23"/>
      <c r="R138" s="23"/>
    </row>
    <row r="139" spans="1:18" ht="17.100000000000001" customHeight="1">
      <c r="A139" s="14"/>
      <c r="B139" s="14"/>
      <c r="C139" s="14"/>
      <c r="D139" s="14"/>
      <c r="E139" s="14"/>
      <c r="F139" s="14"/>
      <c r="G139" s="14"/>
      <c r="H139" s="14"/>
      <c r="I139" s="14" t="s">
        <v>675</v>
      </c>
      <c r="J139" s="23"/>
      <c r="K139" s="23"/>
      <c r="L139" s="23"/>
      <c r="M139" s="23"/>
      <c r="N139" s="23"/>
      <c r="O139" s="23"/>
      <c r="P139" s="23"/>
      <c r="Q139" s="23"/>
      <c r="R139" s="23"/>
    </row>
    <row r="140" spans="1:18" ht="17.100000000000001" customHeight="1">
      <c r="A140" s="14"/>
      <c r="B140" s="14"/>
      <c r="C140" s="14"/>
      <c r="D140" s="14"/>
      <c r="E140" s="14"/>
      <c r="F140" s="14"/>
      <c r="G140" s="14"/>
      <c r="H140" s="14"/>
      <c r="I140" s="14" t="s">
        <v>676</v>
      </c>
      <c r="J140" s="23"/>
      <c r="K140" s="23"/>
      <c r="L140" s="23"/>
      <c r="M140" s="23"/>
      <c r="N140" s="23"/>
      <c r="O140" s="23"/>
      <c r="P140" s="23"/>
      <c r="Q140" s="23"/>
      <c r="R140" s="23"/>
    </row>
    <row r="141" spans="1:18" ht="17.100000000000001" customHeight="1">
      <c r="A141" s="14"/>
      <c r="B141" s="14"/>
      <c r="C141" s="14"/>
      <c r="D141" s="14"/>
      <c r="E141" s="14"/>
      <c r="F141" s="14"/>
      <c r="G141" s="14"/>
      <c r="H141" s="14"/>
      <c r="I141" s="14" t="s">
        <v>636</v>
      </c>
      <c r="J141" s="23"/>
      <c r="K141" s="23"/>
      <c r="L141" s="23"/>
      <c r="M141" s="23"/>
      <c r="N141" s="23"/>
      <c r="O141" s="23"/>
      <c r="P141" s="23"/>
      <c r="Q141" s="23"/>
      <c r="R141" s="23"/>
    </row>
    <row r="142" spans="1:18">
      <c r="A142" s="23"/>
      <c r="B142" s="23"/>
      <c r="C142" s="23"/>
      <c r="D142" s="23"/>
      <c r="E142" s="23"/>
      <c r="F142" s="23"/>
      <c r="G142" s="23"/>
      <c r="H142" s="23"/>
      <c r="I142" s="23"/>
      <c r="J142" s="23"/>
      <c r="K142" s="23"/>
      <c r="L142" s="23"/>
      <c r="M142" s="23"/>
      <c r="N142" s="23"/>
      <c r="O142" s="23"/>
      <c r="P142" s="23"/>
      <c r="Q142" s="23"/>
      <c r="R142" s="23"/>
    </row>
    <row r="143" spans="1:18">
      <c r="A143" s="23"/>
      <c r="B143" s="23"/>
      <c r="C143" s="23"/>
      <c r="D143" s="23"/>
      <c r="E143" s="23"/>
      <c r="F143" s="23"/>
      <c r="G143" s="23"/>
      <c r="H143" s="23"/>
      <c r="I143" s="23"/>
      <c r="J143" s="23"/>
      <c r="K143" s="23"/>
      <c r="L143" s="23"/>
      <c r="M143" s="23"/>
      <c r="N143" s="23"/>
      <c r="O143" s="23"/>
      <c r="P143" s="23"/>
      <c r="Q143" s="23"/>
      <c r="R143" s="23"/>
    </row>
    <row r="144" spans="1:18">
      <c r="A144" s="23"/>
      <c r="B144" s="23"/>
      <c r="C144" s="23"/>
      <c r="D144" s="23"/>
      <c r="E144" s="23"/>
      <c r="F144" s="23"/>
      <c r="G144" s="23"/>
      <c r="H144" s="23"/>
      <c r="I144" s="23"/>
      <c r="J144" s="23"/>
      <c r="K144" s="23"/>
      <c r="L144" s="23"/>
      <c r="M144" s="23"/>
      <c r="N144" s="23"/>
      <c r="O144" s="23"/>
      <c r="P144" s="23"/>
      <c r="Q144" s="23"/>
      <c r="R144" s="23"/>
    </row>
    <row r="145" spans="1:18">
      <c r="A145" s="23"/>
      <c r="B145" s="23"/>
      <c r="C145" s="23"/>
      <c r="D145" s="23"/>
      <c r="E145" s="23"/>
      <c r="F145" s="23"/>
      <c r="G145" s="23"/>
      <c r="H145" s="23"/>
      <c r="I145" s="23"/>
      <c r="J145" s="23"/>
      <c r="K145" s="23"/>
      <c r="L145" s="23"/>
      <c r="M145" s="23"/>
      <c r="N145" s="23"/>
      <c r="O145" s="23"/>
      <c r="P145" s="23"/>
      <c r="Q145" s="23"/>
      <c r="R145" s="23"/>
    </row>
    <row r="146" spans="1:18">
      <c r="A146" s="23"/>
      <c r="B146" s="23"/>
      <c r="C146" s="23"/>
      <c r="D146" s="23"/>
      <c r="E146" s="23"/>
      <c r="F146" s="23"/>
      <c r="G146" s="23"/>
      <c r="H146" s="23"/>
      <c r="I146" s="23"/>
      <c r="J146" s="23"/>
      <c r="K146" s="23"/>
      <c r="L146" s="23"/>
      <c r="M146" s="23"/>
      <c r="N146" s="23"/>
      <c r="O146" s="23"/>
      <c r="P146" s="23"/>
      <c r="Q146" s="23"/>
      <c r="R146" s="23"/>
    </row>
    <row r="147" spans="1:18">
      <c r="A147" s="23"/>
      <c r="B147" s="23"/>
      <c r="C147" s="23"/>
      <c r="D147" s="23"/>
      <c r="E147" s="23"/>
      <c r="F147" s="23"/>
      <c r="G147" s="23"/>
      <c r="H147" s="23"/>
      <c r="I147" s="23"/>
      <c r="J147" s="23"/>
      <c r="K147" s="23"/>
      <c r="L147" s="23"/>
      <c r="M147" s="23"/>
      <c r="N147" s="23"/>
      <c r="O147" s="23"/>
      <c r="P147" s="23"/>
      <c r="Q147" s="23"/>
      <c r="R147" s="23"/>
    </row>
    <row r="148" spans="1:18">
      <c r="A148" s="23"/>
      <c r="B148" s="23"/>
      <c r="C148" s="23"/>
      <c r="D148" s="23"/>
      <c r="E148" s="23"/>
      <c r="F148" s="23"/>
      <c r="G148" s="23"/>
      <c r="H148" s="23"/>
      <c r="I148" s="23"/>
      <c r="J148" s="23"/>
      <c r="K148" s="23"/>
      <c r="L148" s="23"/>
      <c r="M148" s="23"/>
      <c r="N148" s="23"/>
      <c r="O148" s="23"/>
      <c r="P148" s="23"/>
      <c r="Q148" s="23"/>
      <c r="R148" s="23"/>
    </row>
    <row r="149" spans="1:18">
      <c r="A149" s="23"/>
      <c r="B149" s="23"/>
      <c r="C149" s="23"/>
      <c r="D149" s="23"/>
      <c r="E149" s="23"/>
      <c r="F149" s="23"/>
      <c r="G149" s="23"/>
      <c r="H149" s="23"/>
      <c r="I149" s="23"/>
      <c r="J149" s="23"/>
      <c r="K149" s="23"/>
      <c r="L149" s="23"/>
      <c r="M149" s="23"/>
      <c r="N149" s="23"/>
      <c r="O149" s="23"/>
      <c r="P149" s="23"/>
      <c r="Q149" s="23"/>
      <c r="R149" s="23"/>
    </row>
    <row r="150" spans="1:18">
      <c r="A150" s="23"/>
      <c r="B150" s="23"/>
      <c r="C150" s="23"/>
      <c r="D150" s="23"/>
      <c r="E150" s="23"/>
      <c r="F150" s="23"/>
      <c r="G150" s="23"/>
      <c r="H150" s="23"/>
      <c r="I150" s="23"/>
      <c r="J150" s="23"/>
      <c r="K150" s="23"/>
      <c r="L150" s="23"/>
      <c r="M150" s="23"/>
      <c r="N150" s="23"/>
      <c r="O150" s="23"/>
      <c r="P150" s="23"/>
      <c r="Q150" s="23"/>
      <c r="R150" s="23"/>
    </row>
    <row r="151" spans="1:18">
      <c r="A151" s="23"/>
      <c r="B151" s="23"/>
      <c r="C151" s="23"/>
      <c r="D151" s="23"/>
      <c r="E151" s="23"/>
      <c r="F151" s="23"/>
      <c r="G151" s="23"/>
      <c r="H151" s="23"/>
      <c r="I151" s="23"/>
      <c r="J151" s="23"/>
      <c r="K151" s="23"/>
      <c r="L151" s="23"/>
      <c r="M151" s="23"/>
      <c r="N151" s="23"/>
      <c r="O151" s="23"/>
      <c r="P151" s="23"/>
      <c r="Q151" s="23"/>
      <c r="R151" s="23"/>
    </row>
    <row r="152" spans="1:18">
      <c r="A152" s="23"/>
      <c r="B152" s="23"/>
      <c r="C152" s="23"/>
      <c r="D152" s="23"/>
      <c r="E152" s="23"/>
      <c r="F152" s="23"/>
      <c r="G152" s="23"/>
      <c r="H152" s="23"/>
      <c r="I152" s="23"/>
      <c r="J152" s="23"/>
      <c r="K152" s="23"/>
      <c r="L152" s="23"/>
      <c r="M152" s="23"/>
      <c r="N152" s="23"/>
      <c r="O152" s="23"/>
      <c r="P152" s="23"/>
      <c r="Q152" s="23"/>
      <c r="R152" s="23"/>
    </row>
    <row r="153" spans="1:18">
      <c r="A153" s="23"/>
      <c r="B153" s="23"/>
      <c r="C153" s="23"/>
      <c r="D153" s="23"/>
      <c r="E153" s="23"/>
      <c r="F153" s="23"/>
      <c r="G153" s="23"/>
      <c r="H153" s="23"/>
      <c r="I153" s="23"/>
      <c r="J153" s="23"/>
      <c r="K153" s="23"/>
      <c r="L153" s="23"/>
      <c r="M153" s="23"/>
      <c r="N153" s="23"/>
      <c r="O153" s="23"/>
      <c r="P153" s="23"/>
      <c r="Q153" s="23"/>
      <c r="R153" s="23"/>
    </row>
    <row r="154" spans="1:18">
      <c r="A154" s="23"/>
      <c r="B154" s="23"/>
      <c r="C154" s="23"/>
      <c r="D154" s="23"/>
      <c r="E154" s="23"/>
      <c r="F154" s="23"/>
      <c r="G154" s="23"/>
      <c r="H154" s="23"/>
      <c r="I154" s="23"/>
      <c r="J154" s="23"/>
      <c r="K154" s="23"/>
      <c r="L154" s="23"/>
      <c r="M154" s="23"/>
      <c r="N154" s="23"/>
      <c r="O154" s="23"/>
      <c r="P154" s="23"/>
      <c r="Q154" s="23"/>
      <c r="R154" s="23"/>
    </row>
    <row r="155" spans="1:18">
      <c r="A155" s="23"/>
      <c r="B155" s="23"/>
      <c r="C155" s="23"/>
      <c r="D155" s="23"/>
      <c r="E155" s="23"/>
      <c r="F155" s="23"/>
      <c r="G155" s="23"/>
      <c r="H155" s="23"/>
      <c r="I155" s="23"/>
      <c r="J155" s="23"/>
      <c r="K155" s="23"/>
      <c r="L155" s="23"/>
      <c r="M155" s="23"/>
      <c r="N155" s="23"/>
      <c r="O155" s="23"/>
      <c r="P155" s="23"/>
      <c r="Q155" s="23"/>
      <c r="R155" s="23"/>
    </row>
    <row r="156" spans="1:18">
      <c r="A156" s="23"/>
      <c r="B156" s="23"/>
      <c r="C156" s="23"/>
      <c r="D156" s="23"/>
      <c r="E156" s="23"/>
      <c r="F156" s="23"/>
      <c r="G156" s="23"/>
      <c r="H156" s="23"/>
      <c r="I156" s="23"/>
      <c r="J156" s="23"/>
      <c r="K156" s="23"/>
      <c r="L156" s="23"/>
      <c r="M156" s="23"/>
      <c r="N156" s="23"/>
      <c r="O156" s="23"/>
      <c r="P156" s="23"/>
      <c r="Q156" s="23"/>
      <c r="R156" s="23"/>
    </row>
    <row r="157" spans="1:18">
      <c r="A157" s="23"/>
      <c r="B157" s="23"/>
      <c r="C157" s="23"/>
      <c r="D157" s="23"/>
      <c r="E157" s="23"/>
      <c r="F157" s="23"/>
      <c r="G157" s="23"/>
      <c r="H157" s="23"/>
      <c r="I157" s="23"/>
      <c r="J157" s="23"/>
      <c r="K157" s="23"/>
      <c r="L157" s="23"/>
      <c r="M157" s="23"/>
      <c r="N157" s="23"/>
      <c r="O157" s="23"/>
      <c r="P157" s="23"/>
      <c r="Q157" s="23"/>
      <c r="R157" s="23"/>
    </row>
    <row r="158" spans="1:18">
      <c r="A158" s="23"/>
      <c r="B158" s="23"/>
      <c r="C158" s="23"/>
      <c r="D158" s="23"/>
      <c r="E158" s="23"/>
      <c r="F158" s="23"/>
      <c r="G158" s="23"/>
      <c r="H158" s="23"/>
      <c r="I158" s="23"/>
      <c r="J158" s="23"/>
      <c r="K158" s="23"/>
      <c r="L158" s="23"/>
      <c r="M158" s="23"/>
      <c r="N158" s="23"/>
      <c r="O158" s="23"/>
      <c r="P158" s="23"/>
      <c r="Q158" s="23"/>
      <c r="R158" s="23"/>
    </row>
    <row r="159" spans="1:18">
      <c r="A159" s="23"/>
      <c r="B159" s="23"/>
      <c r="C159" s="23"/>
      <c r="D159" s="23"/>
      <c r="E159" s="23"/>
      <c r="F159" s="23"/>
      <c r="G159" s="23"/>
      <c r="H159" s="23"/>
      <c r="I159" s="23"/>
      <c r="J159" s="23"/>
      <c r="K159" s="23"/>
      <c r="L159" s="23"/>
      <c r="M159" s="23"/>
      <c r="N159" s="23"/>
      <c r="O159" s="23"/>
      <c r="P159" s="23"/>
      <c r="Q159" s="23"/>
      <c r="R159" s="23"/>
    </row>
    <row r="160" spans="1:18">
      <c r="A160" s="23"/>
      <c r="B160" s="23"/>
      <c r="C160" s="23"/>
      <c r="D160" s="23"/>
      <c r="E160" s="23"/>
      <c r="F160" s="23"/>
      <c r="G160" s="23"/>
      <c r="H160" s="23"/>
      <c r="I160" s="23"/>
      <c r="J160" s="23"/>
      <c r="K160" s="23"/>
      <c r="L160" s="23"/>
      <c r="M160" s="23"/>
      <c r="N160" s="23"/>
      <c r="O160" s="23"/>
      <c r="P160" s="23"/>
      <c r="Q160" s="23"/>
      <c r="R160" s="23"/>
    </row>
    <row r="161" spans="1:18">
      <c r="A161" s="23"/>
      <c r="B161" s="23"/>
      <c r="C161" s="23"/>
      <c r="D161" s="23"/>
      <c r="E161" s="23"/>
      <c r="F161" s="23"/>
      <c r="G161" s="23"/>
      <c r="H161" s="23"/>
      <c r="I161" s="23"/>
      <c r="J161" s="23"/>
      <c r="K161" s="23"/>
      <c r="L161" s="23"/>
      <c r="M161" s="23"/>
      <c r="N161" s="23"/>
      <c r="O161" s="23"/>
      <c r="P161" s="23"/>
      <c r="Q161" s="23"/>
      <c r="R161" s="23"/>
    </row>
    <row r="162" spans="1:18">
      <c r="A162" s="23"/>
      <c r="B162" s="23"/>
      <c r="C162" s="23"/>
      <c r="D162" s="23"/>
      <c r="E162" s="23"/>
      <c r="F162" s="23"/>
      <c r="G162" s="23"/>
      <c r="H162" s="23"/>
      <c r="I162" s="23"/>
      <c r="J162" s="23"/>
      <c r="K162" s="23"/>
      <c r="L162" s="23"/>
      <c r="M162" s="23"/>
      <c r="N162" s="23"/>
      <c r="O162" s="23"/>
      <c r="P162" s="23"/>
      <c r="Q162" s="23"/>
      <c r="R162" s="23"/>
    </row>
    <row r="163" spans="1:18">
      <c r="A163" s="23"/>
      <c r="B163" s="23"/>
      <c r="C163" s="23"/>
      <c r="D163" s="23"/>
      <c r="E163" s="23"/>
      <c r="F163" s="23"/>
      <c r="G163" s="23"/>
      <c r="H163" s="23"/>
      <c r="I163" s="23"/>
      <c r="J163" s="23"/>
      <c r="K163" s="23"/>
      <c r="L163" s="23"/>
      <c r="M163" s="23"/>
      <c r="N163" s="23"/>
      <c r="O163" s="23"/>
      <c r="P163" s="23"/>
      <c r="Q163" s="23"/>
      <c r="R163" s="23"/>
    </row>
    <row r="164" spans="1:18">
      <c r="A164" s="23"/>
      <c r="B164" s="23"/>
      <c r="C164" s="23"/>
      <c r="D164" s="23"/>
      <c r="E164" s="23"/>
      <c r="F164" s="23"/>
      <c r="G164" s="23"/>
      <c r="H164" s="23"/>
      <c r="I164" s="23"/>
      <c r="J164" s="23"/>
      <c r="K164" s="23"/>
      <c r="L164" s="23"/>
      <c r="M164" s="23"/>
      <c r="N164" s="23"/>
      <c r="O164" s="23"/>
      <c r="P164" s="23"/>
      <c r="Q164" s="23"/>
      <c r="R164" s="23"/>
    </row>
    <row r="165" spans="1:18">
      <c r="A165" s="23"/>
      <c r="B165" s="23"/>
      <c r="C165" s="23"/>
      <c r="D165" s="23"/>
      <c r="E165" s="23"/>
      <c r="F165" s="23"/>
      <c r="G165" s="23"/>
      <c r="H165" s="23"/>
      <c r="I165" s="23"/>
      <c r="J165" s="23"/>
      <c r="K165" s="23"/>
      <c r="L165" s="23"/>
      <c r="M165" s="23"/>
      <c r="N165" s="23"/>
      <c r="O165" s="23"/>
      <c r="P165" s="23"/>
      <c r="Q165" s="23"/>
      <c r="R165" s="23"/>
    </row>
    <row r="166" spans="1:18">
      <c r="A166" s="23"/>
      <c r="B166" s="23"/>
      <c r="C166" s="23"/>
      <c r="D166" s="23"/>
      <c r="E166" s="23"/>
      <c r="F166" s="23"/>
      <c r="G166" s="23"/>
      <c r="H166" s="23"/>
      <c r="I166" s="23"/>
      <c r="J166" s="23"/>
      <c r="K166" s="23"/>
      <c r="L166" s="23"/>
      <c r="M166" s="23"/>
      <c r="N166" s="23"/>
      <c r="O166" s="23"/>
      <c r="P166" s="23"/>
      <c r="Q166" s="23"/>
      <c r="R166" s="23"/>
    </row>
    <row r="167" spans="1:18">
      <c r="A167" s="23"/>
      <c r="B167" s="23"/>
      <c r="C167" s="23"/>
      <c r="D167" s="23"/>
      <c r="E167" s="23"/>
      <c r="F167" s="23"/>
      <c r="G167" s="23"/>
      <c r="H167" s="23"/>
      <c r="I167" s="23"/>
      <c r="J167" s="23"/>
      <c r="K167" s="23"/>
      <c r="L167" s="23"/>
      <c r="M167" s="23"/>
      <c r="N167" s="23"/>
      <c r="O167" s="23"/>
      <c r="P167" s="23"/>
      <c r="Q167" s="23"/>
      <c r="R167" s="23"/>
    </row>
    <row r="168" spans="1:18">
      <c r="A168" s="23"/>
      <c r="B168" s="23"/>
      <c r="C168" s="23"/>
      <c r="D168" s="23"/>
      <c r="E168" s="23"/>
      <c r="F168" s="23"/>
      <c r="G168" s="23"/>
      <c r="H168" s="23"/>
      <c r="I168" s="23"/>
      <c r="J168" s="23"/>
      <c r="K168" s="23"/>
      <c r="L168" s="23"/>
      <c r="M168" s="23"/>
      <c r="N168" s="23"/>
      <c r="O168" s="23"/>
      <c r="P168" s="23"/>
      <c r="Q168" s="23"/>
      <c r="R168" s="23"/>
    </row>
    <row r="169" spans="1:18">
      <c r="A169" s="23"/>
      <c r="B169" s="23"/>
      <c r="C169" s="23"/>
      <c r="D169" s="23"/>
      <c r="E169" s="23"/>
      <c r="F169" s="23"/>
      <c r="G169" s="23"/>
      <c r="H169" s="23"/>
      <c r="I169" s="23"/>
      <c r="J169" s="23"/>
      <c r="K169" s="23"/>
      <c r="L169" s="23"/>
      <c r="M169" s="23"/>
      <c r="N169" s="23"/>
      <c r="O169" s="23"/>
      <c r="P169" s="23"/>
      <c r="Q169" s="23"/>
      <c r="R169" s="23"/>
    </row>
    <row r="170" spans="1:18">
      <c r="A170" s="23"/>
      <c r="B170" s="23"/>
      <c r="C170" s="23"/>
      <c r="D170" s="23"/>
      <c r="E170" s="23"/>
      <c r="F170" s="23"/>
      <c r="G170" s="23"/>
      <c r="H170" s="23"/>
      <c r="I170" s="23"/>
      <c r="J170" s="23"/>
      <c r="K170" s="23"/>
      <c r="L170" s="23"/>
      <c r="M170" s="23"/>
      <c r="N170" s="23"/>
      <c r="O170" s="23"/>
      <c r="P170" s="23"/>
      <c r="Q170" s="23"/>
      <c r="R170" s="23"/>
    </row>
    <row r="171" spans="1:18">
      <c r="A171" s="23"/>
      <c r="B171" s="23"/>
      <c r="C171" s="23"/>
      <c r="D171" s="23"/>
      <c r="E171" s="23"/>
      <c r="F171" s="23"/>
      <c r="G171" s="23"/>
      <c r="H171" s="23"/>
      <c r="I171" s="23"/>
      <c r="J171" s="23"/>
      <c r="K171" s="23"/>
      <c r="L171" s="23"/>
      <c r="M171" s="23"/>
      <c r="N171" s="23"/>
      <c r="O171" s="23"/>
      <c r="P171" s="23"/>
      <c r="Q171" s="23"/>
      <c r="R171" s="23"/>
    </row>
    <row r="172" spans="1:18">
      <c r="A172" s="23"/>
      <c r="B172" s="23"/>
      <c r="C172" s="23"/>
      <c r="D172" s="23"/>
      <c r="E172" s="23"/>
      <c r="F172" s="23"/>
      <c r="G172" s="23"/>
      <c r="H172" s="23"/>
      <c r="I172" s="23"/>
      <c r="J172" s="23"/>
      <c r="K172" s="23"/>
      <c r="L172" s="23"/>
      <c r="M172" s="23"/>
      <c r="N172" s="23"/>
      <c r="O172" s="23"/>
      <c r="P172" s="23"/>
      <c r="Q172" s="23"/>
      <c r="R172" s="23"/>
    </row>
    <row r="173" spans="1:18">
      <c r="A173" s="23"/>
      <c r="B173" s="23"/>
      <c r="C173" s="23"/>
      <c r="D173" s="23"/>
      <c r="E173" s="23"/>
      <c r="F173" s="23"/>
      <c r="G173" s="23"/>
      <c r="H173" s="23"/>
      <c r="I173" s="23"/>
      <c r="J173" s="23"/>
      <c r="K173" s="23"/>
      <c r="L173" s="23"/>
      <c r="M173" s="23"/>
      <c r="N173" s="23"/>
      <c r="O173" s="23"/>
      <c r="P173" s="23"/>
      <c r="Q173" s="23"/>
      <c r="R173" s="23"/>
    </row>
    <row r="174" spans="1:18">
      <c r="A174" s="23"/>
      <c r="B174" s="23"/>
      <c r="C174" s="23"/>
      <c r="D174" s="23"/>
      <c r="E174" s="23"/>
      <c r="F174" s="23"/>
      <c r="G174" s="23"/>
      <c r="H174" s="23"/>
      <c r="I174" s="23"/>
      <c r="J174" s="23"/>
      <c r="K174" s="23"/>
      <c r="L174" s="23"/>
      <c r="M174" s="23"/>
      <c r="N174" s="23"/>
      <c r="O174" s="23"/>
      <c r="P174" s="23"/>
      <c r="Q174" s="23"/>
      <c r="R174" s="23"/>
    </row>
    <row r="175" spans="1:18">
      <c r="A175" s="23"/>
      <c r="B175" s="23"/>
      <c r="C175" s="23"/>
      <c r="D175" s="23"/>
      <c r="E175" s="23"/>
      <c r="F175" s="23"/>
      <c r="G175" s="23"/>
      <c r="H175" s="23"/>
      <c r="I175" s="23"/>
      <c r="J175" s="23"/>
      <c r="K175" s="23"/>
      <c r="L175" s="23"/>
      <c r="M175" s="23"/>
      <c r="N175" s="23"/>
      <c r="O175" s="23"/>
      <c r="P175" s="23"/>
      <c r="Q175" s="23"/>
      <c r="R175" s="23"/>
    </row>
    <row r="176" spans="1:18">
      <c r="A176" s="23"/>
      <c r="B176" s="23"/>
      <c r="C176" s="23"/>
      <c r="D176" s="23"/>
      <c r="E176" s="23"/>
      <c r="F176" s="23"/>
      <c r="G176" s="23"/>
      <c r="H176" s="23"/>
      <c r="I176" s="23"/>
      <c r="J176" s="23"/>
      <c r="K176" s="23"/>
      <c r="L176" s="23"/>
      <c r="M176" s="23"/>
      <c r="N176" s="23"/>
      <c r="O176" s="23"/>
      <c r="P176" s="23"/>
      <c r="Q176" s="23"/>
      <c r="R176" s="23"/>
    </row>
    <row r="177" spans="1:18">
      <c r="A177" s="23"/>
      <c r="B177" s="23"/>
      <c r="C177" s="23"/>
      <c r="D177" s="23"/>
      <c r="E177" s="23"/>
      <c r="F177" s="23"/>
      <c r="G177" s="23"/>
      <c r="H177" s="23"/>
      <c r="I177" s="23"/>
      <c r="J177" s="23"/>
      <c r="K177" s="23"/>
      <c r="L177" s="23"/>
      <c r="M177" s="23"/>
      <c r="N177" s="23"/>
      <c r="O177" s="23"/>
      <c r="P177" s="23"/>
      <c r="Q177" s="23"/>
      <c r="R177" s="23"/>
    </row>
    <row r="178" spans="1:18">
      <c r="A178" s="23"/>
      <c r="B178" s="23"/>
      <c r="C178" s="23"/>
      <c r="D178" s="23"/>
      <c r="E178" s="23"/>
      <c r="F178" s="23"/>
      <c r="G178" s="23"/>
      <c r="H178" s="23"/>
      <c r="I178" s="23"/>
      <c r="J178" s="23"/>
      <c r="K178" s="23"/>
      <c r="L178" s="23"/>
      <c r="M178" s="23"/>
      <c r="N178" s="23"/>
      <c r="O178" s="23"/>
      <c r="P178" s="23"/>
      <c r="Q178" s="23"/>
      <c r="R178" s="23"/>
    </row>
    <row r="179" spans="1:18">
      <c r="A179" s="23"/>
      <c r="B179" s="23"/>
      <c r="C179" s="23"/>
      <c r="D179" s="23"/>
      <c r="E179" s="23"/>
      <c r="F179" s="23"/>
      <c r="G179" s="23"/>
      <c r="H179" s="23"/>
      <c r="I179" s="23"/>
      <c r="J179" s="23"/>
      <c r="K179" s="23"/>
      <c r="L179" s="23"/>
      <c r="M179" s="23"/>
      <c r="N179" s="23"/>
      <c r="O179" s="23"/>
      <c r="P179" s="23"/>
      <c r="Q179" s="23"/>
      <c r="R179" s="23"/>
    </row>
    <row r="180" spans="1:18">
      <c r="A180" s="23"/>
      <c r="B180" s="23"/>
      <c r="C180" s="23"/>
      <c r="D180" s="23"/>
      <c r="E180" s="23"/>
      <c r="F180" s="23"/>
      <c r="G180" s="23"/>
      <c r="H180" s="23"/>
      <c r="I180" s="23"/>
      <c r="J180" s="23"/>
      <c r="K180" s="23"/>
      <c r="L180" s="23"/>
      <c r="M180" s="23"/>
      <c r="N180" s="23"/>
      <c r="O180" s="23"/>
      <c r="P180" s="23"/>
      <c r="Q180" s="23"/>
      <c r="R180" s="23"/>
    </row>
    <row r="181" spans="1:18">
      <c r="A181" s="23"/>
      <c r="B181" s="23"/>
      <c r="C181" s="23"/>
      <c r="D181" s="23"/>
      <c r="E181" s="23"/>
      <c r="F181" s="23"/>
      <c r="G181" s="23"/>
      <c r="H181" s="23"/>
      <c r="I181" s="23"/>
      <c r="J181" s="23"/>
      <c r="K181" s="23"/>
      <c r="L181" s="23"/>
      <c r="M181" s="23"/>
      <c r="N181" s="23"/>
      <c r="O181" s="23"/>
      <c r="P181" s="23"/>
      <c r="Q181" s="23"/>
      <c r="R181" s="23"/>
    </row>
    <row r="182" spans="1:18">
      <c r="A182" s="23"/>
      <c r="B182" s="23"/>
      <c r="C182" s="23"/>
      <c r="D182" s="23"/>
      <c r="E182" s="23"/>
      <c r="F182" s="23"/>
      <c r="G182" s="23"/>
      <c r="H182" s="23"/>
      <c r="I182" s="23"/>
      <c r="J182" s="23"/>
      <c r="K182" s="23"/>
      <c r="L182" s="23"/>
      <c r="M182" s="23"/>
      <c r="N182" s="23"/>
      <c r="O182" s="23"/>
      <c r="P182" s="23"/>
      <c r="Q182" s="23"/>
      <c r="R182" s="23"/>
    </row>
    <row r="183" spans="1:18">
      <c r="A183" s="23"/>
      <c r="B183" s="23"/>
      <c r="C183" s="23"/>
      <c r="D183" s="23"/>
      <c r="E183" s="23"/>
      <c r="F183" s="23"/>
      <c r="G183" s="23"/>
      <c r="H183" s="23"/>
      <c r="I183" s="23"/>
      <c r="J183" s="23"/>
      <c r="K183" s="23"/>
      <c r="L183" s="23"/>
      <c r="M183" s="23"/>
      <c r="N183" s="23"/>
      <c r="O183" s="23"/>
      <c r="P183" s="23"/>
      <c r="Q183" s="23"/>
      <c r="R183" s="23"/>
    </row>
    <row r="184" spans="1:18">
      <c r="A184" s="23"/>
      <c r="B184" s="23"/>
      <c r="C184" s="23"/>
      <c r="D184" s="23"/>
      <c r="E184" s="23"/>
      <c r="F184" s="23"/>
      <c r="G184" s="23"/>
      <c r="H184" s="23"/>
      <c r="I184" s="23"/>
      <c r="J184" s="23"/>
      <c r="K184" s="23"/>
      <c r="L184" s="23"/>
      <c r="M184" s="23"/>
      <c r="N184" s="23"/>
      <c r="O184" s="23"/>
      <c r="P184" s="23"/>
      <c r="Q184" s="23"/>
      <c r="R184" s="23"/>
    </row>
    <row r="185" spans="1:18">
      <c r="A185" s="23"/>
      <c r="B185" s="23"/>
      <c r="C185" s="23"/>
      <c r="D185" s="23"/>
      <c r="E185" s="23"/>
      <c r="F185" s="23"/>
      <c r="G185" s="23"/>
      <c r="H185" s="23"/>
      <c r="I185" s="23"/>
      <c r="J185" s="23"/>
      <c r="K185" s="23"/>
      <c r="L185" s="23"/>
      <c r="M185" s="23"/>
      <c r="N185" s="23"/>
      <c r="O185" s="23"/>
      <c r="P185" s="23"/>
      <c r="Q185" s="23"/>
      <c r="R185" s="23"/>
    </row>
    <row r="186" spans="1:18">
      <c r="A186" s="23"/>
      <c r="B186" s="23"/>
      <c r="C186" s="23"/>
      <c r="D186" s="23"/>
      <c r="E186" s="23"/>
      <c r="F186" s="23"/>
      <c r="G186" s="23"/>
      <c r="H186" s="23"/>
      <c r="I186" s="23"/>
      <c r="J186" s="23"/>
      <c r="K186" s="23"/>
      <c r="L186" s="23"/>
      <c r="M186" s="23"/>
      <c r="N186" s="23"/>
      <c r="O186" s="23"/>
      <c r="P186" s="23"/>
      <c r="Q186" s="23"/>
      <c r="R186" s="23"/>
    </row>
    <row r="187" spans="1:18">
      <c r="A187" s="23"/>
      <c r="B187" s="23"/>
      <c r="C187" s="23"/>
      <c r="D187" s="23"/>
      <c r="E187" s="23"/>
      <c r="F187" s="23"/>
      <c r="G187" s="23"/>
      <c r="H187" s="23"/>
      <c r="I187" s="23"/>
      <c r="J187" s="23"/>
      <c r="K187" s="23"/>
      <c r="L187" s="23"/>
      <c r="M187" s="23"/>
      <c r="N187" s="23"/>
      <c r="O187" s="23"/>
      <c r="P187" s="23"/>
      <c r="Q187" s="23"/>
      <c r="R187" s="23"/>
    </row>
    <row r="188" spans="1:18">
      <c r="A188" s="23"/>
      <c r="B188" s="23"/>
      <c r="C188" s="23"/>
      <c r="D188" s="23"/>
      <c r="E188" s="23"/>
      <c r="F188" s="23"/>
      <c r="G188" s="23"/>
      <c r="H188" s="23"/>
      <c r="I188" s="23"/>
      <c r="J188" s="23"/>
      <c r="K188" s="23"/>
      <c r="L188" s="23"/>
      <c r="M188" s="23"/>
      <c r="N188" s="23"/>
      <c r="O188" s="23"/>
      <c r="P188" s="23"/>
      <c r="Q188" s="23"/>
      <c r="R188" s="23"/>
    </row>
    <row r="189" spans="1:18">
      <c r="A189" s="23"/>
      <c r="B189" s="23"/>
      <c r="C189" s="23"/>
      <c r="D189" s="23"/>
      <c r="E189" s="23"/>
      <c r="F189" s="23"/>
      <c r="G189" s="23"/>
      <c r="H189" s="23"/>
      <c r="I189" s="23"/>
      <c r="J189" s="23"/>
      <c r="K189" s="23"/>
      <c r="L189" s="23"/>
      <c r="M189" s="23"/>
      <c r="N189" s="23"/>
      <c r="O189" s="23"/>
      <c r="P189" s="23"/>
      <c r="Q189" s="23"/>
      <c r="R189" s="23"/>
    </row>
    <row r="190" spans="1:18">
      <c r="A190" s="23"/>
      <c r="B190" s="23"/>
      <c r="C190" s="23"/>
      <c r="D190" s="23"/>
      <c r="E190" s="23"/>
      <c r="F190" s="23"/>
      <c r="G190" s="23"/>
      <c r="H190" s="23"/>
      <c r="I190" s="23"/>
      <c r="J190" s="23"/>
      <c r="K190" s="23"/>
      <c r="L190" s="23"/>
      <c r="M190" s="23"/>
      <c r="N190" s="23"/>
      <c r="O190" s="23"/>
      <c r="P190" s="23"/>
      <c r="Q190" s="23"/>
      <c r="R190" s="23"/>
    </row>
    <row r="191" spans="1:18">
      <c r="A191" s="23"/>
      <c r="B191" s="23"/>
      <c r="C191" s="23"/>
      <c r="D191" s="23"/>
      <c r="E191" s="23"/>
      <c r="F191" s="23"/>
      <c r="G191" s="23"/>
      <c r="H191" s="23"/>
      <c r="I191" s="23"/>
      <c r="J191" s="23"/>
      <c r="K191" s="23"/>
      <c r="L191" s="23"/>
      <c r="M191" s="23"/>
      <c r="N191" s="23"/>
      <c r="O191" s="23"/>
      <c r="P191" s="23"/>
      <c r="Q191" s="23"/>
      <c r="R191" s="23"/>
    </row>
    <row r="192" spans="1:18">
      <c r="A192" s="23"/>
      <c r="B192" s="23"/>
      <c r="C192" s="23"/>
      <c r="D192" s="23"/>
      <c r="E192" s="23"/>
      <c r="F192" s="23"/>
      <c r="G192" s="23"/>
      <c r="H192" s="23"/>
      <c r="I192" s="23"/>
      <c r="J192" s="23"/>
      <c r="K192" s="23"/>
      <c r="L192" s="23"/>
      <c r="M192" s="23"/>
      <c r="N192" s="23"/>
      <c r="O192" s="23"/>
      <c r="P192" s="23"/>
      <c r="Q192" s="23"/>
      <c r="R192" s="23"/>
    </row>
    <row r="193" spans="1:18">
      <c r="A193" s="23"/>
      <c r="B193" s="23"/>
      <c r="C193" s="23"/>
      <c r="D193" s="23"/>
      <c r="E193" s="23"/>
      <c r="F193" s="23"/>
      <c r="G193" s="23"/>
      <c r="H193" s="23"/>
      <c r="I193" s="23"/>
      <c r="J193" s="23"/>
      <c r="K193" s="23"/>
      <c r="L193" s="23"/>
      <c r="M193" s="23"/>
      <c r="N193" s="23"/>
      <c r="O193" s="23"/>
      <c r="P193" s="23"/>
      <c r="Q193" s="23"/>
      <c r="R193" s="23"/>
    </row>
    <row r="194" spans="1:18">
      <c r="A194" s="23"/>
      <c r="B194" s="23"/>
      <c r="C194" s="23"/>
      <c r="D194" s="23"/>
      <c r="E194" s="23"/>
      <c r="F194" s="23"/>
      <c r="G194" s="23"/>
      <c r="H194" s="23"/>
      <c r="I194" s="23"/>
      <c r="J194" s="23"/>
      <c r="K194" s="23"/>
      <c r="L194" s="23"/>
      <c r="M194" s="23"/>
      <c r="N194" s="23"/>
      <c r="O194" s="23"/>
      <c r="P194" s="23"/>
      <c r="Q194" s="23"/>
      <c r="R194" s="23"/>
    </row>
    <row r="195" spans="1:18">
      <c r="A195" s="23"/>
      <c r="B195" s="23"/>
      <c r="C195" s="23"/>
      <c r="D195" s="23"/>
      <c r="E195" s="23"/>
      <c r="F195" s="23"/>
      <c r="G195" s="23"/>
      <c r="H195" s="23"/>
      <c r="I195" s="23"/>
      <c r="J195" s="23"/>
      <c r="K195" s="23"/>
      <c r="L195" s="23"/>
      <c r="M195" s="23"/>
      <c r="N195" s="23"/>
      <c r="O195" s="23"/>
      <c r="P195" s="23"/>
      <c r="Q195" s="23"/>
      <c r="R195" s="23"/>
    </row>
    <row r="196" spans="1:18">
      <c r="A196" s="23"/>
      <c r="B196" s="23"/>
      <c r="C196" s="23"/>
      <c r="D196" s="23"/>
      <c r="E196" s="23"/>
      <c r="F196" s="23"/>
      <c r="G196" s="23"/>
      <c r="H196" s="23"/>
      <c r="I196" s="23"/>
      <c r="J196" s="23"/>
      <c r="K196" s="23"/>
      <c r="L196" s="23"/>
      <c r="M196" s="23"/>
      <c r="N196" s="23"/>
      <c r="O196" s="23"/>
      <c r="P196" s="23"/>
      <c r="Q196" s="23"/>
      <c r="R196" s="23"/>
    </row>
    <row r="197" spans="1:18">
      <c r="A197" s="23"/>
      <c r="B197" s="23"/>
      <c r="C197" s="23"/>
      <c r="D197" s="23"/>
      <c r="E197" s="23"/>
      <c r="F197" s="23"/>
      <c r="G197" s="23"/>
      <c r="H197" s="23"/>
      <c r="I197" s="23"/>
      <c r="J197" s="23"/>
      <c r="K197" s="23"/>
      <c r="L197" s="23"/>
      <c r="M197" s="23"/>
      <c r="N197" s="23"/>
      <c r="O197" s="23"/>
      <c r="P197" s="23"/>
      <c r="Q197" s="23"/>
      <c r="R197" s="23"/>
    </row>
    <row r="198" spans="1:18">
      <c r="A198" s="23"/>
      <c r="B198" s="23"/>
      <c r="C198" s="23"/>
      <c r="D198" s="23"/>
      <c r="E198" s="23"/>
      <c r="F198" s="23"/>
      <c r="G198" s="23"/>
      <c r="H198" s="23"/>
      <c r="I198" s="23"/>
      <c r="J198" s="23"/>
      <c r="K198" s="23"/>
      <c r="L198" s="23"/>
      <c r="M198" s="23"/>
      <c r="N198" s="23"/>
      <c r="O198" s="23"/>
      <c r="P198" s="23"/>
      <c r="Q198" s="23"/>
      <c r="R198" s="23"/>
    </row>
    <row r="199" spans="1:18">
      <c r="A199" s="23"/>
      <c r="B199" s="23"/>
      <c r="C199" s="23"/>
      <c r="D199" s="23"/>
      <c r="E199" s="23"/>
      <c r="F199" s="23"/>
      <c r="G199" s="23"/>
      <c r="H199" s="23"/>
      <c r="I199" s="23"/>
      <c r="J199" s="23"/>
      <c r="K199" s="23"/>
      <c r="L199" s="23"/>
      <c r="M199" s="23"/>
      <c r="N199" s="23"/>
      <c r="O199" s="23"/>
      <c r="P199" s="23"/>
      <c r="Q199" s="23"/>
      <c r="R199" s="23"/>
    </row>
    <row r="200" spans="1:18">
      <c r="A200" s="23"/>
      <c r="B200" s="23"/>
      <c r="C200" s="23"/>
      <c r="D200" s="23"/>
      <c r="E200" s="23"/>
      <c r="F200" s="23"/>
      <c r="G200" s="23"/>
      <c r="H200" s="23"/>
      <c r="I200" s="23"/>
      <c r="J200" s="23"/>
      <c r="K200" s="23"/>
      <c r="L200" s="23"/>
      <c r="M200" s="23"/>
      <c r="N200" s="23"/>
      <c r="O200" s="23"/>
      <c r="P200" s="23"/>
      <c r="Q200" s="23"/>
      <c r="R200" s="23"/>
    </row>
    <row r="201" spans="1:18">
      <c r="A201" s="23"/>
      <c r="B201" s="23"/>
      <c r="C201" s="23"/>
      <c r="D201" s="23"/>
      <c r="E201" s="23"/>
      <c r="F201" s="23"/>
      <c r="G201" s="23"/>
      <c r="H201" s="23"/>
      <c r="I201" s="23"/>
      <c r="J201" s="23"/>
      <c r="K201" s="23"/>
      <c r="L201" s="23"/>
      <c r="M201" s="23"/>
      <c r="N201" s="23"/>
      <c r="O201" s="23"/>
      <c r="P201" s="23"/>
      <c r="Q201" s="23"/>
      <c r="R201" s="23"/>
    </row>
    <row r="202" spans="1:18">
      <c r="A202" s="23"/>
      <c r="B202" s="23"/>
      <c r="C202" s="23"/>
      <c r="D202" s="23"/>
      <c r="E202" s="23"/>
      <c r="F202" s="23"/>
      <c r="G202" s="23"/>
      <c r="H202" s="23"/>
      <c r="I202" s="23"/>
      <c r="J202" s="23"/>
      <c r="K202" s="23"/>
      <c r="L202" s="23"/>
      <c r="M202" s="23"/>
      <c r="N202" s="23"/>
      <c r="O202" s="23"/>
      <c r="P202" s="23"/>
      <c r="Q202" s="23"/>
      <c r="R202" s="23"/>
    </row>
    <row r="203" spans="1:18">
      <c r="A203" s="23"/>
      <c r="B203" s="23"/>
      <c r="C203" s="23"/>
      <c r="D203" s="23"/>
      <c r="E203" s="23"/>
      <c r="F203" s="23"/>
      <c r="G203" s="23"/>
      <c r="H203" s="23"/>
      <c r="I203" s="23"/>
      <c r="J203" s="23"/>
      <c r="K203" s="23"/>
      <c r="L203" s="23"/>
      <c r="M203" s="23"/>
      <c r="N203" s="23"/>
      <c r="O203" s="23"/>
      <c r="P203" s="23"/>
      <c r="Q203" s="23"/>
      <c r="R203" s="23"/>
    </row>
    <row r="204" spans="1:18">
      <c r="A204" s="23"/>
      <c r="B204" s="23"/>
      <c r="C204" s="23"/>
      <c r="D204" s="23"/>
      <c r="E204" s="23"/>
      <c r="F204" s="23"/>
      <c r="G204" s="23"/>
      <c r="H204" s="23"/>
      <c r="I204" s="23"/>
      <c r="J204" s="23"/>
      <c r="K204" s="23"/>
      <c r="L204" s="23"/>
      <c r="M204" s="23"/>
      <c r="N204" s="23"/>
      <c r="O204" s="23"/>
      <c r="P204" s="23"/>
      <c r="Q204" s="23"/>
      <c r="R204" s="23"/>
    </row>
    <row r="205" spans="1:18">
      <c r="A205" s="23"/>
      <c r="B205" s="23"/>
      <c r="C205" s="23"/>
      <c r="D205" s="23"/>
      <c r="E205" s="23"/>
      <c r="F205" s="23"/>
      <c r="G205" s="23"/>
      <c r="H205" s="23"/>
      <c r="I205" s="23"/>
      <c r="J205" s="23"/>
      <c r="K205" s="23"/>
      <c r="L205" s="23"/>
      <c r="M205" s="23"/>
      <c r="N205" s="23"/>
      <c r="O205" s="23"/>
      <c r="P205" s="23"/>
      <c r="Q205" s="23"/>
      <c r="R205" s="23"/>
    </row>
    <row r="206" spans="1:18">
      <c r="A206" s="23"/>
      <c r="B206" s="23"/>
      <c r="C206" s="23"/>
      <c r="D206" s="23"/>
      <c r="E206" s="23"/>
      <c r="F206" s="23"/>
      <c r="G206" s="23"/>
      <c r="H206" s="23"/>
      <c r="I206" s="23"/>
      <c r="J206" s="23"/>
      <c r="K206" s="23"/>
      <c r="L206" s="23"/>
      <c r="M206" s="23"/>
      <c r="N206" s="23"/>
      <c r="O206" s="23"/>
      <c r="P206" s="23"/>
      <c r="Q206" s="23"/>
      <c r="R206" s="23"/>
    </row>
    <row r="207" spans="1:18">
      <c r="A207" s="23"/>
      <c r="B207" s="23"/>
      <c r="C207" s="23"/>
      <c r="D207" s="23"/>
      <c r="E207" s="23"/>
      <c r="F207" s="23"/>
      <c r="G207" s="23"/>
      <c r="H207" s="23"/>
      <c r="I207" s="23"/>
      <c r="J207" s="23"/>
      <c r="K207" s="23"/>
      <c r="L207" s="23"/>
      <c r="M207" s="23"/>
      <c r="N207" s="23"/>
      <c r="O207" s="23"/>
      <c r="P207" s="23"/>
      <c r="Q207" s="23"/>
      <c r="R207" s="23"/>
    </row>
    <row r="208" spans="1:18">
      <c r="A208" s="23"/>
      <c r="B208" s="23"/>
      <c r="C208" s="23"/>
      <c r="D208" s="23"/>
      <c r="E208" s="23"/>
      <c r="F208" s="23"/>
      <c r="G208" s="23"/>
      <c r="H208" s="23"/>
      <c r="I208" s="23"/>
      <c r="J208" s="23"/>
      <c r="K208" s="23"/>
      <c r="L208" s="23"/>
      <c r="M208" s="23"/>
      <c r="N208" s="23"/>
      <c r="O208" s="23"/>
      <c r="P208" s="23"/>
      <c r="Q208" s="23"/>
      <c r="R208" s="23"/>
    </row>
    <row r="209" spans="1:18">
      <c r="A209" s="23"/>
      <c r="B209" s="23"/>
      <c r="C209" s="23"/>
      <c r="D209" s="23"/>
      <c r="E209" s="23"/>
      <c r="F209" s="23"/>
      <c r="G209" s="23"/>
      <c r="H209" s="23"/>
      <c r="I209" s="23"/>
      <c r="J209" s="23"/>
      <c r="K209" s="23"/>
      <c r="L209" s="23"/>
      <c r="M209" s="23"/>
      <c r="N209" s="23"/>
      <c r="O209" s="23"/>
      <c r="P209" s="23"/>
      <c r="Q209" s="23"/>
      <c r="R209" s="23"/>
    </row>
    <row r="210" spans="1:18">
      <c r="A210" s="23"/>
      <c r="B210" s="23"/>
      <c r="C210" s="23"/>
      <c r="D210" s="23"/>
      <c r="E210" s="23"/>
      <c r="F210" s="23"/>
      <c r="G210" s="23"/>
      <c r="H210" s="23"/>
      <c r="I210" s="23"/>
      <c r="J210" s="23"/>
      <c r="K210" s="23"/>
      <c r="L210" s="23"/>
      <c r="M210" s="23"/>
      <c r="N210" s="23"/>
      <c r="O210" s="23"/>
      <c r="P210" s="23"/>
      <c r="Q210" s="23"/>
      <c r="R210" s="23"/>
    </row>
    <row r="211" spans="1:18">
      <c r="A211" s="23"/>
      <c r="B211" s="23"/>
      <c r="C211" s="23"/>
      <c r="D211" s="23"/>
      <c r="E211" s="23"/>
      <c r="F211" s="23"/>
      <c r="G211" s="23"/>
      <c r="H211" s="23"/>
      <c r="I211" s="23"/>
      <c r="J211" s="23"/>
      <c r="K211" s="23"/>
      <c r="L211" s="23"/>
      <c r="M211" s="23"/>
      <c r="N211" s="23"/>
      <c r="O211" s="23"/>
      <c r="P211" s="23"/>
      <c r="Q211" s="23"/>
      <c r="R211" s="23"/>
    </row>
    <row r="212" spans="1:18">
      <c r="A212" s="23"/>
      <c r="B212" s="23"/>
      <c r="C212" s="23"/>
      <c r="D212" s="23"/>
      <c r="E212" s="23"/>
      <c r="F212" s="23"/>
      <c r="G212" s="23"/>
      <c r="H212" s="23"/>
      <c r="I212" s="23"/>
      <c r="J212" s="23"/>
      <c r="K212" s="23"/>
      <c r="L212" s="23"/>
      <c r="M212" s="23"/>
      <c r="N212" s="23"/>
      <c r="O212" s="23"/>
      <c r="P212" s="23"/>
      <c r="Q212" s="23"/>
      <c r="R212" s="23"/>
    </row>
    <row r="213" spans="1:18">
      <c r="A213" s="23"/>
      <c r="B213" s="23"/>
      <c r="C213" s="23"/>
      <c r="D213" s="23"/>
      <c r="E213" s="23"/>
      <c r="F213" s="23"/>
      <c r="G213" s="23"/>
      <c r="H213" s="23"/>
      <c r="I213" s="23"/>
      <c r="J213" s="23"/>
      <c r="K213" s="23"/>
      <c r="L213" s="23"/>
      <c r="M213" s="23"/>
      <c r="N213" s="23"/>
      <c r="O213" s="23"/>
      <c r="P213" s="23"/>
      <c r="Q213" s="23"/>
      <c r="R213" s="23"/>
    </row>
    <row r="214" spans="1:18">
      <c r="A214" s="23"/>
      <c r="B214" s="23"/>
      <c r="C214" s="23"/>
      <c r="D214" s="23"/>
      <c r="E214" s="23"/>
      <c r="F214" s="23"/>
      <c r="G214" s="23"/>
      <c r="H214" s="23"/>
      <c r="I214" s="23"/>
      <c r="J214" s="23"/>
      <c r="K214" s="23"/>
      <c r="L214" s="23"/>
      <c r="M214" s="23"/>
      <c r="N214" s="23"/>
      <c r="O214" s="23"/>
      <c r="P214" s="23"/>
      <c r="Q214" s="23"/>
      <c r="R214" s="23"/>
    </row>
    <row r="215" spans="1:18">
      <c r="A215" s="23"/>
      <c r="B215" s="23"/>
      <c r="C215" s="23"/>
      <c r="D215" s="23"/>
      <c r="E215" s="23"/>
      <c r="F215" s="23"/>
      <c r="G215" s="23"/>
      <c r="H215" s="23"/>
      <c r="I215" s="23"/>
      <c r="J215" s="23"/>
      <c r="K215" s="23"/>
      <c r="L215" s="23"/>
      <c r="M215" s="23"/>
      <c r="N215" s="23"/>
      <c r="O215" s="23"/>
      <c r="P215" s="23"/>
      <c r="Q215" s="23"/>
      <c r="R215" s="23"/>
    </row>
    <row r="216" spans="1:18">
      <c r="A216" s="23"/>
      <c r="B216" s="23"/>
      <c r="C216" s="23"/>
      <c r="D216" s="23"/>
      <c r="E216" s="23"/>
      <c r="F216" s="23"/>
      <c r="G216" s="23"/>
      <c r="H216" s="23"/>
      <c r="I216" s="23"/>
      <c r="J216" s="23"/>
      <c r="K216" s="23"/>
      <c r="L216" s="23"/>
      <c r="M216" s="23"/>
      <c r="N216" s="23"/>
      <c r="O216" s="23"/>
      <c r="P216" s="23"/>
      <c r="Q216" s="23"/>
      <c r="R216" s="23"/>
    </row>
    <row r="217" spans="1:18">
      <c r="A217" s="23"/>
      <c r="B217" s="23"/>
      <c r="C217" s="23"/>
      <c r="D217" s="23"/>
      <c r="E217" s="23"/>
      <c r="F217" s="23"/>
      <c r="G217" s="23"/>
      <c r="H217" s="23"/>
      <c r="I217" s="23"/>
      <c r="J217" s="23"/>
      <c r="K217" s="23"/>
      <c r="L217" s="23"/>
      <c r="M217" s="23"/>
      <c r="N217" s="23"/>
      <c r="O217" s="23"/>
      <c r="P217" s="23"/>
      <c r="Q217" s="23"/>
      <c r="R217" s="23"/>
    </row>
    <row r="218" spans="1:18">
      <c r="A218" s="23"/>
      <c r="B218" s="23"/>
      <c r="C218" s="23"/>
      <c r="D218" s="23"/>
      <c r="E218" s="23"/>
      <c r="F218" s="23"/>
      <c r="G218" s="23"/>
      <c r="H218" s="23"/>
      <c r="I218" s="23"/>
      <c r="J218" s="23"/>
      <c r="K218" s="23"/>
      <c r="L218" s="23"/>
      <c r="M218" s="23"/>
      <c r="N218" s="23"/>
      <c r="O218" s="23"/>
      <c r="P218" s="23"/>
      <c r="Q218" s="23"/>
      <c r="R218" s="23"/>
    </row>
    <row r="219" spans="1:18">
      <c r="A219" s="23"/>
      <c r="B219" s="23"/>
      <c r="C219" s="23"/>
      <c r="D219" s="23"/>
      <c r="E219" s="23"/>
      <c r="F219" s="23"/>
      <c r="G219" s="23"/>
      <c r="H219" s="23"/>
      <c r="I219" s="23"/>
      <c r="J219" s="23"/>
      <c r="K219" s="23"/>
      <c r="L219" s="23"/>
      <c r="M219" s="23"/>
      <c r="N219" s="23"/>
      <c r="O219" s="23"/>
      <c r="P219" s="23"/>
      <c r="Q219" s="23"/>
      <c r="R219" s="23"/>
    </row>
    <row r="220" spans="1:18">
      <c r="A220" s="23"/>
      <c r="B220" s="23"/>
      <c r="C220" s="23"/>
      <c r="D220" s="23"/>
      <c r="E220" s="23"/>
      <c r="F220" s="23"/>
      <c r="G220" s="23"/>
      <c r="H220" s="23"/>
      <c r="I220" s="23"/>
      <c r="J220" s="23"/>
      <c r="K220" s="23"/>
      <c r="L220" s="23"/>
      <c r="M220" s="23"/>
      <c r="N220" s="23"/>
      <c r="O220" s="23"/>
      <c r="P220" s="23"/>
      <c r="Q220" s="23"/>
      <c r="R220" s="23"/>
    </row>
    <row r="221" spans="1:18">
      <c r="A221" s="23"/>
      <c r="B221" s="23"/>
      <c r="C221" s="23"/>
      <c r="D221" s="23"/>
      <c r="E221" s="23"/>
      <c r="F221" s="23"/>
      <c r="G221" s="23"/>
      <c r="H221" s="23"/>
      <c r="I221" s="23"/>
      <c r="J221" s="23"/>
      <c r="K221" s="23"/>
      <c r="L221" s="23"/>
      <c r="M221" s="23"/>
      <c r="N221" s="23"/>
      <c r="O221" s="23"/>
      <c r="P221" s="23"/>
      <c r="Q221" s="23"/>
      <c r="R221" s="23"/>
    </row>
    <row r="222" spans="1:18">
      <c r="A222" s="23"/>
      <c r="B222" s="23"/>
      <c r="C222" s="23"/>
      <c r="D222" s="23"/>
      <c r="E222" s="23"/>
      <c r="F222" s="23"/>
      <c r="G222" s="23"/>
      <c r="H222" s="23"/>
      <c r="I222" s="23"/>
      <c r="J222" s="23"/>
      <c r="K222" s="23"/>
      <c r="L222" s="23"/>
      <c r="M222" s="23"/>
      <c r="N222" s="23"/>
      <c r="O222" s="23"/>
      <c r="P222" s="23"/>
      <c r="Q222" s="23"/>
      <c r="R222" s="23"/>
    </row>
    <row r="223" spans="1:18">
      <c r="A223" s="23"/>
      <c r="B223" s="23"/>
      <c r="C223" s="23"/>
      <c r="D223" s="23"/>
      <c r="E223" s="23"/>
      <c r="F223" s="23"/>
      <c r="G223" s="23"/>
      <c r="H223" s="23"/>
      <c r="I223" s="23"/>
      <c r="J223" s="23"/>
      <c r="K223" s="23"/>
      <c r="L223" s="23"/>
      <c r="M223" s="23"/>
      <c r="N223" s="23"/>
      <c r="O223" s="23"/>
      <c r="P223" s="23"/>
      <c r="Q223" s="23"/>
      <c r="R223" s="23"/>
    </row>
    <row r="224" spans="1:18">
      <c r="A224" s="23"/>
      <c r="B224" s="23"/>
      <c r="C224" s="23"/>
      <c r="D224" s="23"/>
      <c r="E224" s="23"/>
      <c r="F224" s="23"/>
      <c r="G224" s="23"/>
      <c r="H224" s="23"/>
      <c r="I224" s="23"/>
      <c r="J224" s="23"/>
      <c r="K224" s="23"/>
      <c r="L224" s="23"/>
      <c r="M224" s="23"/>
      <c r="N224" s="23"/>
      <c r="O224" s="23"/>
      <c r="P224" s="23"/>
      <c r="Q224" s="23"/>
      <c r="R224" s="23"/>
    </row>
    <row r="225" spans="1:18">
      <c r="A225" s="23"/>
      <c r="B225" s="23"/>
      <c r="C225" s="23"/>
      <c r="D225" s="23"/>
      <c r="E225" s="23"/>
      <c r="F225" s="23"/>
      <c r="G225" s="23"/>
      <c r="H225" s="23"/>
      <c r="I225" s="23"/>
      <c r="J225" s="23"/>
      <c r="K225" s="23"/>
      <c r="L225" s="23"/>
      <c r="M225" s="23"/>
      <c r="N225" s="23"/>
      <c r="O225" s="23"/>
      <c r="P225" s="23"/>
      <c r="Q225" s="23"/>
      <c r="R225" s="23"/>
    </row>
    <row r="226" spans="1:18">
      <c r="A226" s="23"/>
      <c r="B226" s="23"/>
      <c r="C226" s="23"/>
      <c r="D226" s="23"/>
      <c r="E226" s="23"/>
      <c r="F226" s="23"/>
      <c r="G226" s="23"/>
      <c r="H226" s="23"/>
      <c r="I226" s="23"/>
      <c r="J226" s="23"/>
      <c r="K226" s="23"/>
      <c r="L226" s="23"/>
      <c r="M226" s="23"/>
      <c r="N226" s="23"/>
      <c r="O226" s="23"/>
      <c r="P226" s="23"/>
      <c r="Q226" s="23"/>
      <c r="R226" s="23"/>
    </row>
    <row r="227" spans="1:18">
      <c r="A227" s="23"/>
      <c r="B227" s="23"/>
      <c r="C227" s="23"/>
      <c r="D227" s="23"/>
      <c r="E227" s="23"/>
      <c r="F227" s="23"/>
      <c r="G227" s="23"/>
      <c r="H227" s="23"/>
      <c r="I227" s="23"/>
      <c r="J227" s="23"/>
      <c r="K227" s="23"/>
      <c r="L227" s="23"/>
      <c r="M227" s="23"/>
      <c r="N227" s="23"/>
      <c r="O227" s="23"/>
      <c r="P227" s="23"/>
      <c r="Q227" s="23"/>
      <c r="R227" s="23"/>
    </row>
    <row r="228" spans="1:18">
      <c r="A228" s="23"/>
      <c r="B228" s="23"/>
      <c r="C228" s="23"/>
      <c r="D228" s="23"/>
      <c r="E228" s="23"/>
      <c r="F228" s="23"/>
      <c r="G228" s="23"/>
      <c r="H228" s="23"/>
      <c r="I228" s="23"/>
      <c r="J228" s="23"/>
      <c r="K228" s="23"/>
      <c r="L228" s="23"/>
      <c r="M228" s="23"/>
      <c r="N228" s="23"/>
      <c r="O228" s="23"/>
      <c r="P228" s="23"/>
      <c r="Q228" s="23"/>
      <c r="R228" s="23"/>
    </row>
    <row r="229" spans="1:18">
      <c r="A229" s="23"/>
      <c r="B229" s="23"/>
      <c r="C229" s="23"/>
      <c r="D229" s="23"/>
      <c r="E229" s="23"/>
      <c r="F229" s="23"/>
      <c r="G229" s="23"/>
      <c r="H229" s="23"/>
      <c r="I229" s="23"/>
      <c r="J229" s="23"/>
      <c r="K229" s="23"/>
      <c r="L229" s="23"/>
      <c r="M229" s="23"/>
      <c r="N229" s="23"/>
      <c r="O229" s="23"/>
      <c r="P229" s="23"/>
      <c r="Q229" s="23"/>
      <c r="R229" s="23"/>
    </row>
    <row r="230" spans="1:18">
      <c r="A230" s="23"/>
      <c r="B230" s="23"/>
      <c r="C230" s="23"/>
      <c r="D230" s="23"/>
      <c r="E230" s="23"/>
      <c r="F230" s="23"/>
      <c r="G230" s="23"/>
      <c r="H230" s="23"/>
      <c r="I230" s="23"/>
      <c r="J230" s="23"/>
      <c r="K230" s="23"/>
      <c r="L230" s="23"/>
      <c r="M230" s="23"/>
      <c r="N230" s="23"/>
      <c r="O230" s="23"/>
      <c r="P230" s="23"/>
      <c r="Q230" s="23"/>
      <c r="R230" s="23"/>
    </row>
    <row r="231" spans="1:18">
      <c r="A231" s="23"/>
      <c r="B231" s="23"/>
      <c r="C231" s="23"/>
      <c r="D231" s="23"/>
      <c r="E231" s="23"/>
      <c r="F231" s="23"/>
      <c r="G231" s="23"/>
      <c r="H231" s="23"/>
      <c r="I231" s="23"/>
      <c r="J231" s="23"/>
      <c r="K231" s="23"/>
      <c r="L231" s="23"/>
      <c r="M231" s="23"/>
      <c r="N231" s="23"/>
      <c r="O231" s="23"/>
      <c r="P231" s="23"/>
      <c r="Q231" s="23"/>
      <c r="R231" s="23"/>
    </row>
    <row r="232" spans="1:18">
      <c r="A232" s="23"/>
      <c r="B232" s="23"/>
      <c r="C232" s="23"/>
      <c r="D232" s="23"/>
      <c r="E232" s="23"/>
      <c r="F232" s="23"/>
      <c r="G232" s="23"/>
      <c r="H232" s="23"/>
      <c r="I232" s="23"/>
      <c r="J232" s="23"/>
      <c r="K232" s="23"/>
      <c r="L232" s="23"/>
      <c r="M232" s="23"/>
      <c r="N232" s="23"/>
      <c r="O232" s="23"/>
      <c r="P232" s="23"/>
      <c r="Q232" s="23"/>
      <c r="R232" s="23"/>
    </row>
    <row r="233" spans="1:18">
      <c r="A233" s="23"/>
      <c r="B233" s="23"/>
      <c r="C233" s="23"/>
      <c r="D233" s="23"/>
      <c r="E233" s="23"/>
      <c r="F233" s="23"/>
      <c r="G233" s="23"/>
      <c r="H233" s="23"/>
      <c r="I233" s="23"/>
      <c r="J233" s="23"/>
      <c r="K233" s="23"/>
      <c r="L233" s="23"/>
      <c r="M233" s="23"/>
      <c r="N233" s="23"/>
      <c r="O233" s="23"/>
      <c r="P233" s="23"/>
      <c r="Q233" s="23"/>
      <c r="R233" s="23"/>
    </row>
    <row r="234" spans="1:18">
      <c r="A234" s="23"/>
      <c r="B234" s="23"/>
      <c r="C234" s="23"/>
      <c r="D234" s="23"/>
      <c r="E234" s="23"/>
      <c r="F234" s="23"/>
      <c r="G234" s="23"/>
      <c r="H234" s="23"/>
      <c r="I234" s="23"/>
      <c r="J234" s="23"/>
      <c r="K234" s="23"/>
      <c r="L234" s="23"/>
      <c r="M234" s="23"/>
      <c r="N234" s="23"/>
      <c r="O234" s="23"/>
      <c r="P234" s="23"/>
      <c r="Q234" s="23"/>
      <c r="R234" s="23"/>
    </row>
    <row r="235" spans="1:18">
      <c r="A235" s="23"/>
      <c r="B235" s="23"/>
      <c r="C235" s="23"/>
      <c r="D235" s="23"/>
      <c r="E235" s="23"/>
      <c r="F235" s="23"/>
      <c r="G235" s="23"/>
      <c r="H235" s="23"/>
      <c r="I235" s="23"/>
      <c r="J235" s="23"/>
      <c r="K235" s="23"/>
      <c r="L235" s="23"/>
      <c r="M235" s="23"/>
      <c r="N235" s="23"/>
      <c r="O235" s="23"/>
      <c r="P235" s="23"/>
      <c r="Q235" s="23"/>
      <c r="R235" s="23"/>
    </row>
    <row r="236" spans="1:18">
      <c r="A236" s="23"/>
      <c r="B236" s="23"/>
      <c r="C236" s="23"/>
      <c r="D236" s="23"/>
      <c r="E236" s="23"/>
      <c r="F236" s="23"/>
      <c r="G236" s="23"/>
      <c r="H236" s="23"/>
      <c r="I236" s="23"/>
      <c r="J236" s="23"/>
      <c r="K236" s="23"/>
      <c r="L236" s="23"/>
      <c r="M236" s="23"/>
      <c r="N236" s="23"/>
      <c r="O236" s="23"/>
      <c r="P236" s="23"/>
      <c r="Q236" s="23"/>
      <c r="R236" s="23"/>
    </row>
    <row r="237" spans="1:18">
      <c r="A237" s="23"/>
      <c r="B237" s="23"/>
      <c r="C237" s="23"/>
      <c r="D237" s="23"/>
      <c r="E237" s="23"/>
      <c r="F237" s="23"/>
      <c r="G237" s="23"/>
      <c r="H237" s="23"/>
      <c r="I237" s="23"/>
      <c r="J237" s="23"/>
      <c r="K237" s="23"/>
      <c r="L237" s="23"/>
      <c r="M237" s="23"/>
      <c r="N237" s="23"/>
      <c r="O237" s="23"/>
      <c r="P237" s="23"/>
      <c r="Q237" s="23"/>
      <c r="R237" s="23"/>
    </row>
    <row r="238" spans="1:18">
      <c r="A238" s="23"/>
      <c r="B238" s="23"/>
      <c r="C238" s="23"/>
      <c r="D238" s="23"/>
      <c r="E238" s="23"/>
      <c r="F238" s="23"/>
      <c r="G238" s="23"/>
      <c r="H238" s="23"/>
      <c r="I238" s="23"/>
      <c r="J238" s="23"/>
      <c r="K238" s="23"/>
      <c r="L238" s="23"/>
      <c r="M238" s="23"/>
      <c r="N238" s="23"/>
      <c r="O238" s="23"/>
      <c r="P238" s="23"/>
      <c r="Q238" s="23"/>
      <c r="R238" s="23"/>
    </row>
    <row r="239" spans="1:18">
      <c r="A239" s="23"/>
      <c r="B239" s="23"/>
      <c r="C239" s="23"/>
      <c r="D239" s="23"/>
      <c r="E239" s="23"/>
      <c r="F239" s="23"/>
      <c r="G239" s="23"/>
      <c r="H239" s="23"/>
      <c r="I239" s="23"/>
      <c r="J239" s="23"/>
      <c r="K239" s="23"/>
      <c r="L239" s="23"/>
      <c r="M239" s="23"/>
      <c r="N239" s="23"/>
      <c r="O239" s="23"/>
      <c r="P239" s="23"/>
      <c r="Q239" s="23"/>
      <c r="R239" s="23"/>
    </row>
    <row r="240" spans="1:18">
      <c r="A240" s="23"/>
      <c r="B240" s="23"/>
      <c r="C240" s="23"/>
      <c r="D240" s="23"/>
      <c r="E240" s="23"/>
      <c r="F240" s="23"/>
      <c r="G240" s="23"/>
      <c r="H240" s="23"/>
      <c r="I240" s="23"/>
      <c r="J240" s="23"/>
      <c r="K240" s="23"/>
      <c r="L240" s="23"/>
      <c r="M240" s="23"/>
      <c r="N240" s="23"/>
      <c r="O240" s="23"/>
      <c r="P240" s="23"/>
      <c r="Q240" s="23"/>
      <c r="R240" s="23"/>
    </row>
    <row r="241" spans="1:18">
      <c r="A241" s="23"/>
      <c r="B241" s="23"/>
      <c r="C241" s="23"/>
      <c r="D241" s="23"/>
      <c r="E241" s="23"/>
      <c r="F241" s="23"/>
      <c r="G241" s="23"/>
      <c r="H241" s="23"/>
      <c r="I241" s="23"/>
      <c r="J241" s="23"/>
      <c r="K241" s="23"/>
      <c r="L241" s="23"/>
      <c r="M241" s="23"/>
      <c r="N241" s="23"/>
      <c r="O241" s="23"/>
      <c r="P241" s="23"/>
      <c r="Q241" s="23"/>
      <c r="R241" s="23"/>
    </row>
    <row r="242" spans="1:18">
      <c r="A242" s="23"/>
      <c r="B242" s="23"/>
      <c r="C242" s="23"/>
      <c r="D242" s="23"/>
      <c r="E242" s="23"/>
      <c r="F242" s="23"/>
      <c r="G242" s="23"/>
      <c r="H242" s="23"/>
      <c r="I242" s="23"/>
      <c r="J242" s="23"/>
      <c r="K242" s="23"/>
      <c r="L242" s="23"/>
      <c r="M242" s="23"/>
      <c r="N242" s="23"/>
      <c r="O242" s="23"/>
      <c r="P242" s="23"/>
      <c r="Q242" s="23"/>
      <c r="R242" s="23"/>
    </row>
    <row r="243" spans="1:18">
      <c r="A243" s="23"/>
      <c r="B243" s="23"/>
      <c r="C243" s="23"/>
      <c r="D243" s="23"/>
      <c r="E243" s="23"/>
      <c r="F243" s="23"/>
      <c r="G243" s="23"/>
      <c r="H243" s="23"/>
      <c r="I243" s="23"/>
      <c r="J243" s="23"/>
      <c r="K243" s="23"/>
      <c r="L243" s="23"/>
      <c r="M243" s="23"/>
      <c r="N243" s="23"/>
      <c r="O243" s="23"/>
      <c r="P243" s="23"/>
      <c r="Q243" s="23"/>
      <c r="R243" s="23"/>
    </row>
    <row r="244" spans="1:18">
      <c r="A244" s="23"/>
      <c r="B244" s="23"/>
      <c r="C244" s="23"/>
      <c r="D244" s="23"/>
      <c r="E244" s="23"/>
      <c r="F244" s="23"/>
      <c r="G244" s="23"/>
      <c r="H244" s="23"/>
      <c r="I244" s="23"/>
      <c r="J244" s="23"/>
      <c r="K244" s="23"/>
      <c r="L244" s="23"/>
      <c r="M244" s="23"/>
      <c r="N244" s="23"/>
      <c r="O244" s="23"/>
      <c r="P244" s="23"/>
      <c r="Q244" s="23"/>
      <c r="R244" s="23"/>
    </row>
    <row r="245" spans="1:18">
      <c r="A245" s="23"/>
      <c r="B245" s="23"/>
      <c r="C245" s="23"/>
      <c r="D245" s="23"/>
      <c r="E245" s="23"/>
      <c r="F245" s="23"/>
      <c r="G245" s="23"/>
      <c r="H245" s="23"/>
      <c r="I245" s="23"/>
      <c r="J245" s="23"/>
      <c r="K245" s="23"/>
      <c r="L245" s="23"/>
      <c r="M245" s="23"/>
      <c r="N245" s="23"/>
      <c r="O245" s="23"/>
      <c r="P245" s="23"/>
      <c r="Q245" s="23"/>
      <c r="R245" s="23"/>
    </row>
    <row r="246" spans="1:18">
      <c r="A246" s="23"/>
      <c r="B246" s="23"/>
      <c r="C246" s="23"/>
      <c r="D246" s="23"/>
      <c r="E246" s="23"/>
      <c r="F246" s="23"/>
      <c r="G246" s="23"/>
      <c r="H246" s="23"/>
      <c r="I246" s="23"/>
      <c r="J246" s="23"/>
      <c r="K246" s="23"/>
      <c r="L246" s="23"/>
      <c r="M246" s="23"/>
      <c r="N246" s="23"/>
      <c r="O246" s="23"/>
      <c r="P246" s="23"/>
      <c r="Q246" s="23"/>
      <c r="R246" s="23"/>
    </row>
    <row r="247" spans="1:18">
      <c r="A247" s="23"/>
      <c r="B247" s="23"/>
      <c r="C247" s="23"/>
      <c r="D247" s="23"/>
      <c r="E247" s="23"/>
      <c r="F247" s="23"/>
      <c r="G247" s="23"/>
      <c r="H247" s="23"/>
      <c r="I247" s="23"/>
      <c r="J247" s="23"/>
      <c r="K247" s="23"/>
      <c r="L247" s="23"/>
      <c r="M247" s="23"/>
      <c r="N247" s="23"/>
      <c r="O247" s="23"/>
      <c r="P247" s="23"/>
      <c r="Q247" s="23"/>
      <c r="R247"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2F3A56"/>
  </sheetPr>
  <dimension ref="A1:Z111"/>
  <sheetViews>
    <sheetView showGridLines="0" workbookViewId="0"/>
  </sheetViews>
  <sheetFormatPr defaultColWidth="9.125" defaultRowHeight="15"/>
  <cols>
    <col min="1" max="1" width="10" style="185" customWidth="1"/>
    <col min="2" max="2" width="13.25" style="185" customWidth="1"/>
    <col min="3" max="3" width="15.125" style="185" customWidth="1"/>
    <col min="4" max="4" width="12.75" style="185" customWidth="1"/>
    <col min="5" max="6" width="13.25" style="185" customWidth="1"/>
    <col min="7" max="16384" width="9.125" style="87"/>
  </cols>
  <sheetData>
    <row r="1" spans="1:26" ht="30.75" customHeight="1">
      <c r="A1" s="183"/>
      <c r="B1" s="184"/>
      <c r="C1" s="184"/>
      <c r="D1" s="184"/>
      <c r="E1" s="184"/>
      <c r="F1" s="184"/>
      <c r="G1" s="167"/>
      <c r="H1" s="52" t="s">
        <v>4343</v>
      </c>
      <c r="I1" s="167"/>
      <c r="J1" s="167"/>
      <c r="K1" s="167"/>
      <c r="L1" s="167"/>
      <c r="M1" s="167"/>
      <c r="N1" s="167"/>
      <c r="O1" s="167"/>
      <c r="P1" s="167"/>
      <c r="Q1" s="167"/>
      <c r="R1" s="167"/>
      <c r="S1" s="167"/>
      <c r="T1" s="167"/>
      <c r="U1" s="167"/>
      <c r="V1" s="167"/>
      <c r="W1" s="167"/>
      <c r="X1" s="167"/>
      <c r="Y1" s="167"/>
      <c r="Z1" s="167"/>
    </row>
    <row r="2" spans="1:26" ht="33.75" customHeight="1">
      <c r="A2" s="176" t="s">
        <v>677</v>
      </c>
      <c r="B2" s="176"/>
      <c r="C2" s="176" t="s">
        <v>678</v>
      </c>
      <c r="D2" s="176"/>
      <c r="E2" s="176"/>
      <c r="F2" s="176"/>
    </row>
    <row r="3" spans="1:26" ht="29.25" customHeight="1">
      <c r="A3" s="155" t="s">
        <v>477</v>
      </c>
      <c r="B3" s="155" t="s">
        <v>679</v>
      </c>
      <c r="C3" s="172" t="s">
        <v>680</v>
      </c>
      <c r="D3" s="172" t="s">
        <v>681</v>
      </c>
      <c r="E3" s="172" t="s">
        <v>682</v>
      </c>
      <c r="F3" s="172" t="s">
        <v>683</v>
      </c>
    </row>
    <row r="4" spans="1:26">
      <c r="A4" s="172">
        <v>2024</v>
      </c>
      <c r="B4" s="152" t="s">
        <v>46</v>
      </c>
      <c r="C4" s="155">
        <v>238</v>
      </c>
      <c r="D4" s="155">
        <v>54</v>
      </c>
      <c r="E4" s="155">
        <v>89</v>
      </c>
      <c r="F4" s="155">
        <v>421</v>
      </c>
    </row>
    <row r="5" spans="1:26">
      <c r="A5" s="172">
        <v>2024</v>
      </c>
      <c r="B5" s="152" t="s">
        <v>53</v>
      </c>
      <c r="C5" s="155">
        <v>12</v>
      </c>
      <c r="D5" s="155">
        <v>30</v>
      </c>
      <c r="E5" s="155">
        <v>32</v>
      </c>
      <c r="F5" s="155">
        <v>221</v>
      </c>
    </row>
    <row r="6" spans="1:26">
      <c r="A6" s="172">
        <v>2024</v>
      </c>
      <c r="B6" s="152" t="s">
        <v>60</v>
      </c>
      <c r="C6" s="155">
        <v>402</v>
      </c>
      <c r="D6" s="155">
        <v>86</v>
      </c>
      <c r="E6" s="155">
        <v>453</v>
      </c>
      <c r="F6" s="155">
        <v>880</v>
      </c>
    </row>
    <row r="7" spans="1:26">
      <c r="A7" s="172">
        <v>2024</v>
      </c>
      <c r="B7" s="152" t="s">
        <v>69</v>
      </c>
      <c r="C7" s="155">
        <v>146</v>
      </c>
      <c r="D7" s="155">
        <v>78</v>
      </c>
      <c r="E7" s="155">
        <v>58</v>
      </c>
      <c r="F7" s="155">
        <v>382</v>
      </c>
    </row>
    <row r="8" spans="1:26">
      <c r="A8" s="172">
        <v>2024</v>
      </c>
      <c r="B8" s="152" t="s">
        <v>75</v>
      </c>
      <c r="C8" s="155">
        <v>376</v>
      </c>
      <c r="D8" s="155">
        <v>53</v>
      </c>
      <c r="E8" s="155">
        <v>516</v>
      </c>
      <c r="F8" s="155">
        <v>200</v>
      </c>
    </row>
    <row r="9" spans="1:26">
      <c r="A9" s="172">
        <v>2024</v>
      </c>
      <c r="B9" s="152" t="s">
        <v>81</v>
      </c>
      <c r="C9" s="155">
        <v>42</v>
      </c>
      <c r="D9" s="155">
        <v>70</v>
      </c>
      <c r="E9" s="155">
        <v>374</v>
      </c>
      <c r="F9" s="155">
        <v>30</v>
      </c>
    </row>
    <row r="10" spans="1:26">
      <c r="A10" s="172">
        <v>2023</v>
      </c>
      <c r="B10" s="152" t="s">
        <v>46</v>
      </c>
      <c r="C10" s="155">
        <v>221</v>
      </c>
      <c r="D10" s="155">
        <v>52</v>
      </c>
      <c r="E10" s="155">
        <v>93</v>
      </c>
      <c r="F10" s="155">
        <v>414</v>
      </c>
    </row>
    <row r="11" spans="1:26">
      <c r="A11" s="172">
        <v>2023</v>
      </c>
      <c r="B11" s="152" t="s">
        <v>53</v>
      </c>
      <c r="C11" s="155">
        <v>13</v>
      </c>
      <c r="D11" s="155">
        <v>30</v>
      </c>
      <c r="E11" s="155">
        <v>31</v>
      </c>
      <c r="F11" s="155">
        <v>208</v>
      </c>
    </row>
    <row r="12" spans="1:26">
      <c r="A12" s="172">
        <v>2023</v>
      </c>
      <c r="B12" s="152" t="s">
        <v>60</v>
      </c>
      <c r="C12" s="155">
        <v>400</v>
      </c>
      <c r="D12" s="155">
        <v>70</v>
      </c>
      <c r="E12" s="155">
        <v>323</v>
      </c>
      <c r="F12" s="155">
        <v>857</v>
      </c>
    </row>
    <row r="13" spans="1:26">
      <c r="A13" s="172">
        <v>2023</v>
      </c>
      <c r="B13" s="152" t="s">
        <v>69</v>
      </c>
      <c r="C13" s="155">
        <v>295</v>
      </c>
      <c r="D13" s="155">
        <v>78</v>
      </c>
      <c r="E13" s="155">
        <v>270</v>
      </c>
      <c r="F13" s="155">
        <v>396</v>
      </c>
    </row>
    <row r="14" spans="1:26">
      <c r="A14" s="172">
        <v>2023</v>
      </c>
      <c r="B14" s="152" t="s">
        <v>75</v>
      </c>
      <c r="C14" s="155">
        <v>288</v>
      </c>
      <c r="D14" s="155">
        <v>40</v>
      </c>
      <c r="E14" s="155">
        <v>554</v>
      </c>
      <c r="F14" s="155">
        <v>278</v>
      </c>
    </row>
    <row r="15" spans="1:26">
      <c r="A15" s="172">
        <v>2023</v>
      </c>
      <c r="B15" s="152" t="s">
        <v>81</v>
      </c>
      <c r="C15" s="155">
        <v>51</v>
      </c>
      <c r="D15" s="155">
        <v>74</v>
      </c>
      <c r="E15" s="155">
        <v>265</v>
      </c>
      <c r="F15" s="155">
        <v>30</v>
      </c>
    </row>
    <row r="16" spans="1:26">
      <c r="A16" s="172">
        <v>2022</v>
      </c>
      <c r="B16" s="152" t="s">
        <v>46</v>
      </c>
      <c r="C16" s="155">
        <v>164</v>
      </c>
      <c r="D16" s="155">
        <v>52</v>
      </c>
      <c r="E16" s="155">
        <v>149</v>
      </c>
      <c r="F16" s="155">
        <v>489</v>
      </c>
    </row>
    <row r="17" spans="1:6">
      <c r="A17" s="172">
        <v>2022</v>
      </c>
      <c r="B17" s="152" t="s">
        <v>53</v>
      </c>
      <c r="C17" s="155">
        <v>22</v>
      </c>
      <c r="D17" s="155">
        <v>30</v>
      </c>
      <c r="E17" s="155">
        <v>33</v>
      </c>
      <c r="F17" s="155">
        <v>211</v>
      </c>
    </row>
    <row r="18" spans="1:6">
      <c r="A18" s="172">
        <v>2022</v>
      </c>
      <c r="B18" s="152" t="s">
        <v>60</v>
      </c>
      <c r="C18" s="155">
        <v>4232</v>
      </c>
      <c r="D18" s="155">
        <v>156</v>
      </c>
      <c r="E18" s="155">
        <v>495</v>
      </c>
      <c r="F18" s="155">
        <v>704</v>
      </c>
    </row>
    <row r="19" spans="1:6">
      <c r="A19" s="172">
        <v>2022</v>
      </c>
      <c r="B19" s="152" t="s">
        <v>69</v>
      </c>
      <c r="C19" s="155">
        <v>158</v>
      </c>
      <c r="D19" s="155">
        <v>160</v>
      </c>
      <c r="E19" s="155">
        <v>101</v>
      </c>
      <c r="F19" s="155">
        <v>113</v>
      </c>
    </row>
    <row r="20" spans="1:6">
      <c r="A20" s="172">
        <v>2022</v>
      </c>
      <c r="B20" s="152" t="s">
        <v>75</v>
      </c>
      <c r="C20" s="155">
        <v>318</v>
      </c>
      <c r="D20" s="155">
        <v>44</v>
      </c>
      <c r="E20" s="155">
        <v>671</v>
      </c>
      <c r="F20" s="155">
        <v>294</v>
      </c>
    </row>
    <row r="21" spans="1:6">
      <c r="A21" s="172">
        <v>2022</v>
      </c>
      <c r="B21" s="152" t="s">
        <v>81</v>
      </c>
      <c r="C21" s="155">
        <v>49</v>
      </c>
      <c r="D21" s="155">
        <v>18</v>
      </c>
      <c r="E21" s="155">
        <v>479</v>
      </c>
      <c r="F21" s="155">
        <v>72</v>
      </c>
    </row>
    <row r="22" spans="1:6">
      <c r="A22" s="172">
        <v>2021</v>
      </c>
      <c r="B22" s="152" t="s">
        <v>46</v>
      </c>
      <c r="C22" s="155">
        <v>196</v>
      </c>
      <c r="D22" s="155">
        <v>52</v>
      </c>
      <c r="E22" s="155">
        <v>153</v>
      </c>
      <c r="F22" s="155">
        <v>574</v>
      </c>
    </row>
    <row r="23" spans="1:6">
      <c r="A23" s="172">
        <v>2021</v>
      </c>
      <c r="B23" s="152" t="s">
        <v>53</v>
      </c>
      <c r="C23" s="155">
        <v>63</v>
      </c>
      <c r="D23" s="155">
        <v>9</v>
      </c>
      <c r="E23" s="155">
        <v>21</v>
      </c>
      <c r="F23" s="155">
        <v>223</v>
      </c>
    </row>
    <row r="24" spans="1:6">
      <c r="A24" s="172">
        <v>2021</v>
      </c>
      <c r="B24" s="152" t="s">
        <v>60</v>
      </c>
      <c r="C24" s="155">
        <v>374</v>
      </c>
      <c r="D24" s="155">
        <v>140</v>
      </c>
      <c r="E24" s="155">
        <v>379</v>
      </c>
      <c r="F24" s="155">
        <v>926</v>
      </c>
    </row>
    <row r="25" spans="1:6">
      <c r="A25" s="172">
        <v>2021</v>
      </c>
      <c r="B25" s="152" t="s">
        <v>69</v>
      </c>
      <c r="C25" s="155">
        <v>188</v>
      </c>
      <c r="D25" s="155">
        <v>360</v>
      </c>
      <c r="E25" s="155">
        <v>117</v>
      </c>
      <c r="F25" s="155">
        <v>235</v>
      </c>
    </row>
    <row r="26" spans="1:6">
      <c r="A26" s="172">
        <v>2021</v>
      </c>
      <c r="B26" s="152" t="s">
        <v>75</v>
      </c>
      <c r="C26" s="155">
        <v>270</v>
      </c>
      <c r="D26" s="155">
        <v>57</v>
      </c>
      <c r="E26" s="155">
        <v>570</v>
      </c>
      <c r="F26" s="155">
        <v>191</v>
      </c>
    </row>
    <row r="27" spans="1:6">
      <c r="A27" s="172">
        <v>2021</v>
      </c>
      <c r="B27" s="152" t="s">
        <v>81</v>
      </c>
      <c r="C27" s="155">
        <v>31</v>
      </c>
      <c r="D27" s="155">
        <v>36</v>
      </c>
      <c r="E27" s="155">
        <v>308</v>
      </c>
      <c r="F27" s="155">
        <v>48</v>
      </c>
    </row>
    <row r="28" spans="1:6">
      <c r="A28" s="172">
        <v>2020</v>
      </c>
      <c r="B28" s="152" t="s">
        <v>46</v>
      </c>
      <c r="C28" s="155">
        <v>253</v>
      </c>
      <c r="D28" s="155">
        <v>52</v>
      </c>
      <c r="E28" s="155">
        <v>152</v>
      </c>
      <c r="F28" s="155">
        <v>565</v>
      </c>
    </row>
    <row r="29" spans="1:6">
      <c r="A29" s="172">
        <v>2020</v>
      </c>
      <c r="B29" s="152" t="s">
        <v>53</v>
      </c>
      <c r="C29" s="155">
        <v>58</v>
      </c>
      <c r="D29" s="155">
        <v>60</v>
      </c>
      <c r="E29" s="155">
        <v>46</v>
      </c>
      <c r="F29" s="155">
        <v>220</v>
      </c>
    </row>
    <row r="30" spans="1:6">
      <c r="A30" s="172">
        <v>2020</v>
      </c>
      <c r="B30" s="152" t="s">
        <v>60</v>
      </c>
      <c r="C30" s="155">
        <v>417</v>
      </c>
      <c r="D30" s="155">
        <v>170</v>
      </c>
      <c r="E30" s="155">
        <v>445</v>
      </c>
      <c r="F30" s="155">
        <v>671</v>
      </c>
    </row>
    <row r="31" spans="1:6">
      <c r="A31" s="172">
        <v>2020</v>
      </c>
      <c r="B31" s="152" t="s">
        <v>69</v>
      </c>
      <c r="C31" s="155">
        <v>193</v>
      </c>
      <c r="D31" s="155">
        <v>346</v>
      </c>
      <c r="E31" s="155">
        <v>119</v>
      </c>
      <c r="F31" s="155">
        <v>653</v>
      </c>
    </row>
    <row r="32" spans="1:6">
      <c r="A32" s="172">
        <v>2020</v>
      </c>
      <c r="B32" s="152" t="s">
        <v>75</v>
      </c>
      <c r="C32" s="155">
        <v>320</v>
      </c>
      <c r="D32" s="155">
        <v>41</v>
      </c>
      <c r="E32" s="155">
        <v>679</v>
      </c>
      <c r="F32" s="155">
        <v>199</v>
      </c>
    </row>
    <row r="33" spans="1:6">
      <c r="A33" s="172">
        <v>2020</v>
      </c>
      <c r="B33" s="152" t="s">
        <v>81</v>
      </c>
      <c r="C33" s="155">
        <v>25</v>
      </c>
      <c r="D33" s="155">
        <v>37</v>
      </c>
      <c r="E33" s="155">
        <v>346</v>
      </c>
      <c r="F33" s="155">
        <v>58</v>
      </c>
    </row>
    <row r="34" spans="1:6">
      <c r="A34" s="172">
        <v>2019</v>
      </c>
      <c r="B34" s="152" t="s">
        <v>46</v>
      </c>
      <c r="C34" s="155">
        <v>277</v>
      </c>
      <c r="D34" s="155">
        <v>52</v>
      </c>
      <c r="E34" s="155">
        <v>164</v>
      </c>
      <c r="F34" s="155">
        <v>580</v>
      </c>
    </row>
    <row r="35" spans="1:6">
      <c r="A35" s="172">
        <v>2019</v>
      </c>
      <c r="B35" s="152" t="s">
        <v>53</v>
      </c>
      <c r="C35" s="155">
        <v>48</v>
      </c>
      <c r="D35" s="155">
        <v>48</v>
      </c>
      <c r="E35" s="155">
        <v>32</v>
      </c>
      <c r="F35" s="155">
        <v>189</v>
      </c>
    </row>
    <row r="36" spans="1:6">
      <c r="A36" s="172">
        <v>2019</v>
      </c>
      <c r="B36" s="152" t="s">
        <v>60</v>
      </c>
      <c r="C36" s="155">
        <v>396</v>
      </c>
      <c r="D36" s="155">
        <v>193</v>
      </c>
      <c r="E36" s="155">
        <v>457</v>
      </c>
      <c r="F36" s="155">
        <v>719</v>
      </c>
    </row>
    <row r="37" spans="1:6">
      <c r="A37" s="172">
        <v>2019</v>
      </c>
      <c r="B37" s="152" t="s">
        <v>69</v>
      </c>
      <c r="C37" s="155">
        <v>214</v>
      </c>
      <c r="D37" s="155">
        <v>285</v>
      </c>
      <c r="E37" s="155">
        <v>201</v>
      </c>
      <c r="F37" s="155">
        <v>409</v>
      </c>
    </row>
    <row r="38" spans="1:6">
      <c r="A38" s="172">
        <v>2019</v>
      </c>
      <c r="B38" s="152" t="s">
        <v>75</v>
      </c>
      <c r="C38" s="155">
        <v>362</v>
      </c>
      <c r="D38" s="155">
        <v>122</v>
      </c>
      <c r="E38" s="155">
        <v>644</v>
      </c>
      <c r="F38" s="155">
        <v>195</v>
      </c>
    </row>
    <row r="39" spans="1:6">
      <c r="A39" s="172">
        <v>2019</v>
      </c>
      <c r="B39" s="152" t="s">
        <v>81</v>
      </c>
      <c r="C39" s="155">
        <v>64</v>
      </c>
      <c r="D39" s="155">
        <v>46</v>
      </c>
      <c r="E39" s="155">
        <v>326</v>
      </c>
      <c r="F39" s="155">
        <v>58</v>
      </c>
    </row>
    <row r="40" spans="1:6">
      <c r="A40" s="172">
        <v>2018</v>
      </c>
      <c r="B40" s="152" t="s">
        <v>46</v>
      </c>
      <c r="C40" s="155">
        <v>320</v>
      </c>
      <c r="D40" s="155">
        <v>61</v>
      </c>
      <c r="E40" s="155">
        <v>172</v>
      </c>
      <c r="F40" s="155">
        <v>541</v>
      </c>
    </row>
    <row r="41" spans="1:6">
      <c r="A41" s="172">
        <v>2018</v>
      </c>
      <c r="B41" s="152" t="s">
        <v>53</v>
      </c>
      <c r="C41" s="155">
        <v>64</v>
      </c>
      <c r="D41" s="155">
        <v>85</v>
      </c>
      <c r="E41" s="155">
        <v>30</v>
      </c>
      <c r="F41" s="155">
        <v>271</v>
      </c>
    </row>
    <row r="42" spans="1:6">
      <c r="A42" s="172">
        <v>2018</v>
      </c>
      <c r="B42" s="152" t="s">
        <v>60</v>
      </c>
      <c r="C42" s="155">
        <v>355</v>
      </c>
      <c r="D42" s="155">
        <v>289</v>
      </c>
      <c r="E42" s="155">
        <v>855</v>
      </c>
      <c r="F42" s="155">
        <v>730</v>
      </c>
    </row>
    <row r="43" spans="1:6">
      <c r="A43" s="172">
        <v>2018</v>
      </c>
      <c r="B43" s="152" t="s">
        <v>69</v>
      </c>
      <c r="C43" s="155">
        <v>223</v>
      </c>
      <c r="D43" s="155">
        <v>263</v>
      </c>
      <c r="E43" s="155">
        <v>159</v>
      </c>
      <c r="F43" s="155">
        <v>167</v>
      </c>
    </row>
    <row r="44" spans="1:6">
      <c r="A44" s="172">
        <v>2018</v>
      </c>
      <c r="B44" s="152" t="s">
        <v>75</v>
      </c>
      <c r="C44" s="155">
        <v>362</v>
      </c>
      <c r="D44" s="155">
        <v>109</v>
      </c>
      <c r="E44" s="155">
        <v>398</v>
      </c>
      <c r="F44" s="155">
        <v>119</v>
      </c>
    </row>
    <row r="45" spans="1:6">
      <c r="A45" s="172">
        <v>2018</v>
      </c>
      <c r="B45" s="152" t="s">
        <v>81</v>
      </c>
      <c r="C45" s="155">
        <v>64</v>
      </c>
      <c r="D45" s="155">
        <v>58</v>
      </c>
      <c r="E45" s="155">
        <v>237</v>
      </c>
      <c r="F45" s="155">
        <v>57</v>
      </c>
    </row>
    <row r="46" spans="1:6">
      <c r="A46" s="172">
        <v>2017</v>
      </c>
      <c r="B46" s="152" t="s">
        <v>46</v>
      </c>
      <c r="C46" s="155">
        <v>332</v>
      </c>
      <c r="D46" s="155">
        <v>73</v>
      </c>
      <c r="E46" s="155">
        <v>209</v>
      </c>
      <c r="F46" s="155">
        <v>483</v>
      </c>
    </row>
    <row r="47" spans="1:6">
      <c r="A47" s="172">
        <v>2017</v>
      </c>
      <c r="B47" s="152" t="s">
        <v>53</v>
      </c>
      <c r="C47" s="155">
        <v>65</v>
      </c>
      <c r="D47" s="155">
        <v>69</v>
      </c>
      <c r="E47" s="155">
        <v>18</v>
      </c>
      <c r="F47" s="155">
        <v>229</v>
      </c>
    </row>
    <row r="48" spans="1:6">
      <c r="A48" s="172">
        <v>2017</v>
      </c>
      <c r="B48" s="152" t="s">
        <v>60</v>
      </c>
      <c r="C48" s="155">
        <v>75</v>
      </c>
      <c r="D48" s="155">
        <v>70</v>
      </c>
      <c r="E48" s="155">
        <v>27</v>
      </c>
      <c r="F48" s="155">
        <v>295</v>
      </c>
    </row>
    <row r="49" spans="1:6">
      <c r="A49" s="172">
        <v>2017</v>
      </c>
      <c r="B49" s="152" t="s">
        <v>69</v>
      </c>
      <c r="C49" s="155">
        <v>233</v>
      </c>
      <c r="D49" s="155">
        <v>231</v>
      </c>
      <c r="E49" s="155">
        <v>272</v>
      </c>
      <c r="F49" s="155">
        <v>157</v>
      </c>
    </row>
    <row r="50" spans="1:6">
      <c r="A50" s="172">
        <v>2017</v>
      </c>
      <c r="B50" s="152" t="s">
        <v>75</v>
      </c>
      <c r="C50" s="155">
        <v>545</v>
      </c>
      <c r="D50" s="155">
        <v>219</v>
      </c>
      <c r="E50" s="155">
        <v>671</v>
      </c>
      <c r="F50" s="155">
        <v>138</v>
      </c>
    </row>
    <row r="51" spans="1:6">
      <c r="A51" s="172">
        <v>2017</v>
      </c>
      <c r="B51" s="152" t="s">
        <v>81</v>
      </c>
      <c r="C51" s="155">
        <v>64</v>
      </c>
      <c r="D51" s="155">
        <v>30</v>
      </c>
      <c r="E51" s="155">
        <v>238</v>
      </c>
      <c r="F51" s="155">
        <v>66</v>
      </c>
    </row>
    <row r="52" spans="1:6">
      <c r="A52" s="172">
        <v>2016</v>
      </c>
      <c r="B52" s="152" t="s">
        <v>46</v>
      </c>
      <c r="C52" s="155">
        <v>388</v>
      </c>
      <c r="D52" s="155">
        <v>105</v>
      </c>
      <c r="E52" s="155">
        <v>261</v>
      </c>
      <c r="F52" s="155">
        <v>374</v>
      </c>
    </row>
    <row r="53" spans="1:6">
      <c r="A53" s="172">
        <v>2016</v>
      </c>
      <c r="B53" s="152" t="s">
        <v>53</v>
      </c>
      <c r="C53" s="155">
        <v>49</v>
      </c>
      <c r="D53" s="155">
        <v>72</v>
      </c>
      <c r="E53" s="155">
        <v>0</v>
      </c>
      <c r="F53" s="155">
        <v>360</v>
      </c>
    </row>
    <row r="54" spans="1:6">
      <c r="A54" s="172">
        <v>2016</v>
      </c>
      <c r="B54" s="152" t="s">
        <v>60</v>
      </c>
      <c r="C54" s="155">
        <v>139</v>
      </c>
      <c r="D54" s="155">
        <v>71</v>
      </c>
      <c r="E54" s="155">
        <v>0</v>
      </c>
      <c r="F54" s="155">
        <v>102</v>
      </c>
    </row>
    <row r="55" spans="1:6">
      <c r="A55" s="172">
        <v>2016</v>
      </c>
      <c r="B55" s="152" t="s">
        <v>69</v>
      </c>
      <c r="C55" s="155">
        <v>211</v>
      </c>
      <c r="D55" s="155">
        <v>299</v>
      </c>
      <c r="E55" s="155">
        <v>0</v>
      </c>
      <c r="F55" s="155">
        <v>94</v>
      </c>
    </row>
    <row r="56" spans="1:6">
      <c r="A56" s="172">
        <v>2016</v>
      </c>
      <c r="B56" s="152" t="s">
        <v>75</v>
      </c>
      <c r="C56" s="155">
        <v>443</v>
      </c>
      <c r="D56" s="155">
        <v>291</v>
      </c>
      <c r="E56" s="155">
        <v>513</v>
      </c>
      <c r="F56" s="155">
        <v>176</v>
      </c>
    </row>
    <row r="57" spans="1:6">
      <c r="A57" s="172">
        <v>2016</v>
      </c>
      <c r="B57" s="152" t="s">
        <v>81</v>
      </c>
      <c r="C57" s="155">
        <v>69</v>
      </c>
      <c r="D57" s="155">
        <v>70</v>
      </c>
      <c r="E57" s="155">
        <v>62</v>
      </c>
      <c r="F57" s="155">
        <v>64</v>
      </c>
    </row>
    <row r="58" spans="1:6">
      <c r="A58" s="172">
        <v>2015</v>
      </c>
      <c r="B58" s="152" t="s">
        <v>46</v>
      </c>
      <c r="C58" s="155">
        <v>431</v>
      </c>
      <c r="D58" s="155">
        <v>87</v>
      </c>
      <c r="E58" s="155">
        <v>138</v>
      </c>
      <c r="F58" s="155">
        <v>350</v>
      </c>
    </row>
    <row r="59" spans="1:6">
      <c r="A59" s="172">
        <v>2015</v>
      </c>
      <c r="B59" s="152" t="s">
        <v>53</v>
      </c>
      <c r="C59" s="155">
        <v>97</v>
      </c>
      <c r="D59" s="155">
        <v>70</v>
      </c>
      <c r="E59" s="155">
        <v>5</v>
      </c>
      <c r="F59" s="155">
        <v>236</v>
      </c>
    </row>
    <row r="60" spans="1:6">
      <c r="A60" s="172">
        <v>2015</v>
      </c>
      <c r="B60" s="152" t="s">
        <v>60</v>
      </c>
      <c r="C60" s="155">
        <v>139</v>
      </c>
      <c r="D60" s="155">
        <v>52</v>
      </c>
      <c r="E60" s="155">
        <v>0</v>
      </c>
      <c r="F60" s="155">
        <v>99</v>
      </c>
    </row>
    <row r="61" spans="1:6">
      <c r="A61" s="172">
        <v>2015</v>
      </c>
      <c r="B61" s="152" t="s">
        <v>69</v>
      </c>
      <c r="C61" s="155">
        <v>175</v>
      </c>
      <c r="D61" s="155">
        <v>340</v>
      </c>
      <c r="E61" s="155">
        <v>0</v>
      </c>
      <c r="F61" s="155">
        <v>74</v>
      </c>
    </row>
    <row r="62" spans="1:6">
      <c r="A62" s="172">
        <v>2015</v>
      </c>
      <c r="B62" s="152" t="s">
        <v>75</v>
      </c>
      <c r="C62" s="155">
        <v>465</v>
      </c>
      <c r="D62" s="155">
        <v>384</v>
      </c>
      <c r="E62" s="155">
        <v>200</v>
      </c>
      <c r="F62" s="155">
        <v>184</v>
      </c>
    </row>
    <row r="63" spans="1:6">
      <c r="A63" s="172">
        <v>2015</v>
      </c>
      <c r="B63" s="152" t="s">
        <v>81</v>
      </c>
      <c r="C63" s="155">
        <v>89</v>
      </c>
      <c r="D63" s="155">
        <v>45</v>
      </c>
      <c r="E63" s="155">
        <v>62</v>
      </c>
      <c r="F63" s="155">
        <v>56</v>
      </c>
    </row>
    <row r="64" spans="1:6">
      <c r="A64" s="172">
        <v>2014</v>
      </c>
      <c r="B64" s="152" t="s">
        <v>46</v>
      </c>
      <c r="C64" s="155">
        <v>452</v>
      </c>
      <c r="D64" s="155">
        <v>374</v>
      </c>
      <c r="E64" s="155">
        <v>0</v>
      </c>
      <c r="F64" s="155">
        <v>480</v>
      </c>
    </row>
    <row r="65" spans="1:6">
      <c r="A65" s="172">
        <v>2014</v>
      </c>
      <c r="B65" s="152" t="s">
        <v>53</v>
      </c>
      <c r="C65" s="155">
        <v>52</v>
      </c>
      <c r="D65" s="155">
        <v>95</v>
      </c>
      <c r="E65" s="155">
        <v>0</v>
      </c>
      <c r="F65" s="155">
        <v>280</v>
      </c>
    </row>
    <row r="66" spans="1:6">
      <c r="A66" s="172">
        <v>2014</v>
      </c>
      <c r="B66" s="152" t="s">
        <v>60</v>
      </c>
      <c r="C66" s="155" t="s">
        <v>684</v>
      </c>
      <c r="D66" s="155" t="s">
        <v>684</v>
      </c>
      <c r="E66" s="155" t="s">
        <v>684</v>
      </c>
      <c r="F66" s="155" t="s">
        <v>684</v>
      </c>
    </row>
    <row r="67" spans="1:6">
      <c r="A67" s="172">
        <v>2014</v>
      </c>
      <c r="B67" s="152" t="s">
        <v>69</v>
      </c>
      <c r="C67" s="155">
        <v>217</v>
      </c>
      <c r="D67" s="155">
        <v>355</v>
      </c>
      <c r="E67" s="155">
        <v>0</v>
      </c>
      <c r="F67" s="155">
        <v>332</v>
      </c>
    </row>
    <row r="68" spans="1:6">
      <c r="A68" s="172">
        <v>2014</v>
      </c>
      <c r="B68" s="152" t="s">
        <v>75</v>
      </c>
      <c r="C68" s="155">
        <v>487</v>
      </c>
      <c r="D68" s="155">
        <v>440</v>
      </c>
      <c r="E68" s="155">
        <v>1</v>
      </c>
      <c r="F68" s="155">
        <v>143</v>
      </c>
    </row>
    <row r="69" spans="1:6">
      <c r="A69" s="172">
        <v>2014</v>
      </c>
      <c r="B69" s="152" t="s">
        <v>81</v>
      </c>
      <c r="C69" s="155">
        <v>59</v>
      </c>
      <c r="D69" s="155">
        <v>49</v>
      </c>
      <c r="E69" s="155">
        <v>61</v>
      </c>
      <c r="F69" s="155">
        <v>55</v>
      </c>
    </row>
    <row r="70" spans="1:6">
      <c r="A70" s="172">
        <v>2013</v>
      </c>
      <c r="B70" s="152" t="s">
        <v>46</v>
      </c>
      <c r="C70" s="155">
        <v>452</v>
      </c>
      <c r="D70" s="155">
        <v>336</v>
      </c>
      <c r="E70" s="155">
        <v>0</v>
      </c>
      <c r="F70" s="155">
        <v>432</v>
      </c>
    </row>
    <row r="71" spans="1:6">
      <c r="A71" s="172">
        <v>2013</v>
      </c>
      <c r="B71" s="152" t="s">
        <v>53</v>
      </c>
      <c r="C71" s="155">
        <v>76</v>
      </c>
      <c r="D71" s="155">
        <v>74</v>
      </c>
      <c r="E71" s="155">
        <v>0</v>
      </c>
      <c r="F71" s="155">
        <v>199</v>
      </c>
    </row>
    <row r="72" spans="1:6">
      <c r="A72" s="172">
        <v>2013</v>
      </c>
      <c r="B72" s="152" t="s">
        <v>60</v>
      </c>
      <c r="C72" s="155" t="s">
        <v>684</v>
      </c>
      <c r="D72" s="155" t="s">
        <v>684</v>
      </c>
      <c r="E72" s="155" t="s">
        <v>684</v>
      </c>
      <c r="F72" s="155" t="s">
        <v>684</v>
      </c>
    </row>
    <row r="73" spans="1:6">
      <c r="A73" s="172">
        <v>2013</v>
      </c>
      <c r="B73" s="152" t="s">
        <v>69</v>
      </c>
      <c r="C73" s="155">
        <v>212</v>
      </c>
      <c r="D73" s="155">
        <v>370</v>
      </c>
      <c r="E73" s="155">
        <v>0</v>
      </c>
      <c r="F73" s="155">
        <v>314</v>
      </c>
    </row>
    <row r="74" spans="1:6">
      <c r="A74" s="172">
        <v>2013</v>
      </c>
      <c r="B74" s="152" t="s">
        <v>75</v>
      </c>
      <c r="C74" s="155">
        <v>588</v>
      </c>
      <c r="D74" s="155">
        <v>460</v>
      </c>
      <c r="E74" s="155">
        <v>64</v>
      </c>
      <c r="F74" s="155">
        <v>145</v>
      </c>
    </row>
    <row r="75" spans="1:6">
      <c r="A75" s="172">
        <v>2013</v>
      </c>
      <c r="B75" s="152" t="s">
        <v>81</v>
      </c>
      <c r="C75" s="155">
        <v>78</v>
      </c>
      <c r="D75" s="155">
        <v>51</v>
      </c>
      <c r="E75" s="155">
        <v>0</v>
      </c>
      <c r="F75" s="155">
        <v>52</v>
      </c>
    </row>
    <row r="76" spans="1:6">
      <c r="A76" s="172">
        <v>2012</v>
      </c>
      <c r="B76" s="152" t="s">
        <v>46</v>
      </c>
      <c r="C76" s="155">
        <v>364</v>
      </c>
      <c r="D76" s="155">
        <v>605</v>
      </c>
      <c r="E76" s="155" t="s">
        <v>684</v>
      </c>
      <c r="F76" s="155">
        <v>333</v>
      </c>
    </row>
    <row r="77" spans="1:6">
      <c r="A77" s="172">
        <v>2012</v>
      </c>
      <c r="B77" s="152" t="s">
        <v>53</v>
      </c>
      <c r="C77" s="155">
        <v>96</v>
      </c>
      <c r="D77" s="155">
        <v>117</v>
      </c>
      <c r="E77" s="155" t="s">
        <v>684</v>
      </c>
      <c r="F77" s="155">
        <v>177</v>
      </c>
    </row>
    <row r="78" spans="1:6">
      <c r="A78" s="172">
        <v>2012</v>
      </c>
      <c r="B78" s="152" t="s">
        <v>60</v>
      </c>
      <c r="C78" s="155" t="s">
        <v>684</v>
      </c>
      <c r="D78" s="155" t="s">
        <v>684</v>
      </c>
      <c r="E78" s="155" t="s">
        <v>684</v>
      </c>
      <c r="F78" s="155" t="s">
        <v>684</v>
      </c>
    </row>
    <row r="79" spans="1:6">
      <c r="A79" s="172">
        <v>2012</v>
      </c>
      <c r="B79" s="152" t="s">
        <v>69</v>
      </c>
      <c r="C79" s="155">
        <v>215</v>
      </c>
      <c r="D79" s="155">
        <v>370</v>
      </c>
      <c r="E79" s="155" t="s">
        <v>684</v>
      </c>
      <c r="F79" s="155">
        <v>207</v>
      </c>
    </row>
    <row r="80" spans="1:6">
      <c r="A80" s="172">
        <v>2012</v>
      </c>
      <c r="B80" s="152" t="s">
        <v>75</v>
      </c>
      <c r="C80" s="155">
        <v>554</v>
      </c>
      <c r="D80" s="155">
        <v>307</v>
      </c>
      <c r="E80" s="155" t="s">
        <v>684</v>
      </c>
      <c r="F80" s="155">
        <v>112</v>
      </c>
    </row>
    <row r="81" spans="1:6">
      <c r="A81" s="172">
        <v>2012</v>
      </c>
      <c r="B81" s="152" t="s">
        <v>81</v>
      </c>
      <c r="C81" s="155">
        <v>83</v>
      </c>
      <c r="D81" s="155">
        <v>13</v>
      </c>
      <c r="E81" s="155" t="s">
        <v>684</v>
      </c>
      <c r="F81" s="155">
        <v>39</v>
      </c>
    </row>
    <row r="82" spans="1:6">
      <c r="A82" s="172">
        <v>2011</v>
      </c>
      <c r="B82" s="152" t="s">
        <v>46</v>
      </c>
      <c r="C82" s="155">
        <v>302</v>
      </c>
      <c r="D82" s="155">
        <v>681</v>
      </c>
      <c r="E82" s="155" t="s">
        <v>684</v>
      </c>
      <c r="F82" s="155">
        <v>299</v>
      </c>
    </row>
    <row r="83" spans="1:6">
      <c r="A83" s="172">
        <v>2011</v>
      </c>
      <c r="B83" s="152" t="s">
        <v>53</v>
      </c>
      <c r="C83" s="155">
        <v>114</v>
      </c>
      <c r="D83" s="155">
        <v>129</v>
      </c>
      <c r="E83" s="155" t="s">
        <v>684</v>
      </c>
      <c r="F83" s="155">
        <v>120</v>
      </c>
    </row>
    <row r="84" spans="1:6">
      <c r="A84" s="172">
        <v>2011</v>
      </c>
      <c r="B84" s="152" t="s">
        <v>60</v>
      </c>
      <c r="C84" s="155" t="s">
        <v>684</v>
      </c>
      <c r="D84" s="155" t="s">
        <v>684</v>
      </c>
      <c r="E84" s="155" t="s">
        <v>684</v>
      </c>
      <c r="F84" s="155" t="s">
        <v>684</v>
      </c>
    </row>
    <row r="85" spans="1:6">
      <c r="A85" s="172">
        <v>2011</v>
      </c>
      <c r="B85" s="152" t="s">
        <v>69</v>
      </c>
      <c r="C85" s="155">
        <v>152</v>
      </c>
      <c r="D85" s="155">
        <v>393</v>
      </c>
      <c r="E85" s="155" t="s">
        <v>684</v>
      </c>
      <c r="F85" s="155">
        <v>124</v>
      </c>
    </row>
    <row r="86" spans="1:6">
      <c r="A86" s="172">
        <v>2011</v>
      </c>
      <c r="B86" s="152" t="s">
        <v>75</v>
      </c>
      <c r="C86" s="155">
        <v>494</v>
      </c>
      <c r="D86" s="155">
        <v>250</v>
      </c>
      <c r="E86" s="155" t="s">
        <v>684</v>
      </c>
      <c r="F86" s="155">
        <v>144</v>
      </c>
    </row>
    <row r="87" spans="1:6">
      <c r="A87" s="172">
        <v>2011</v>
      </c>
      <c r="B87" s="152" t="s">
        <v>81</v>
      </c>
      <c r="C87" s="155">
        <v>43</v>
      </c>
      <c r="D87" s="155">
        <v>38</v>
      </c>
      <c r="E87" s="155" t="s">
        <v>684</v>
      </c>
      <c r="F87" s="155">
        <v>42</v>
      </c>
    </row>
    <row r="88" spans="1:6">
      <c r="A88" s="172">
        <v>2010</v>
      </c>
      <c r="B88" s="152" t="s">
        <v>46</v>
      </c>
      <c r="C88" s="155">
        <v>393</v>
      </c>
      <c r="D88" s="155">
        <v>701</v>
      </c>
      <c r="E88" s="155" t="s">
        <v>684</v>
      </c>
      <c r="F88" s="155">
        <v>204</v>
      </c>
    </row>
    <row r="89" spans="1:6">
      <c r="A89" s="172">
        <v>2010</v>
      </c>
      <c r="B89" s="152" t="s">
        <v>53</v>
      </c>
      <c r="C89" s="155">
        <v>88</v>
      </c>
      <c r="D89" s="155">
        <v>140</v>
      </c>
      <c r="E89" s="155" t="s">
        <v>684</v>
      </c>
      <c r="F89" s="155">
        <v>57</v>
      </c>
    </row>
    <row r="90" spans="1:6">
      <c r="A90" s="172">
        <v>2010</v>
      </c>
      <c r="B90" s="152" t="s">
        <v>60</v>
      </c>
      <c r="C90" s="155" t="s">
        <v>684</v>
      </c>
      <c r="D90" s="155" t="s">
        <v>684</v>
      </c>
      <c r="E90" s="155" t="s">
        <v>684</v>
      </c>
      <c r="F90" s="155" t="s">
        <v>684</v>
      </c>
    </row>
    <row r="91" spans="1:6">
      <c r="A91" s="172">
        <v>2010</v>
      </c>
      <c r="B91" s="152" t="s">
        <v>69</v>
      </c>
      <c r="C91" s="155">
        <v>180</v>
      </c>
      <c r="D91" s="155">
        <v>286</v>
      </c>
      <c r="E91" s="155" t="s">
        <v>684</v>
      </c>
      <c r="F91" s="155">
        <v>61</v>
      </c>
    </row>
    <row r="92" spans="1:6">
      <c r="A92" s="172">
        <v>2010</v>
      </c>
      <c r="B92" s="152" t="s">
        <v>75</v>
      </c>
      <c r="C92" s="155">
        <v>501</v>
      </c>
      <c r="D92" s="155">
        <v>304</v>
      </c>
      <c r="E92" s="155" t="s">
        <v>684</v>
      </c>
      <c r="F92" s="155">
        <v>192</v>
      </c>
    </row>
    <row r="93" spans="1:6">
      <c r="A93" s="172">
        <v>2010</v>
      </c>
      <c r="B93" s="152" t="s">
        <v>81</v>
      </c>
      <c r="C93" s="155">
        <v>55</v>
      </c>
      <c r="D93" s="155">
        <v>50</v>
      </c>
      <c r="E93" s="155" t="s">
        <v>684</v>
      </c>
      <c r="F93" s="155">
        <v>52</v>
      </c>
    </row>
    <row r="94" spans="1:6">
      <c r="A94" s="172">
        <v>2009</v>
      </c>
      <c r="B94" s="152" t="s">
        <v>46</v>
      </c>
      <c r="C94" s="155">
        <v>417</v>
      </c>
      <c r="D94" s="155">
        <v>627</v>
      </c>
      <c r="E94" s="155" t="s">
        <v>684</v>
      </c>
      <c r="F94" s="155">
        <v>220</v>
      </c>
    </row>
    <row r="95" spans="1:6">
      <c r="A95" s="172">
        <v>2009</v>
      </c>
      <c r="B95" s="152" t="s">
        <v>53</v>
      </c>
      <c r="C95" s="155">
        <v>96</v>
      </c>
      <c r="D95" s="155">
        <v>141</v>
      </c>
      <c r="E95" s="155" t="s">
        <v>684</v>
      </c>
      <c r="F95" s="155">
        <v>57</v>
      </c>
    </row>
    <row r="96" spans="1:6">
      <c r="A96" s="172">
        <v>2009</v>
      </c>
      <c r="B96" s="152" t="s">
        <v>60</v>
      </c>
      <c r="C96" s="155" t="s">
        <v>684</v>
      </c>
      <c r="D96" s="155" t="s">
        <v>684</v>
      </c>
      <c r="E96" s="155" t="s">
        <v>684</v>
      </c>
      <c r="F96" s="155" t="s">
        <v>684</v>
      </c>
    </row>
    <row r="97" spans="1:6">
      <c r="A97" s="172">
        <v>2009</v>
      </c>
      <c r="B97" s="152" t="s">
        <v>69</v>
      </c>
      <c r="C97" s="155">
        <v>182</v>
      </c>
      <c r="D97" s="155">
        <v>298</v>
      </c>
      <c r="E97" s="155" t="s">
        <v>684</v>
      </c>
      <c r="F97" s="155">
        <v>61</v>
      </c>
    </row>
    <row r="98" spans="1:6">
      <c r="A98" s="172">
        <v>2009</v>
      </c>
      <c r="B98" s="152" t="s">
        <v>75</v>
      </c>
      <c r="C98" s="155">
        <v>501</v>
      </c>
      <c r="D98" s="155">
        <v>304</v>
      </c>
      <c r="E98" s="155" t="s">
        <v>684</v>
      </c>
      <c r="F98" s="155">
        <v>185</v>
      </c>
    </row>
    <row r="99" spans="1:6">
      <c r="A99" s="172">
        <v>2009</v>
      </c>
      <c r="B99" s="152" t="s">
        <v>81</v>
      </c>
      <c r="C99" s="155">
        <v>120</v>
      </c>
      <c r="D99" s="155">
        <v>46</v>
      </c>
      <c r="E99" s="155" t="s">
        <v>684</v>
      </c>
      <c r="F99" s="155">
        <v>61</v>
      </c>
    </row>
    <row r="100" spans="1:6">
      <c r="A100" s="172">
        <v>2008</v>
      </c>
      <c r="B100" s="152" t="s">
        <v>46</v>
      </c>
      <c r="C100" s="155">
        <v>349</v>
      </c>
      <c r="D100" s="155">
        <v>628</v>
      </c>
      <c r="E100" s="155" t="s">
        <v>684</v>
      </c>
      <c r="F100" s="155">
        <v>241</v>
      </c>
    </row>
    <row r="101" spans="1:6">
      <c r="A101" s="172">
        <v>2008</v>
      </c>
      <c r="B101" s="152" t="s">
        <v>53</v>
      </c>
      <c r="C101" s="155">
        <v>120</v>
      </c>
      <c r="D101" s="155">
        <v>141</v>
      </c>
      <c r="E101" s="155" t="s">
        <v>684</v>
      </c>
      <c r="F101" s="155">
        <v>217</v>
      </c>
    </row>
    <row r="102" spans="1:6">
      <c r="A102" s="172">
        <v>2008</v>
      </c>
      <c r="B102" s="152" t="s">
        <v>60</v>
      </c>
      <c r="C102" s="155" t="s">
        <v>684</v>
      </c>
      <c r="D102" s="155" t="s">
        <v>684</v>
      </c>
      <c r="E102" s="155" t="s">
        <v>684</v>
      </c>
      <c r="F102" s="155" t="s">
        <v>684</v>
      </c>
    </row>
    <row r="103" spans="1:6">
      <c r="A103" s="172">
        <v>2008</v>
      </c>
      <c r="B103" s="152" t="s">
        <v>69</v>
      </c>
      <c r="C103" s="155">
        <v>319</v>
      </c>
      <c r="D103" s="155">
        <v>624</v>
      </c>
      <c r="E103" s="155" t="s">
        <v>684</v>
      </c>
      <c r="F103" s="155">
        <v>61</v>
      </c>
    </row>
    <row r="104" spans="1:6">
      <c r="A104" s="172">
        <v>2008</v>
      </c>
      <c r="B104" s="152" t="s">
        <v>75</v>
      </c>
      <c r="C104" s="155">
        <v>412</v>
      </c>
      <c r="D104" s="155">
        <v>261</v>
      </c>
      <c r="E104" s="155" t="s">
        <v>684</v>
      </c>
      <c r="F104" s="155">
        <v>158</v>
      </c>
    </row>
    <row r="105" spans="1:6">
      <c r="A105" s="172">
        <v>2008</v>
      </c>
      <c r="B105" s="152" t="s">
        <v>81</v>
      </c>
      <c r="C105" s="155">
        <v>132</v>
      </c>
      <c r="D105" s="155">
        <v>40</v>
      </c>
      <c r="E105" s="155" t="s">
        <v>684</v>
      </c>
      <c r="F105" s="155">
        <v>37</v>
      </c>
    </row>
    <row r="106" spans="1:6">
      <c r="A106" s="172">
        <v>2007</v>
      </c>
      <c r="B106" s="152" t="s">
        <v>46</v>
      </c>
      <c r="C106" s="155">
        <v>272</v>
      </c>
      <c r="D106" s="155">
        <v>693</v>
      </c>
      <c r="E106" s="155" t="s">
        <v>684</v>
      </c>
      <c r="F106" s="155">
        <v>168</v>
      </c>
    </row>
    <row r="107" spans="1:6">
      <c r="A107" s="172">
        <v>2007</v>
      </c>
      <c r="B107" s="152" t="s">
        <v>53</v>
      </c>
      <c r="C107" s="155">
        <v>116</v>
      </c>
      <c r="D107" s="155">
        <v>141</v>
      </c>
      <c r="E107" s="155" t="s">
        <v>684</v>
      </c>
      <c r="F107" s="155">
        <v>218</v>
      </c>
    </row>
    <row r="108" spans="1:6">
      <c r="A108" s="172">
        <v>2007</v>
      </c>
      <c r="B108" s="152" t="s">
        <v>60</v>
      </c>
      <c r="C108" s="155" t="s">
        <v>684</v>
      </c>
      <c r="D108" s="155" t="s">
        <v>684</v>
      </c>
      <c r="E108" s="155" t="s">
        <v>684</v>
      </c>
      <c r="F108" s="155" t="s">
        <v>684</v>
      </c>
    </row>
    <row r="109" spans="1:6">
      <c r="A109" s="172">
        <v>2007</v>
      </c>
      <c r="B109" s="152" t="s">
        <v>69</v>
      </c>
      <c r="C109" s="155">
        <v>302</v>
      </c>
      <c r="D109" s="155">
        <v>603</v>
      </c>
      <c r="E109" s="155" t="s">
        <v>684</v>
      </c>
      <c r="F109" s="155">
        <v>61</v>
      </c>
    </row>
    <row r="110" spans="1:6">
      <c r="A110" s="172">
        <v>2007</v>
      </c>
      <c r="B110" s="152" t="s">
        <v>75</v>
      </c>
      <c r="C110" s="155">
        <v>383</v>
      </c>
      <c r="D110" s="155">
        <v>255</v>
      </c>
      <c r="E110" s="155" t="s">
        <v>684</v>
      </c>
      <c r="F110" s="155">
        <v>167</v>
      </c>
    </row>
    <row r="111" spans="1:6">
      <c r="A111" s="172">
        <v>2007</v>
      </c>
      <c r="B111" s="152" t="s">
        <v>81</v>
      </c>
      <c r="C111" s="155">
        <v>38</v>
      </c>
      <c r="D111" s="155">
        <v>28</v>
      </c>
      <c r="E111" s="155" t="s">
        <v>684</v>
      </c>
      <c r="F111" s="155">
        <v>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249977111117893"/>
  </sheetPr>
  <dimension ref="A1:W64"/>
  <sheetViews>
    <sheetView showGridLines="0" workbookViewId="0"/>
  </sheetViews>
  <sheetFormatPr defaultColWidth="9.125" defaultRowHeight="15"/>
  <cols>
    <col min="1" max="16384" width="9.125" style="13"/>
  </cols>
  <sheetData>
    <row r="1" spans="1:23" s="21" customFormat="1" ht="30.75" customHeight="1">
      <c r="K1" s="39" t="s">
        <v>4342</v>
      </c>
    </row>
    <row r="2" spans="1:23" ht="17.100000000000001" customHeight="1">
      <c r="A2" s="14" t="s">
        <v>685</v>
      </c>
      <c r="B2" s="14"/>
      <c r="C2" s="14"/>
      <c r="D2" s="14"/>
      <c r="E2" s="14"/>
      <c r="F2" s="14"/>
      <c r="G2" s="14"/>
      <c r="H2" s="14"/>
      <c r="I2" s="14" t="s">
        <v>685</v>
      </c>
      <c r="J2" s="14"/>
      <c r="K2" s="14"/>
      <c r="L2" s="14"/>
      <c r="M2" s="14"/>
      <c r="N2" s="14"/>
      <c r="O2" s="14"/>
      <c r="P2" s="14"/>
      <c r="Q2" s="14"/>
      <c r="R2" s="14" t="s">
        <v>685</v>
      </c>
      <c r="S2" s="14"/>
      <c r="T2" s="14"/>
      <c r="U2" s="14"/>
      <c r="V2" s="14"/>
      <c r="W2" s="14"/>
    </row>
    <row r="3" spans="1:23" ht="17.100000000000001" customHeight="1">
      <c r="A3" s="14" t="s">
        <v>686</v>
      </c>
      <c r="B3" s="14"/>
      <c r="C3" s="14"/>
      <c r="D3" s="14"/>
      <c r="E3" s="14"/>
      <c r="F3" s="14"/>
      <c r="G3" s="14"/>
      <c r="H3" s="14"/>
      <c r="I3" s="14" t="s">
        <v>687</v>
      </c>
      <c r="J3" s="14"/>
      <c r="K3" s="14"/>
      <c r="L3" s="14"/>
      <c r="M3" s="14"/>
      <c r="N3" s="14"/>
      <c r="O3" s="14"/>
      <c r="P3" s="14"/>
      <c r="Q3" s="14"/>
      <c r="R3" s="14"/>
      <c r="S3" s="14" t="s">
        <v>688</v>
      </c>
      <c r="T3" s="14"/>
      <c r="U3" s="14"/>
      <c r="V3" s="14"/>
      <c r="W3" s="14"/>
    </row>
    <row r="4" spans="1:23" ht="17.100000000000001" customHeight="1">
      <c r="A4" s="14" t="s">
        <v>685</v>
      </c>
      <c r="B4" s="14"/>
      <c r="C4" s="14"/>
      <c r="D4" s="14"/>
      <c r="E4" s="14"/>
      <c r="F4" s="14"/>
      <c r="G4" s="14"/>
      <c r="H4" s="14"/>
      <c r="I4" s="14" t="s">
        <v>685</v>
      </c>
      <c r="J4" s="14"/>
      <c r="K4" s="14"/>
      <c r="L4" s="14"/>
      <c r="M4" s="14"/>
      <c r="N4" s="14"/>
      <c r="O4" s="14"/>
      <c r="P4" s="14"/>
      <c r="Q4" s="14"/>
      <c r="R4" s="14" t="s">
        <v>689</v>
      </c>
      <c r="S4" s="14"/>
      <c r="T4" s="14"/>
      <c r="U4" s="14"/>
      <c r="V4" s="14"/>
      <c r="W4" s="14"/>
    </row>
    <row r="5" spans="1:23" ht="17.100000000000001" customHeight="1">
      <c r="A5" s="14"/>
      <c r="B5" s="14"/>
      <c r="C5" s="14"/>
      <c r="D5" s="14"/>
      <c r="E5" s="14"/>
      <c r="F5" s="14"/>
      <c r="G5" s="14"/>
      <c r="H5" s="14"/>
      <c r="I5" s="14"/>
      <c r="J5" s="14"/>
      <c r="K5" s="14"/>
      <c r="L5" s="14"/>
      <c r="M5" s="14"/>
      <c r="N5" s="14"/>
      <c r="O5" s="14"/>
      <c r="P5" s="14"/>
      <c r="Q5" s="14"/>
      <c r="R5" s="14" t="s">
        <v>690</v>
      </c>
      <c r="S5" s="14"/>
      <c r="T5" s="14"/>
      <c r="U5" s="14"/>
      <c r="V5" s="14"/>
      <c r="W5" s="14"/>
    </row>
    <row r="6" spans="1:23" ht="17.100000000000001" customHeight="1">
      <c r="A6" s="14" t="s">
        <v>639</v>
      </c>
      <c r="B6" s="14"/>
      <c r="C6" s="14"/>
      <c r="D6" s="14"/>
      <c r="E6" s="14"/>
      <c r="F6" s="14"/>
      <c r="G6" s="14"/>
      <c r="H6" s="14"/>
      <c r="I6" s="14" t="s">
        <v>524</v>
      </c>
      <c r="J6" s="14"/>
      <c r="K6" s="14"/>
      <c r="L6" s="14"/>
      <c r="M6" s="14"/>
      <c r="N6" s="14"/>
      <c r="O6" s="14"/>
      <c r="P6" s="14"/>
      <c r="Q6" s="14"/>
      <c r="R6" s="14" t="s">
        <v>691</v>
      </c>
      <c r="S6" s="14"/>
      <c r="T6" s="14"/>
      <c r="U6" s="14"/>
      <c r="V6" s="14"/>
      <c r="W6" s="14"/>
    </row>
    <row r="7" spans="1:23" ht="17.100000000000001" customHeight="1">
      <c r="A7" s="14" t="s">
        <v>641</v>
      </c>
      <c r="B7" s="14"/>
      <c r="C7" s="14"/>
      <c r="D7" s="14"/>
      <c r="E7" s="14"/>
      <c r="F7" s="14"/>
      <c r="G7" s="14"/>
      <c r="H7" s="14"/>
      <c r="I7" s="14" t="s">
        <v>525</v>
      </c>
      <c r="J7" s="14"/>
      <c r="K7" s="14"/>
      <c r="L7" s="14"/>
      <c r="M7" s="14"/>
      <c r="N7" s="14"/>
      <c r="O7" s="14"/>
      <c r="P7" s="14"/>
      <c r="Q7" s="14"/>
      <c r="R7" s="14" t="s">
        <v>692</v>
      </c>
      <c r="S7" s="14"/>
      <c r="T7" s="14"/>
      <c r="U7" s="14"/>
      <c r="V7" s="14"/>
      <c r="W7" s="14"/>
    </row>
    <row r="8" spans="1:23" ht="17.100000000000001" customHeight="1">
      <c r="A8" s="14" t="s">
        <v>693</v>
      </c>
      <c r="B8" s="14"/>
      <c r="C8" s="14"/>
      <c r="D8" s="14"/>
      <c r="E8" s="14"/>
      <c r="F8" s="14"/>
      <c r="G8" s="14"/>
      <c r="H8" s="14"/>
      <c r="I8" s="14" t="s">
        <v>694</v>
      </c>
      <c r="J8" s="14"/>
      <c r="K8" s="14"/>
      <c r="L8" s="14"/>
      <c r="M8" s="14"/>
      <c r="N8" s="14"/>
      <c r="O8" s="14"/>
      <c r="P8" s="14"/>
      <c r="Q8" s="14"/>
      <c r="R8" s="14" t="s">
        <v>695</v>
      </c>
      <c r="S8" s="14"/>
      <c r="T8" s="14"/>
      <c r="U8" s="14"/>
      <c r="V8" s="14"/>
      <c r="W8" s="14"/>
    </row>
    <row r="9" spans="1:23" ht="17.100000000000001" customHeight="1">
      <c r="A9" s="14" t="s">
        <v>696</v>
      </c>
      <c r="B9" s="14"/>
      <c r="C9" s="14"/>
      <c r="D9" s="14"/>
      <c r="E9" s="14"/>
      <c r="F9" s="14"/>
      <c r="G9" s="14"/>
      <c r="H9" s="14"/>
      <c r="I9" s="14" t="s">
        <v>697</v>
      </c>
      <c r="J9" s="14"/>
      <c r="K9" s="14"/>
      <c r="L9" s="14"/>
      <c r="M9" s="14"/>
      <c r="N9" s="14"/>
      <c r="O9" s="14"/>
      <c r="P9" s="14"/>
      <c r="Q9" s="14"/>
      <c r="R9" s="14" t="s">
        <v>574</v>
      </c>
      <c r="S9" s="14"/>
      <c r="T9" s="14"/>
      <c r="U9" s="14"/>
      <c r="V9" s="14"/>
      <c r="W9" s="14"/>
    </row>
    <row r="10" spans="1:23" ht="17.100000000000001" customHeight="1">
      <c r="A10" s="14" t="s">
        <v>645</v>
      </c>
      <c r="B10" s="14"/>
      <c r="C10" s="14"/>
      <c r="D10" s="14"/>
      <c r="E10" s="14"/>
      <c r="F10" s="14"/>
      <c r="G10" s="14"/>
      <c r="H10" s="14"/>
      <c r="I10" s="14" t="s">
        <v>698</v>
      </c>
      <c r="J10" s="14"/>
      <c r="K10" s="14"/>
      <c r="L10" s="14"/>
      <c r="M10" s="14"/>
      <c r="N10" s="14"/>
      <c r="O10" s="14"/>
      <c r="P10" s="14"/>
      <c r="Q10" s="14"/>
      <c r="R10" s="14"/>
      <c r="S10" s="14"/>
      <c r="T10" s="14"/>
      <c r="U10" s="14"/>
      <c r="V10" s="14"/>
      <c r="W10" s="14"/>
    </row>
    <row r="11" spans="1:23" ht="17.100000000000001" customHeight="1">
      <c r="A11" s="14" t="s">
        <v>699</v>
      </c>
      <c r="B11" s="14"/>
      <c r="C11" s="14"/>
      <c r="D11" s="14"/>
      <c r="E11" s="14"/>
      <c r="F11" s="14"/>
      <c r="G11" s="14"/>
      <c r="H11" s="14"/>
      <c r="I11" s="14" t="s">
        <v>700</v>
      </c>
      <c r="J11" s="14"/>
      <c r="K11" s="14"/>
      <c r="L11" s="14"/>
      <c r="M11" s="14"/>
      <c r="N11" s="14"/>
      <c r="O11" s="14"/>
      <c r="P11" s="14"/>
      <c r="Q11" s="14"/>
      <c r="R11" s="14" t="s">
        <v>701</v>
      </c>
      <c r="S11" s="14"/>
      <c r="T11" s="14"/>
      <c r="U11" s="14"/>
      <c r="V11" s="14"/>
      <c r="W11" s="14"/>
    </row>
    <row r="12" spans="1:23" ht="17.100000000000001" customHeight="1">
      <c r="A12" s="14" t="s">
        <v>702</v>
      </c>
      <c r="B12" s="14"/>
      <c r="C12" s="14"/>
      <c r="D12" s="14"/>
      <c r="E12" s="14"/>
      <c r="F12" s="14"/>
      <c r="G12" s="14"/>
      <c r="H12" s="14"/>
      <c r="I12" s="14"/>
      <c r="J12" s="14"/>
      <c r="K12" s="14"/>
      <c r="L12" s="14"/>
      <c r="M12" s="14"/>
      <c r="N12" s="14"/>
      <c r="O12" s="14"/>
      <c r="P12" s="14"/>
      <c r="Q12" s="14"/>
      <c r="R12" s="14" t="s">
        <v>703</v>
      </c>
      <c r="S12" s="14"/>
      <c r="T12" s="14"/>
      <c r="U12" s="14"/>
      <c r="V12" s="14"/>
      <c r="W12" s="14"/>
    </row>
    <row r="13" spans="1:23" ht="17.100000000000001" customHeight="1">
      <c r="A13" s="14" t="s">
        <v>704</v>
      </c>
      <c r="B13" s="14"/>
      <c r="C13" s="14"/>
      <c r="D13" s="14"/>
      <c r="E13" s="14"/>
      <c r="F13" s="14"/>
      <c r="G13" s="14"/>
      <c r="H13" s="14"/>
      <c r="I13" s="14"/>
      <c r="J13" s="14"/>
      <c r="K13" s="14"/>
      <c r="L13" s="14"/>
      <c r="M13" s="14"/>
      <c r="N13" s="14"/>
      <c r="O13" s="14"/>
      <c r="P13" s="14"/>
      <c r="Q13" s="14"/>
      <c r="R13" s="14"/>
      <c r="S13" s="14"/>
      <c r="T13" s="14"/>
      <c r="U13" s="14"/>
      <c r="V13" s="14"/>
      <c r="W13" s="14"/>
    </row>
    <row r="14" spans="1:23" ht="17.100000000000001" customHeight="1">
      <c r="A14" s="14" t="s">
        <v>705</v>
      </c>
      <c r="B14" s="14"/>
      <c r="C14" s="14"/>
      <c r="D14" s="14"/>
      <c r="E14" s="14"/>
      <c r="F14" s="14"/>
      <c r="G14" s="14"/>
      <c r="H14" s="14"/>
      <c r="I14" s="14" t="s">
        <v>685</v>
      </c>
      <c r="J14" s="14"/>
      <c r="K14" s="14"/>
      <c r="L14" s="14"/>
      <c r="M14" s="14"/>
      <c r="N14" s="14"/>
      <c r="O14" s="14"/>
      <c r="P14" s="14"/>
      <c r="Q14" s="14"/>
      <c r="R14" s="14" t="s">
        <v>706</v>
      </c>
      <c r="S14" s="14"/>
      <c r="T14" s="14"/>
      <c r="U14" s="14"/>
      <c r="V14" s="14"/>
      <c r="W14" s="14"/>
    </row>
    <row r="15" spans="1:23" ht="17.100000000000001" customHeight="1">
      <c r="A15" s="14" t="s">
        <v>707</v>
      </c>
      <c r="B15" s="14"/>
      <c r="C15" s="14"/>
      <c r="D15" s="14"/>
      <c r="E15" s="14"/>
      <c r="F15" s="14"/>
      <c r="G15" s="14"/>
      <c r="H15" s="14"/>
      <c r="I15" s="14" t="s">
        <v>708</v>
      </c>
      <c r="J15" s="14"/>
      <c r="K15" s="14"/>
      <c r="L15" s="14"/>
      <c r="M15" s="14"/>
      <c r="N15" s="14"/>
      <c r="O15" s="14"/>
      <c r="P15" s="14"/>
      <c r="Q15" s="14"/>
      <c r="R15" s="14" t="s">
        <v>709</v>
      </c>
      <c r="S15" s="14"/>
      <c r="T15" s="14"/>
      <c r="U15" s="14"/>
      <c r="V15" s="14"/>
      <c r="W15" s="14"/>
    </row>
    <row r="16" spans="1:23" ht="17.100000000000001" customHeight="1">
      <c r="A16" s="14" t="s">
        <v>710</v>
      </c>
      <c r="B16" s="14"/>
      <c r="C16" s="14"/>
      <c r="D16" s="14"/>
      <c r="E16" s="14"/>
      <c r="F16" s="14"/>
      <c r="G16" s="14"/>
      <c r="H16" s="14"/>
      <c r="I16" s="14" t="s">
        <v>685</v>
      </c>
      <c r="J16" s="14"/>
      <c r="K16" s="14"/>
      <c r="L16" s="14"/>
      <c r="M16" s="14"/>
      <c r="N16" s="14"/>
      <c r="O16" s="14"/>
      <c r="P16" s="14"/>
      <c r="Q16" s="14"/>
      <c r="R16" s="14" t="s">
        <v>711</v>
      </c>
      <c r="S16" s="14"/>
      <c r="T16" s="14"/>
      <c r="U16" s="14"/>
      <c r="V16" s="14"/>
      <c r="W16" s="14"/>
    </row>
    <row r="17" spans="1:23" ht="17.100000000000001" customHeight="1">
      <c r="A17" s="14"/>
      <c r="B17" s="14"/>
      <c r="C17" s="14"/>
      <c r="D17" s="14"/>
      <c r="E17" s="14"/>
      <c r="F17" s="14"/>
      <c r="G17" s="14"/>
      <c r="H17" s="14"/>
      <c r="I17" s="14"/>
      <c r="J17" s="14"/>
      <c r="K17" s="14"/>
      <c r="L17" s="14"/>
      <c r="M17" s="14"/>
      <c r="N17" s="14"/>
      <c r="O17" s="14"/>
      <c r="P17" s="14"/>
      <c r="Q17" s="14"/>
      <c r="R17" s="14" t="s">
        <v>712</v>
      </c>
      <c r="S17" s="14"/>
      <c r="T17" s="14"/>
      <c r="U17" s="14"/>
      <c r="V17" s="14"/>
      <c r="W17" s="14"/>
    </row>
    <row r="18" spans="1:23" ht="17.100000000000001" customHeight="1">
      <c r="A18" s="14" t="s">
        <v>685</v>
      </c>
      <c r="B18" s="14"/>
      <c r="C18" s="14"/>
      <c r="D18" s="14"/>
      <c r="E18" s="14"/>
      <c r="F18" s="14"/>
      <c r="G18" s="14"/>
      <c r="H18" s="14"/>
      <c r="I18" s="14" t="s">
        <v>596</v>
      </c>
      <c r="J18" s="14"/>
      <c r="K18" s="14"/>
      <c r="L18" s="14"/>
      <c r="M18" s="14"/>
      <c r="N18" s="14"/>
      <c r="O18" s="14"/>
      <c r="P18" s="14"/>
      <c r="Q18" s="14"/>
      <c r="R18" s="14" t="s">
        <v>713</v>
      </c>
      <c r="S18" s="14"/>
      <c r="T18" s="14"/>
      <c r="U18" s="14"/>
      <c r="V18" s="14"/>
      <c r="W18" s="14"/>
    </row>
    <row r="19" spans="1:23" ht="17.100000000000001" customHeight="1">
      <c r="A19" s="14" t="s">
        <v>714</v>
      </c>
      <c r="B19" s="14"/>
      <c r="C19" s="14"/>
      <c r="D19" s="14"/>
      <c r="E19" s="14"/>
      <c r="F19" s="14"/>
      <c r="G19" s="14"/>
      <c r="H19" s="14"/>
      <c r="I19" s="14" t="s">
        <v>715</v>
      </c>
      <c r="J19" s="14"/>
      <c r="K19" s="14"/>
      <c r="L19" s="14"/>
      <c r="M19" s="14"/>
      <c r="N19" s="14"/>
      <c r="O19" s="14"/>
      <c r="P19" s="14"/>
      <c r="Q19" s="14"/>
      <c r="R19" s="14" t="s">
        <v>716</v>
      </c>
      <c r="S19" s="14"/>
      <c r="T19" s="14"/>
      <c r="U19" s="14"/>
      <c r="V19" s="14"/>
      <c r="W19" s="14"/>
    </row>
    <row r="20" spans="1:23" ht="17.100000000000001" customHeight="1">
      <c r="A20" s="14" t="s">
        <v>685</v>
      </c>
      <c r="B20" s="14"/>
      <c r="C20" s="14"/>
      <c r="D20" s="14"/>
      <c r="E20" s="14"/>
      <c r="F20" s="14"/>
      <c r="G20" s="14"/>
      <c r="H20" s="14"/>
      <c r="I20" s="14" t="s">
        <v>717</v>
      </c>
      <c r="J20" s="14"/>
      <c r="K20" s="14"/>
      <c r="L20" s="14"/>
      <c r="M20" s="14"/>
      <c r="N20" s="14"/>
      <c r="O20" s="14"/>
      <c r="P20" s="14"/>
      <c r="Q20" s="14"/>
      <c r="R20" s="14" t="s">
        <v>718</v>
      </c>
      <c r="S20" s="14"/>
      <c r="T20" s="14"/>
      <c r="U20" s="14"/>
      <c r="V20" s="14"/>
      <c r="W20" s="14"/>
    </row>
    <row r="21" spans="1:23" ht="17.100000000000001" customHeight="1">
      <c r="A21" s="14"/>
      <c r="B21" s="14"/>
      <c r="C21" s="14"/>
      <c r="D21" s="14"/>
      <c r="E21" s="14"/>
      <c r="F21" s="14"/>
      <c r="G21" s="14"/>
      <c r="H21" s="14"/>
      <c r="I21" s="14" t="s">
        <v>719</v>
      </c>
      <c r="J21" s="14"/>
      <c r="K21" s="14"/>
      <c r="L21" s="14"/>
      <c r="M21" s="14"/>
      <c r="N21" s="14"/>
      <c r="O21" s="14"/>
      <c r="P21" s="14"/>
      <c r="Q21" s="14"/>
      <c r="R21" s="14"/>
      <c r="S21" s="14"/>
      <c r="T21" s="14"/>
      <c r="U21" s="14"/>
      <c r="V21" s="14"/>
      <c r="W21" s="14"/>
    </row>
    <row r="22" spans="1:23" ht="17.100000000000001" customHeight="1">
      <c r="A22" s="14" t="s">
        <v>639</v>
      </c>
      <c r="B22" s="14"/>
      <c r="C22" s="14"/>
      <c r="D22" s="14"/>
      <c r="E22" s="14"/>
      <c r="F22" s="14"/>
      <c r="G22" s="14"/>
      <c r="H22" s="14"/>
      <c r="I22" s="14" t="s">
        <v>720</v>
      </c>
      <c r="J22" s="14"/>
      <c r="K22" s="14"/>
      <c r="L22" s="14"/>
      <c r="M22" s="14"/>
      <c r="N22" s="14"/>
      <c r="O22" s="14"/>
      <c r="P22" s="14"/>
      <c r="Q22" s="14"/>
      <c r="R22" s="14" t="s">
        <v>520</v>
      </c>
      <c r="S22" s="14"/>
      <c r="T22" s="14"/>
      <c r="U22" s="14"/>
      <c r="V22" s="14"/>
      <c r="W22" s="14"/>
    </row>
    <row r="23" spans="1:23" ht="17.100000000000001" customHeight="1">
      <c r="A23" s="14" t="s">
        <v>641</v>
      </c>
      <c r="B23" s="14"/>
      <c r="C23" s="14"/>
      <c r="D23" s="14"/>
      <c r="E23" s="14"/>
      <c r="F23" s="14"/>
      <c r="G23" s="14"/>
      <c r="H23" s="14"/>
      <c r="I23" s="14"/>
      <c r="J23" s="14"/>
      <c r="K23" s="14"/>
      <c r="L23" s="14"/>
      <c r="M23" s="14"/>
      <c r="N23" s="14"/>
      <c r="O23" s="14"/>
      <c r="P23" s="14"/>
      <c r="Q23" s="14"/>
      <c r="R23" s="14"/>
      <c r="S23" s="14"/>
      <c r="T23" s="14"/>
      <c r="U23" s="14"/>
      <c r="V23" s="14"/>
      <c r="W23" s="14"/>
    </row>
    <row r="24" spans="1:23" ht="17.100000000000001" customHeight="1">
      <c r="A24" s="14" t="s">
        <v>693</v>
      </c>
      <c r="B24" s="14"/>
      <c r="C24" s="14"/>
      <c r="D24" s="14"/>
      <c r="E24" s="14"/>
      <c r="F24" s="14"/>
      <c r="G24" s="14"/>
      <c r="H24" s="14"/>
      <c r="I24" s="14" t="s">
        <v>685</v>
      </c>
      <c r="J24" s="14"/>
      <c r="K24" s="14"/>
      <c r="L24" s="14"/>
      <c r="M24" s="14"/>
      <c r="N24" s="14"/>
      <c r="O24" s="14"/>
      <c r="P24" s="14"/>
      <c r="Q24" s="14"/>
      <c r="R24" s="14" t="s">
        <v>522</v>
      </c>
      <c r="S24" s="14"/>
      <c r="T24" s="14"/>
      <c r="U24" s="14"/>
      <c r="V24" s="14"/>
      <c r="W24" s="14"/>
    </row>
    <row r="25" spans="1:23" ht="17.100000000000001" customHeight="1">
      <c r="A25" s="14" t="s">
        <v>721</v>
      </c>
      <c r="B25" s="14"/>
      <c r="C25" s="14"/>
      <c r="D25" s="14"/>
      <c r="E25" s="14"/>
      <c r="F25" s="14"/>
      <c r="G25" s="14"/>
      <c r="H25" s="14"/>
      <c r="I25" s="14" t="s">
        <v>722</v>
      </c>
      <c r="J25" s="14"/>
      <c r="K25" s="14"/>
      <c r="L25" s="14"/>
      <c r="M25" s="14"/>
      <c r="N25" s="14"/>
      <c r="O25" s="14"/>
      <c r="P25" s="14"/>
      <c r="Q25" s="14"/>
      <c r="R25" s="14" t="s">
        <v>723</v>
      </c>
      <c r="S25" s="14"/>
      <c r="T25" s="14"/>
      <c r="U25" s="14"/>
      <c r="V25" s="14"/>
      <c r="W25" s="14"/>
    </row>
    <row r="26" spans="1:23" ht="17.100000000000001" customHeight="1">
      <c r="A26" s="14" t="s">
        <v>645</v>
      </c>
      <c r="B26" s="14"/>
      <c r="C26" s="14"/>
      <c r="D26" s="14"/>
      <c r="E26" s="14"/>
      <c r="F26" s="14"/>
      <c r="G26" s="14"/>
      <c r="H26" s="14"/>
      <c r="I26" s="14" t="s">
        <v>685</v>
      </c>
      <c r="J26" s="14"/>
      <c r="K26" s="14"/>
      <c r="L26" s="14"/>
      <c r="M26" s="14"/>
      <c r="N26" s="14"/>
      <c r="O26" s="14"/>
      <c r="P26" s="14"/>
      <c r="Q26" s="14"/>
      <c r="R26" s="14" t="s">
        <v>724</v>
      </c>
      <c r="S26" s="14"/>
      <c r="T26" s="14"/>
      <c r="U26" s="14"/>
      <c r="V26" s="14"/>
      <c r="W26" s="14"/>
    </row>
    <row r="27" spans="1:23" ht="17.100000000000001" customHeight="1">
      <c r="A27" s="14" t="s">
        <v>699</v>
      </c>
      <c r="B27" s="14"/>
      <c r="C27" s="14"/>
      <c r="D27" s="14"/>
      <c r="E27" s="14"/>
      <c r="F27" s="14"/>
      <c r="G27" s="14"/>
      <c r="H27" s="14"/>
      <c r="I27" s="14"/>
      <c r="J27" s="14"/>
      <c r="K27" s="14"/>
      <c r="L27" s="14"/>
      <c r="M27" s="14"/>
      <c r="N27" s="14"/>
      <c r="O27" s="14"/>
      <c r="P27" s="14"/>
      <c r="Q27" s="14"/>
      <c r="R27" s="14" t="s">
        <v>725</v>
      </c>
      <c r="S27" s="14"/>
      <c r="T27" s="14"/>
      <c r="U27" s="14"/>
      <c r="V27" s="14"/>
      <c r="W27" s="14"/>
    </row>
    <row r="28" spans="1:23" ht="17.100000000000001" customHeight="1">
      <c r="A28" s="14" t="s">
        <v>726</v>
      </c>
      <c r="B28" s="14"/>
      <c r="C28" s="14"/>
      <c r="D28" s="14"/>
      <c r="E28" s="14"/>
      <c r="F28" s="14"/>
      <c r="G28" s="14"/>
      <c r="H28" s="14"/>
      <c r="I28" s="14" t="s">
        <v>639</v>
      </c>
      <c r="J28" s="14"/>
      <c r="K28" s="14"/>
      <c r="L28" s="14"/>
      <c r="M28" s="14"/>
      <c r="N28" s="14"/>
      <c r="O28" s="14"/>
      <c r="P28" s="14"/>
      <c r="Q28" s="14"/>
      <c r="R28" s="14" t="s">
        <v>727</v>
      </c>
      <c r="S28" s="14"/>
      <c r="T28" s="14"/>
      <c r="U28" s="14"/>
      <c r="V28" s="14"/>
      <c r="W28" s="14"/>
    </row>
    <row r="29" spans="1:23" ht="17.100000000000001" customHeight="1">
      <c r="A29" s="14" t="s">
        <v>704</v>
      </c>
      <c r="B29" s="14"/>
      <c r="C29" s="14"/>
      <c r="D29" s="14"/>
      <c r="E29" s="14"/>
      <c r="F29" s="14"/>
      <c r="G29" s="14"/>
      <c r="H29" s="14"/>
      <c r="I29" s="14" t="s">
        <v>728</v>
      </c>
      <c r="J29" s="14"/>
      <c r="K29" s="14"/>
      <c r="L29" s="14"/>
      <c r="M29" s="14"/>
      <c r="N29" s="14"/>
      <c r="O29" s="14"/>
      <c r="P29" s="14"/>
      <c r="Q29" s="14"/>
      <c r="R29" s="14" t="s">
        <v>729</v>
      </c>
      <c r="S29" s="14"/>
      <c r="T29" s="14"/>
      <c r="U29" s="14"/>
      <c r="V29" s="14"/>
      <c r="W29" s="14"/>
    </row>
    <row r="30" spans="1:23" ht="17.100000000000001" customHeight="1">
      <c r="A30" s="14" t="s">
        <v>730</v>
      </c>
      <c r="B30" s="14"/>
      <c r="C30" s="14"/>
      <c r="D30" s="14"/>
      <c r="E30" s="14"/>
      <c r="F30" s="14"/>
      <c r="G30" s="14"/>
      <c r="H30" s="14"/>
      <c r="I30" s="14" t="s">
        <v>731</v>
      </c>
      <c r="J30" s="14"/>
      <c r="K30" s="14"/>
      <c r="L30" s="14"/>
      <c r="M30" s="14"/>
      <c r="N30" s="14"/>
      <c r="O30" s="14"/>
      <c r="P30" s="14"/>
      <c r="Q30" s="14"/>
      <c r="R30" s="14" t="s">
        <v>732</v>
      </c>
      <c r="S30" s="14"/>
      <c r="T30" s="14"/>
      <c r="U30" s="14"/>
      <c r="V30" s="14"/>
      <c r="W30" s="14"/>
    </row>
    <row r="31" spans="1:23" ht="17.100000000000001" customHeight="1">
      <c r="A31" s="14" t="s">
        <v>733</v>
      </c>
      <c r="B31" s="14"/>
      <c r="C31" s="14"/>
      <c r="D31" s="14"/>
      <c r="E31" s="14"/>
      <c r="F31" s="14"/>
      <c r="G31" s="14"/>
      <c r="H31" s="14"/>
      <c r="I31" s="14" t="s">
        <v>734</v>
      </c>
      <c r="J31" s="14"/>
      <c r="K31" s="14"/>
      <c r="L31" s="14"/>
      <c r="M31" s="14"/>
      <c r="N31" s="14"/>
      <c r="O31" s="14"/>
      <c r="P31" s="14"/>
      <c r="Q31" s="14"/>
      <c r="R31" s="14" t="s">
        <v>735</v>
      </c>
      <c r="S31" s="14"/>
      <c r="T31" s="14"/>
      <c r="U31" s="14"/>
      <c r="V31" s="14"/>
      <c r="W31" s="14"/>
    </row>
    <row r="32" spans="1:23" ht="17.100000000000001" customHeight="1">
      <c r="A32" s="14" t="s">
        <v>710</v>
      </c>
      <c r="B32" s="14"/>
      <c r="C32" s="14"/>
      <c r="D32" s="14"/>
      <c r="E32" s="14"/>
      <c r="F32" s="14"/>
      <c r="G32" s="14"/>
      <c r="H32" s="14"/>
      <c r="I32" s="14" t="s">
        <v>736</v>
      </c>
      <c r="J32" s="14"/>
      <c r="K32" s="14"/>
      <c r="L32" s="14"/>
      <c r="M32" s="14"/>
      <c r="N32" s="14"/>
      <c r="O32" s="14"/>
      <c r="P32" s="14"/>
      <c r="Q32" s="14"/>
      <c r="R32" s="14" t="s">
        <v>737</v>
      </c>
      <c r="S32" s="14"/>
      <c r="T32" s="14"/>
      <c r="U32" s="14"/>
      <c r="V32" s="14"/>
      <c r="W32" s="14"/>
    </row>
    <row r="33" spans="1:23" ht="17.100000000000001" customHeight="1">
      <c r="A33" s="14"/>
      <c r="B33" s="14"/>
      <c r="C33" s="14"/>
      <c r="D33" s="14"/>
      <c r="E33" s="14"/>
      <c r="F33" s="14"/>
      <c r="G33" s="14"/>
      <c r="H33" s="14"/>
      <c r="I33" s="14" t="s">
        <v>738</v>
      </c>
      <c r="J33" s="14"/>
      <c r="K33" s="14"/>
      <c r="L33" s="14"/>
      <c r="M33" s="14"/>
      <c r="N33" s="14"/>
      <c r="O33" s="14"/>
      <c r="P33" s="14"/>
      <c r="Q33" s="14"/>
      <c r="R33" s="14" t="s">
        <v>739</v>
      </c>
      <c r="S33" s="14"/>
      <c r="T33" s="14"/>
      <c r="U33" s="14"/>
      <c r="V33" s="14"/>
      <c r="W33" s="14"/>
    </row>
    <row r="34" spans="1:23" ht="17.100000000000001" customHeight="1">
      <c r="A34" s="14" t="s">
        <v>685</v>
      </c>
      <c r="B34" s="14"/>
      <c r="C34" s="14"/>
      <c r="D34" s="14"/>
      <c r="E34" s="14"/>
      <c r="F34" s="14"/>
      <c r="G34" s="14"/>
      <c r="H34" s="14"/>
      <c r="I34" s="14" t="s">
        <v>636</v>
      </c>
      <c r="J34" s="14"/>
      <c r="K34" s="14"/>
      <c r="L34" s="14"/>
      <c r="M34" s="14"/>
      <c r="N34" s="14"/>
      <c r="O34" s="14"/>
      <c r="P34" s="14"/>
      <c r="Q34" s="14"/>
      <c r="R34" s="14" t="s">
        <v>740</v>
      </c>
      <c r="S34" s="14"/>
      <c r="T34" s="14"/>
      <c r="U34" s="14"/>
      <c r="V34" s="14"/>
      <c r="W34" s="14"/>
    </row>
    <row r="35" spans="1:23" ht="17.100000000000001" customHeight="1">
      <c r="A35" s="14" t="s">
        <v>741</v>
      </c>
      <c r="B35" s="14"/>
      <c r="C35" s="14"/>
      <c r="D35" s="14"/>
      <c r="E35" s="14"/>
      <c r="F35" s="14"/>
      <c r="G35" s="14"/>
      <c r="H35" s="14"/>
      <c r="I35" s="14"/>
      <c r="J35" s="14"/>
      <c r="K35" s="14"/>
      <c r="L35" s="14"/>
      <c r="M35" s="14"/>
      <c r="N35" s="14"/>
      <c r="O35" s="14"/>
      <c r="P35" s="14"/>
      <c r="Q35" s="14"/>
      <c r="R35" s="14" t="s">
        <v>742</v>
      </c>
      <c r="S35" s="14"/>
      <c r="T35" s="14"/>
      <c r="U35" s="14"/>
      <c r="V35" s="14"/>
      <c r="W35" s="14"/>
    </row>
    <row r="36" spans="1:23" ht="17.100000000000001" customHeight="1">
      <c r="A36" s="14" t="s">
        <v>685</v>
      </c>
      <c r="B36" s="14"/>
      <c r="C36" s="14"/>
      <c r="D36" s="14"/>
      <c r="E36" s="14"/>
      <c r="F36" s="14"/>
      <c r="G36" s="14"/>
      <c r="H36" s="14"/>
      <c r="I36" s="14"/>
      <c r="J36" s="14"/>
      <c r="K36" s="14"/>
      <c r="L36" s="14"/>
      <c r="M36" s="14"/>
      <c r="N36" s="14"/>
      <c r="O36" s="14"/>
      <c r="P36" s="14"/>
      <c r="Q36" s="14"/>
      <c r="R36" s="14" t="s">
        <v>743</v>
      </c>
      <c r="S36" s="14"/>
      <c r="T36" s="14"/>
      <c r="U36" s="14"/>
      <c r="V36" s="14"/>
      <c r="W36" s="14"/>
    </row>
    <row r="37" spans="1:23" ht="17.100000000000001" customHeight="1">
      <c r="A37" s="14"/>
      <c r="B37" s="14"/>
      <c r="C37" s="14"/>
      <c r="D37" s="14"/>
      <c r="E37" s="14"/>
      <c r="F37" s="14"/>
      <c r="G37" s="14"/>
      <c r="H37" s="14"/>
      <c r="I37" s="14"/>
      <c r="J37" s="14"/>
      <c r="K37" s="14"/>
      <c r="L37" s="14"/>
      <c r="M37" s="14"/>
      <c r="N37" s="14"/>
      <c r="O37" s="14"/>
      <c r="P37" s="14"/>
      <c r="Q37" s="14"/>
      <c r="R37" s="14" t="s">
        <v>744</v>
      </c>
      <c r="S37" s="14"/>
      <c r="T37" s="14"/>
      <c r="U37" s="14"/>
      <c r="V37" s="14"/>
      <c r="W37" s="14"/>
    </row>
    <row r="38" spans="1:23" ht="17.100000000000001" customHeight="1">
      <c r="A38" s="14" t="s">
        <v>639</v>
      </c>
      <c r="B38" s="14"/>
      <c r="C38" s="14"/>
      <c r="D38" s="14"/>
      <c r="E38" s="14"/>
      <c r="F38" s="14"/>
      <c r="G38" s="14"/>
      <c r="H38" s="14"/>
      <c r="I38" s="14"/>
      <c r="J38" s="14"/>
      <c r="K38" s="14"/>
      <c r="L38" s="14"/>
      <c r="M38" s="14"/>
      <c r="N38" s="14"/>
      <c r="O38" s="14"/>
      <c r="P38" s="14"/>
      <c r="Q38" s="14"/>
      <c r="R38" s="14" t="s">
        <v>745</v>
      </c>
      <c r="S38" s="14"/>
      <c r="T38" s="14"/>
      <c r="U38" s="14"/>
      <c r="V38" s="14"/>
      <c r="W38" s="14"/>
    </row>
    <row r="39" spans="1:23" ht="17.100000000000001" customHeight="1">
      <c r="A39" s="14" t="s">
        <v>641</v>
      </c>
      <c r="B39" s="14"/>
      <c r="C39" s="14"/>
      <c r="D39" s="14"/>
      <c r="E39" s="14"/>
      <c r="F39" s="14"/>
      <c r="G39" s="14"/>
      <c r="H39" s="14"/>
      <c r="I39" s="14"/>
      <c r="J39" s="14"/>
      <c r="K39" s="14"/>
      <c r="L39" s="14"/>
      <c r="M39" s="14"/>
      <c r="N39" s="14"/>
      <c r="O39" s="14"/>
      <c r="P39" s="14"/>
      <c r="Q39" s="14"/>
      <c r="R39" s="14" t="s">
        <v>746</v>
      </c>
      <c r="S39" s="14"/>
      <c r="T39" s="14"/>
      <c r="U39" s="14"/>
      <c r="V39" s="14"/>
      <c r="W39" s="14"/>
    </row>
    <row r="40" spans="1:23" ht="17.100000000000001" customHeight="1">
      <c r="A40" s="14" t="s">
        <v>693</v>
      </c>
      <c r="B40" s="14"/>
      <c r="C40" s="14"/>
      <c r="D40" s="14"/>
      <c r="E40" s="14"/>
      <c r="F40" s="14"/>
      <c r="G40" s="14"/>
      <c r="H40" s="14"/>
      <c r="I40" s="14"/>
      <c r="J40" s="14"/>
      <c r="K40" s="14"/>
      <c r="L40" s="14"/>
      <c r="M40" s="14"/>
      <c r="N40" s="14"/>
      <c r="O40" s="14"/>
      <c r="P40" s="14"/>
      <c r="Q40" s="14"/>
      <c r="R40" s="14" t="s">
        <v>747</v>
      </c>
      <c r="S40" s="14"/>
      <c r="T40" s="14"/>
      <c r="U40" s="14"/>
      <c r="V40" s="14"/>
      <c r="W40" s="14"/>
    </row>
    <row r="41" spans="1:23" ht="17.100000000000001" customHeight="1">
      <c r="A41" s="14" t="s">
        <v>748</v>
      </c>
      <c r="B41" s="14"/>
      <c r="C41" s="14"/>
      <c r="D41" s="14"/>
      <c r="E41" s="14"/>
      <c r="F41" s="14"/>
      <c r="G41" s="14"/>
      <c r="H41" s="14"/>
      <c r="I41" s="14"/>
      <c r="J41" s="14"/>
      <c r="K41" s="14"/>
      <c r="L41" s="14"/>
      <c r="M41" s="14"/>
      <c r="N41" s="14"/>
      <c r="O41" s="14"/>
      <c r="P41" s="14"/>
      <c r="Q41" s="14"/>
      <c r="R41" s="14" t="s">
        <v>749</v>
      </c>
      <c r="S41" s="14"/>
      <c r="T41" s="14"/>
      <c r="U41" s="14"/>
      <c r="V41" s="14"/>
      <c r="W41" s="14"/>
    </row>
    <row r="42" spans="1:23" ht="17.100000000000001" customHeight="1">
      <c r="A42" s="14" t="s">
        <v>645</v>
      </c>
      <c r="B42" s="14"/>
      <c r="C42" s="14"/>
      <c r="D42" s="14"/>
      <c r="E42" s="14"/>
      <c r="F42" s="14"/>
      <c r="G42" s="14"/>
      <c r="H42" s="14"/>
      <c r="I42" s="14"/>
      <c r="J42" s="14"/>
      <c r="K42" s="14"/>
      <c r="L42" s="14"/>
      <c r="M42" s="14"/>
      <c r="N42" s="14"/>
      <c r="O42" s="14"/>
      <c r="P42" s="14"/>
      <c r="Q42" s="14"/>
      <c r="R42" s="14" t="s">
        <v>750</v>
      </c>
      <c r="S42" s="14"/>
      <c r="T42" s="14"/>
      <c r="U42" s="14"/>
      <c r="V42" s="14"/>
      <c r="W42" s="14"/>
    </row>
    <row r="43" spans="1:23" ht="17.100000000000001" customHeight="1">
      <c r="A43" s="14" t="s">
        <v>699</v>
      </c>
      <c r="B43" s="14"/>
      <c r="C43" s="14"/>
      <c r="D43" s="14"/>
      <c r="E43" s="14"/>
      <c r="F43" s="14"/>
      <c r="G43" s="14"/>
      <c r="H43" s="14"/>
      <c r="I43" s="14"/>
      <c r="J43" s="14"/>
      <c r="K43" s="14"/>
      <c r="L43" s="14"/>
      <c r="M43" s="14"/>
      <c r="N43" s="14"/>
      <c r="O43" s="14"/>
      <c r="P43" s="14"/>
      <c r="Q43" s="14"/>
      <c r="R43" s="14" t="s">
        <v>751</v>
      </c>
      <c r="S43" s="14"/>
      <c r="T43" s="14"/>
      <c r="U43" s="14"/>
      <c r="V43" s="14"/>
      <c r="W43" s="14"/>
    </row>
    <row r="44" spans="1:23" ht="17.100000000000001" customHeight="1">
      <c r="A44" s="14" t="s">
        <v>752</v>
      </c>
      <c r="B44" s="14"/>
      <c r="C44" s="14"/>
      <c r="D44" s="14"/>
      <c r="E44" s="14"/>
      <c r="F44" s="14"/>
      <c r="G44" s="14"/>
      <c r="H44" s="14"/>
      <c r="I44" s="14"/>
      <c r="J44" s="14"/>
      <c r="K44" s="14"/>
      <c r="L44" s="14"/>
      <c r="M44" s="14"/>
      <c r="N44" s="14"/>
      <c r="O44" s="14"/>
      <c r="P44" s="14"/>
      <c r="Q44" s="14"/>
      <c r="R44" s="14" t="s">
        <v>753</v>
      </c>
      <c r="S44" s="14"/>
      <c r="T44" s="14"/>
      <c r="U44" s="14"/>
      <c r="V44" s="14"/>
      <c r="W44" s="14"/>
    </row>
    <row r="45" spans="1:23" ht="17.100000000000001" customHeight="1">
      <c r="A45" s="14" t="s">
        <v>704</v>
      </c>
      <c r="B45" s="14"/>
      <c r="C45" s="14"/>
      <c r="D45" s="14"/>
      <c r="E45" s="14"/>
      <c r="F45" s="14"/>
      <c r="G45" s="14"/>
      <c r="H45" s="14"/>
      <c r="I45" s="14"/>
      <c r="J45" s="14"/>
      <c r="K45" s="14"/>
      <c r="L45" s="14"/>
      <c r="M45" s="14"/>
      <c r="N45" s="14"/>
      <c r="O45" s="14"/>
      <c r="P45" s="14"/>
      <c r="Q45" s="14"/>
      <c r="R45" s="14" t="s">
        <v>754</v>
      </c>
      <c r="S45" s="14"/>
      <c r="T45" s="14"/>
      <c r="U45" s="14"/>
      <c r="V45" s="14"/>
      <c r="W45" s="14"/>
    </row>
    <row r="46" spans="1:23" ht="17.100000000000001" customHeight="1">
      <c r="A46" s="14" t="s">
        <v>755</v>
      </c>
      <c r="B46" s="14"/>
      <c r="C46" s="14"/>
      <c r="D46" s="14"/>
      <c r="E46" s="14"/>
      <c r="F46" s="14"/>
      <c r="G46" s="14"/>
      <c r="H46" s="14"/>
      <c r="I46" s="14"/>
      <c r="J46" s="14"/>
      <c r="K46" s="14"/>
      <c r="L46" s="14"/>
      <c r="M46" s="14"/>
      <c r="N46" s="14"/>
      <c r="O46" s="14"/>
      <c r="P46" s="14"/>
      <c r="Q46" s="14"/>
      <c r="R46" s="14" t="s">
        <v>756</v>
      </c>
      <c r="S46" s="14"/>
      <c r="T46" s="14"/>
      <c r="U46" s="14"/>
      <c r="V46" s="14"/>
      <c r="W46" s="14"/>
    </row>
    <row r="47" spans="1:23" ht="17.100000000000001" customHeight="1">
      <c r="A47" s="14" t="s">
        <v>757</v>
      </c>
      <c r="B47" s="14"/>
      <c r="C47" s="14"/>
      <c r="D47" s="14"/>
      <c r="E47" s="14"/>
      <c r="F47" s="14"/>
      <c r="G47" s="14"/>
      <c r="H47" s="14"/>
      <c r="I47" s="14"/>
      <c r="J47" s="14"/>
      <c r="K47" s="14"/>
      <c r="L47" s="14"/>
      <c r="M47" s="14"/>
      <c r="N47" s="14"/>
      <c r="O47" s="14"/>
      <c r="P47" s="14"/>
      <c r="Q47" s="14"/>
      <c r="R47" s="14" t="s">
        <v>571</v>
      </c>
      <c r="S47" s="14"/>
      <c r="T47" s="14"/>
      <c r="U47" s="14"/>
      <c r="V47" s="14"/>
      <c r="W47" s="14"/>
    </row>
    <row r="48" spans="1:23" ht="17.100000000000001" customHeight="1">
      <c r="A48" s="14" t="s">
        <v>710</v>
      </c>
      <c r="B48" s="14"/>
      <c r="C48" s="14"/>
      <c r="D48" s="14"/>
      <c r="E48" s="14"/>
      <c r="F48" s="14"/>
      <c r="G48" s="14"/>
      <c r="H48" s="14"/>
      <c r="I48" s="14"/>
      <c r="J48" s="14"/>
      <c r="K48" s="14"/>
      <c r="L48" s="14"/>
      <c r="M48" s="14"/>
      <c r="N48" s="14"/>
      <c r="O48" s="14"/>
      <c r="P48" s="14"/>
      <c r="Q48" s="14"/>
      <c r="R48" s="14" t="s">
        <v>574</v>
      </c>
      <c r="S48" s="14"/>
      <c r="T48" s="14"/>
      <c r="U48" s="14"/>
      <c r="V48" s="14"/>
      <c r="W48" s="14"/>
    </row>
    <row r="49" spans="1:23" ht="17.100000000000001" customHeight="1">
      <c r="A49" s="14"/>
      <c r="B49" s="14"/>
      <c r="C49" s="14"/>
      <c r="D49" s="14"/>
      <c r="E49" s="14"/>
      <c r="F49" s="14"/>
      <c r="G49" s="14"/>
      <c r="H49" s="14"/>
      <c r="I49" s="14"/>
      <c r="J49" s="14"/>
      <c r="K49" s="14"/>
      <c r="L49" s="14"/>
      <c r="M49" s="14"/>
      <c r="N49" s="14"/>
      <c r="O49" s="14"/>
      <c r="P49" s="14"/>
      <c r="Q49" s="14"/>
      <c r="R49" s="14"/>
      <c r="S49" s="14"/>
      <c r="T49" s="14"/>
      <c r="U49" s="14"/>
      <c r="V49" s="14"/>
      <c r="W49" s="14"/>
    </row>
    <row r="50" spans="1:23" ht="17.100000000000001" customHeight="1">
      <c r="A50" s="14" t="s">
        <v>685</v>
      </c>
      <c r="B50" s="14"/>
      <c r="C50" s="14"/>
      <c r="D50" s="14"/>
      <c r="E50" s="14"/>
      <c r="F50" s="14"/>
      <c r="G50" s="14"/>
      <c r="H50" s="14"/>
      <c r="I50" s="14"/>
      <c r="J50" s="14"/>
      <c r="K50" s="14"/>
      <c r="L50" s="14"/>
      <c r="M50" s="14"/>
      <c r="N50" s="14"/>
      <c r="O50" s="14"/>
      <c r="P50" s="14"/>
      <c r="Q50" s="14"/>
      <c r="R50" s="14"/>
      <c r="S50" s="14"/>
      <c r="T50" s="14"/>
      <c r="U50" s="14"/>
      <c r="V50" s="14"/>
      <c r="W50" s="14"/>
    </row>
    <row r="51" spans="1:23" ht="17.100000000000001" customHeight="1">
      <c r="A51" s="14" t="s">
        <v>758</v>
      </c>
      <c r="B51" s="14"/>
      <c r="C51" s="14"/>
      <c r="D51" s="14"/>
      <c r="E51" s="14"/>
      <c r="F51" s="14"/>
      <c r="G51" s="14"/>
      <c r="H51" s="14"/>
      <c r="I51" s="14"/>
      <c r="J51" s="14"/>
      <c r="K51" s="14"/>
      <c r="L51" s="14"/>
      <c r="M51" s="14"/>
      <c r="N51" s="14"/>
      <c r="O51" s="14"/>
      <c r="P51" s="14"/>
      <c r="Q51" s="14"/>
      <c r="R51" s="14"/>
      <c r="S51" s="14"/>
      <c r="T51" s="14"/>
      <c r="U51" s="14"/>
      <c r="V51" s="14"/>
      <c r="W51" s="14"/>
    </row>
    <row r="52" spans="1:23" ht="17.100000000000001" customHeight="1">
      <c r="A52" s="14" t="s">
        <v>685</v>
      </c>
      <c r="B52" s="14"/>
      <c r="C52" s="14"/>
      <c r="D52" s="14"/>
      <c r="E52" s="14"/>
      <c r="F52" s="14"/>
      <c r="G52" s="14"/>
      <c r="H52" s="14"/>
      <c r="I52" s="14"/>
      <c r="J52" s="14"/>
      <c r="K52" s="14"/>
      <c r="L52" s="14"/>
      <c r="M52" s="14"/>
      <c r="N52" s="14"/>
      <c r="O52" s="14"/>
      <c r="P52" s="14"/>
      <c r="Q52" s="14"/>
      <c r="R52" s="14"/>
      <c r="S52" s="14"/>
      <c r="T52" s="14"/>
      <c r="U52" s="14"/>
      <c r="V52" s="14"/>
      <c r="W52" s="14"/>
    </row>
    <row r="53" spans="1:23" ht="17.100000000000001" customHeight="1">
      <c r="A53" s="14"/>
      <c r="B53" s="14"/>
      <c r="C53" s="14"/>
      <c r="D53" s="14"/>
      <c r="E53" s="14"/>
      <c r="F53" s="14"/>
      <c r="G53" s="14"/>
      <c r="H53" s="14"/>
      <c r="I53" s="14"/>
      <c r="J53" s="14"/>
      <c r="K53" s="14"/>
      <c r="L53" s="14"/>
      <c r="M53" s="14"/>
      <c r="N53" s="14"/>
      <c r="O53" s="14"/>
      <c r="P53" s="14"/>
      <c r="Q53" s="14"/>
      <c r="R53" s="14"/>
      <c r="S53" s="14"/>
      <c r="T53" s="14"/>
      <c r="U53" s="14"/>
      <c r="V53" s="14"/>
      <c r="W53" s="14"/>
    </row>
    <row r="54" spans="1:23" ht="17.100000000000001" customHeight="1">
      <c r="A54" s="14" t="s">
        <v>639</v>
      </c>
      <c r="B54" s="14"/>
      <c r="C54" s="14"/>
      <c r="D54" s="14"/>
      <c r="E54" s="14"/>
      <c r="F54" s="14"/>
      <c r="G54" s="14"/>
      <c r="H54" s="14"/>
      <c r="I54" s="14"/>
      <c r="J54" s="14"/>
      <c r="K54" s="14"/>
      <c r="L54" s="14"/>
      <c r="M54" s="14"/>
      <c r="N54" s="14"/>
      <c r="O54" s="14"/>
      <c r="P54" s="14"/>
      <c r="Q54" s="14"/>
      <c r="R54" s="14"/>
      <c r="S54" s="14"/>
      <c r="T54" s="14"/>
      <c r="U54" s="14"/>
      <c r="V54" s="14"/>
      <c r="W54" s="14"/>
    </row>
    <row r="55" spans="1:23" ht="17.100000000000001" customHeight="1">
      <c r="A55" s="14" t="s">
        <v>641</v>
      </c>
      <c r="B55" s="14"/>
      <c r="C55" s="14"/>
      <c r="D55" s="14"/>
      <c r="E55" s="14"/>
      <c r="F55" s="14"/>
      <c r="G55" s="14"/>
      <c r="H55" s="14"/>
      <c r="I55" s="14"/>
      <c r="J55" s="14"/>
      <c r="K55" s="14"/>
      <c r="L55" s="14"/>
      <c r="M55" s="14"/>
      <c r="N55" s="14"/>
      <c r="O55" s="14"/>
      <c r="P55" s="14"/>
      <c r="Q55" s="14"/>
      <c r="R55" s="14"/>
      <c r="S55" s="14"/>
      <c r="T55" s="14"/>
      <c r="U55" s="14"/>
      <c r="V55" s="14"/>
      <c r="W55" s="14"/>
    </row>
    <row r="56" spans="1:23" ht="17.100000000000001" customHeight="1">
      <c r="A56" s="14" t="s">
        <v>693</v>
      </c>
      <c r="B56" s="14"/>
      <c r="C56" s="14"/>
      <c r="D56" s="14"/>
      <c r="E56" s="14"/>
      <c r="F56" s="14"/>
      <c r="G56" s="14"/>
      <c r="H56" s="14"/>
      <c r="I56" s="14"/>
      <c r="J56" s="14"/>
      <c r="K56" s="14"/>
      <c r="L56" s="14"/>
      <c r="M56" s="14"/>
      <c r="N56" s="14"/>
      <c r="O56" s="14"/>
      <c r="P56" s="14"/>
      <c r="Q56" s="14"/>
      <c r="R56" s="14"/>
      <c r="S56" s="14"/>
      <c r="T56" s="14"/>
      <c r="U56" s="14"/>
      <c r="V56" s="14"/>
      <c r="W56" s="14"/>
    </row>
    <row r="57" spans="1:23" ht="17.100000000000001" customHeight="1">
      <c r="A57" s="14" t="s">
        <v>759</v>
      </c>
      <c r="B57" s="14"/>
      <c r="C57" s="14"/>
      <c r="D57" s="14"/>
      <c r="E57" s="14"/>
      <c r="F57" s="14"/>
      <c r="G57" s="14"/>
      <c r="H57" s="14"/>
      <c r="I57" s="14"/>
      <c r="J57" s="14"/>
      <c r="K57" s="14"/>
      <c r="L57" s="14"/>
      <c r="M57" s="14"/>
      <c r="N57" s="14"/>
      <c r="O57" s="14"/>
      <c r="P57" s="14"/>
      <c r="Q57" s="14"/>
      <c r="R57" s="14"/>
      <c r="S57" s="14"/>
      <c r="T57" s="14"/>
      <c r="U57" s="14"/>
      <c r="V57" s="14"/>
      <c r="W57" s="14"/>
    </row>
    <row r="58" spans="1:23" ht="17.100000000000001" customHeight="1">
      <c r="A58" s="14" t="s">
        <v>645</v>
      </c>
      <c r="B58" s="14"/>
      <c r="C58" s="14"/>
      <c r="D58" s="14"/>
      <c r="E58" s="14"/>
      <c r="F58" s="14"/>
      <c r="G58" s="14"/>
      <c r="H58" s="14"/>
      <c r="I58" s="14"/>
      <c r="J58" s="14"/>
      <c r="K58" s="14"/>
      <c r="L58" s="14"/>
      <c r="M58" s="14"/>
      <c r="N58" s="14"/>
      <c r="O58" s="14"/>
      <c r="P58" s="14"/>
      <c r="Q58" s="14"/>
      <c r="R58" s="14"/>
      <c r="S58" s="14"/>
      <c r="T58" s="14"/>
      <c r="U58" s="14"/>
      <c r="V58" s="14"/>
      <c r="W58" s="14"/>
    </row>
    <row r="59" spans="1:23" ht="17.100000000000001" customHeight="1">
      <c r="A59" s="14" t="s">
        <v>699</v>
      </c>
      <c r="B59" s="14"/>
      <c r="C59" s="14"/>
      <c r="D59" s="14"/>
      <c r="E59" s="14"/>
      <c r="F59" s="14"/>
      <c r="G59" s="14"/>
      <c r="H59" s="14"/>
      <c r="I59" s="14"/>
      <c r="J59" s="14"/>
      <c r="K59" s="14"/>
      <c r="L59" s="14"/>
      <c r="M59" s="14"/>
      <c r="N59" s="14"/>
      <c r="O59" s="14"/>
      <c r="P59" s="14"/>
      <c r="Q59" s="14"/>
      <c r="R59" s="14"/>
      <c r="S59" s="14"/>
      <c r="T59" s="14"/>
      <c r="U59" s="14"/>
      <c r="V59" s="14"/>
      <c r="W59" s="14"/>
    </row>
    <row r="60" spans="1:23" ht="17.100000000000001" customHeight="1">
      <c r="A60" s="14" t="s">
        <v>760</v>
      </c>
      <c r="B60" s="14"/>
      <c r="C60" s="14"/>
      <c r="D60" s="14"/>
      <c r="E60" s="14"/>
      <c r="F60" s="14"/>
      <c r="G60" s="14"/>
      <c r="H60" s="14"/>
      <c r="I60" s="14"/>
      <c r="J60" s="14"/>
      <c r="K60" s="14"/>
      <c r="L60" s="14"/>
      <c r="M60" s="14"/>
      <c r="N60" s="14"/>
      <c r="O60" s="14"/>
      <c r="P60" s="14"/>
      <c r="Q60" s="14"/>
      <c r="R60" s="14"/>
      <c r="S60" s="14"/>
      <c r="T60" s="14"/>
      <c r="U60" s="14"/>
      <c r="V60" s="14"/>
      <c r="W60" s="14"/>
    </row>
    <row r="61" spans="1:23" ht="17.100000000000001" customHeight="1">
      <c r="A61" s="14" t="s">
        <v>704</v>
      </c>
      <c r="B61" s="14"/>
      <c r="C61" s="14"/>
      <c r="D61" s="14"/>
      <c r="E61" s="14"/>
      <c r="F61" s="14"/>
      <c r="G61" s="14"/>
      <c r="H61" s="14"/>
      <c r="I61" s="14"/>
      <c r="J61" s="14"/>
      <c r="K61" s="14"/>
      <c r="L61" s="14"/>
      <c r="M61" s="14"/>
      <c r="N61" s="14"/>
      <c r="O61" s="14"/>
      <c r="P61" s="14"/>
      <c r="Q61" s="14"/>
      <c r="R61" s="14"/>
      <c r="S61" s="14"/>
      <c r="T61" s="14"/>
      <c r="U61" s="14"/>
      <c r="V61" s="14"/>
      <c r="W61" s="14"/>
    </row>
    <row r="62" spans="1:23" ht="17.100000000000001" customHeight="1">
      <c r="A62" s="14" t="s">
        <v>761</v>
      </c>
      <c r="B62" s="14"/>
      <c r="C62" s="14"/>
      <c r="D62" s="14"/>
      <c r="E62" s="14"/>
      <c r="F62" s="14"/>
      <c r="G62" s="14"/>
      <c r="H62" s="14"/>
      <c r="I62" s="14"/>
      <c r="J62" s="14"/>
      <c r="K62" s="14"/>
      <c r="L62" s="14"/>
      <c r="M62" s="14"/>
      <c r="N62" s="14"/>
      <c r="O62" s="14"/>
      <c r="P62" s="14"/>
      <c r="Q62" s="14"/>
      <c r="R62" s="14"/>
      <c r="S62" s="14"/>
      <c r="T62" s="14"/>
      <c r="U62" s="14"/>
      <c r="V62" s="14"/>
      <c r="W62" s="14"/>
    </row>
    <row r="63" spans="1:23" ht="17.100000000000001" customHeight="1">
      <c r="A63" s="14" t="s">
        <v>762</v>
      </c>
      <c r="B63" s="14"/>
      <c r="C63" s="14"/>
      <c r="D63" s="14"/>
      <c r="E63" s="14"/>
      <c r="F63" s="14"/>
      <c r="G63" s="14"/>
      <c r="H63" s="14"/>
      <c r="I63" s="14"/>
      <c r="J63" s="14"/>
      <c r="K63" s="14"/>
      <c r="L63" s="14"/>
      <c r="M63" s="14"/>
      <c r="N63" s="14"/>
      <c r="O63" s="14"/>
      <c r="P63" s="14"/>
      <c r="Q63" s="14"/>
      <c r="R63" s="14"/>
      <c r="S63" s="14"/>
      <c r="T63" s="14"/>
      <c r="U63" s="14"/>
      <c r="V63" s="14"/>
      <c r="W63" s="14"/>
    </row>
    <row r="64" spans="1:23" ht="17.100000000000001" customHeight="1">
      <c r="A64" s="14" t="s">
        <v>710</v>
      </c>
      <c r="B64" s="14"/>
      <c r="C64" s="14"/>
      <c r="D64" s="14"/>
      <c r="E64" s="14"/>
      <c r="F64" s="14"/>
      <c r="G64" s="14"/>
      <c r="H64" s="14"/>
      <c r="I64" s="14"/>
      <c r="J64" s="14"/>
      <c r="K64" s="14"/>
      <c r="L64" s="14"/>
      <c r="M64" s="14"/>
      <c r="N64" s="14"/>
      <c r="O64" s="14"/>
      <c r="P64" s="14"/>
      <c r="Q64" s="14"/>
      <c r="R64" s="14"/>
      <c r="S64" s="14"/>
      <c r="T64" s="14"/>
      <c r="U64" s="14"/>
      <c r="V64" s="14"/>
      <c r="W64"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249977111117893"/>
  </sheetPr>
  <dimension ref="A1:X113"/>
  <sheetViews>
    <sheetView showGridLines="0" workbookViewId="0"/>
  </sheetViews>
  <sheetFormatPr defaultColWidth="35.125" defaultRowHeight="15.75"/>
  <cols>
    <col min="1" max="2" width="12" style="181" customWidth="1"/>
    <col min="3" max="3" width="36" style="181" customWidth="1"/>
    <col min="4" max="5" width="16" style="181" customWidth="1"/>
    <col min="6" max="7" width="16" style="87" customWidth="1"/>
    <col min="8" max="8" width="16" style="181" customWidth="1"/>
    <col min="9" max="10" width="16" style="87" customWidth="1"/>
    <col min="11" max="13" width="16" style="181" customWidth="1"/>
    <col min="14" max="16" width="16" style="87" customWidth="1"/>
    <col min="17" max="18" width="16" style="181" customWidth="1"/>
    <col min="19" max="24" width="16" style="87" customWidth="1"/>
    <col min="25" max="16384" width="35.125" style="181"/>
  </cols>
  <sheetData>
    <row r="1" spans="1:24" s="52" customFormat="1" ht="30.75" customHeight="1">
      <c r="F1" s="52" t="s">
        <v>4341</v>
      </c>
    </row>
    <row r="2" spans="1:24" s="188" customFormat="1" ht="40.5" customHeight="1">
      <c r="A2" s="186" t="s">
        <v>477</v>
      </c>
      <c r="B2" s="186" t="s">
        <v>478</v>
      </c>
      <c r="C2" s="186" t="s">
        <v>763</v>
      </c>
      <c r="D2" s="186" t="s">
        <v>35</v>
      </c>
      <c r="E2" s="186" t="s">
        <v>482</v>
      </c>
      <c r="F2" s="186" t="s">
        <v>483</v>
      </c>
      <c r="G2" s="186" t="s">
        <v>484</v>
      </c>
      <c r="H2" s="186" t="s">
        <v>485</v>
      </c>
      <c r="I2" s="186" t="s">
        <v>486</v>
      </c>
      <c r="J2" s="186" t="s">
        <v>487</v>
      </c>
      <c r="K2" s="186" t="s">
        <v>488</v>
      </c>
      <c r="L2" s="186" t="s">
        <v>489</v>
      </c>
      <c r="M2" s="186" t="s">
        <v>490</v>
      </c>
      <c r="N2" s="186" t="s">
        <v>491</v>
      </c>
      <c r="O2" s="186" t="s">
        <v>492</v>
      </c>
      <c r="P2" s="186" t="s">
        <v>493</v>
      </c>
      <c r="Q2" s="186" t="s">
        <v>494</v>
      </c>
      <c r="R2" s="186" t="s">
        <v>495</v>
      </c>
      <c r="S2" s="186" t="s">
        <v>680</v>
      </c>
      <c r="T2" s="186" t="s">
        <v>681</v>
      </c>
      <c r="U2" s="186" t="s">
        <v>682</v>
      </c>
      <c r="V2" s="186" t="s">
        <v>683</v>
      </c>
      <c r="W2" s="187"/>
      <c r="X2" s="187"/>
    </row>
    <row r="3" spans="1:24" ht="18" customHeight="1">
      <c r="A3" s="172">
        <v>2024</v>
      </c>
      <c r="B3" s="155" t="s">
        <v>46</v>
      </c>
      <c r="C3" s="152" t="s">
        <v>764</v>
      </c>
      <c r="D3" s="155" t="s">
        <v>45</v>
      </c>
      <c r="E3" s="182">
        <v>292</v>
      </c>
      <c r="F3" s="182">
        <v>226</v>
      </c>
      <c r="G3" s="182">
        <v>139</v>
      </c>
      <c r="H3" s="182">
        <v>87</v>
      </c>
      <c r="I3" s="182">
        <v>55</v>
      </c>
      <c r="J3" s="182">
        <v>52</v>
      </c>
      <c r="K3" s="182">
        <v>3</v>
      </c>
      <c r="L3" s="182">
        <v>47</v>
      </c>
      <c r="M3" s="182">
        <v>15</v>
      </c>
      <c r="N3" s="182">
        <v>230</v>
      </c>
      <c r="O3" s="182">
        <v>101</v>
      </c>
      <c r="P3" s="182">
        <v>190</v>
      </c>
      <c r="Q3" s="182">
        <v>22</v>
      </c>
      <c r="R3" s="182">
        <v>64</v>
      </c>
      <c r="S3" s="155">
        <v>238</v>
      </c>
      <c r="T3" s="155">
        <v>54</v>
      </c>
      <c r="U3" s="155">
        <v>89</v>
      </c>
      <c r="V3" s="155">
        <v>421</v>
      </c>
      <c r="W3" s="151"/>
      <c r="X3" s="151"/>
    </row>
    <row r="4" spans="1:24" ht="18" customHeight="1">
      <c r="A4" s="172">
        <v>2024</v>
      </c>
      <c r="B4" s="155" t="s">
        <v>53</v>
      </c>
      <c r="C4" s="152" t="s">
        <v>765</v>
      </c>
      <c r="D4" s="155" t="s">
        <v>45</v>
      </c>
      <c r="E4" s="182">
        <v>148</v>
      </c>
      <c r="F4" s="182">
        <v>130</v>
      </c>
      <c r="G4" s="182">
        <v>13</v>
      </c>
      <c r="H4" s="182">
        <v>117</v>
      </c>
      <c r="I4" s="182">
        <v>13</v>
      </c>
      <c r="J4" s="182">
        <v>7</v>
      </c>
      <c r="K4" s="182">
        <v>6</v>
      </c>
      <c r="L4" s="182">
        <v>11</v>
      </c>
      <c r="M4" s="182">
        <v>3</v>
      </c>
      <c r="N4" s="182">
        <v>134</v>
      </c>
      <c r="O4" s="182">
        <v>55</v>
      </c>
      <c r="P4" s="182">
        <v>91</v>
      </c>
      <c r="Q4" s="182">
        <v>7</v>
      </c>
      <c r="R4" s="182">
        <v>58</v>
      </c>
      <c r="S4" s="155">
        <v>12</v>
      </c>
      <c r="T4" s="155">
        <v>30</v>
      </c>
      <c r="U4" s="155">
        <v>32</v>
      </c>
      <c r="V4" s="155">
        <v>221</v>
      </c>
      <c r="W4" s="151"/>
      <c r="X4" s="151"/>
    </row>
    <row r="5" spans="1:24" ht="18" customHeight="1">
      <c r="A5" s="172">
        <v>2024</v>
      </c>
      <c r="B5" s="155" t="s">
        <v>60</v>
      </c>
      <c r="C5" s="152" t="s">
        <v>766</v>
      </c>
      <c r="D5" s="155" t="s">
        <v>45</v>
      </c>
      <c r="E5" s="182">
        <v>783</v>
      </c>
      <c r="F5" s="182">
        <v>639</v>
      </c>
      <c r="G5" s="182">
        <v>183</v>
      </c>
      <c r="H5" s="182">
        <v>456</v>
      </c>
      <c r="I5" s="182">
        <v>39</v>
      </c>
      <c r="J5" s="182">
        <v>25</v>
      </c>
      <c r="K5" s="182">
        <v>14</v>
      </c>
      <c r="L5" s="182">
        <v>88</v>
      </c>
      <c r="M5" s="182">
        <v>68</v>
      </c>
      <c r="N5" s="182">
        <v>627</v>
      </c>
      <c r="O5" s="182">
        <v>312</v>
      </c>
      <c r="P5" s="182">
        <v>463</v>
      </c>
      <c r="Q5" s="182">
        <v>51</v>
      </c>
      <c r="R5" s="182">
        <v>117</v>
      </c>
      <c r="S5" s="155">
        <v>402</v>
      </c>
      <c r="T5" s="155">
        <v>86</v>
      </c>
      <c r="U5" s="155">
        <v>453</v>
      </c>
      <c r="V5" s="155">
        <v>880</v>
      </c>
      <c r="W5" s="151"/>
      <c r="X5" s="151"/>
    </row>
    <row r="6" spans="1:24" ht="18" customHeight="1">
      <c r="A6" s="172">
        <v>2024</v>
      </c>
      <c r="B6" s="155" t="s">
        <v>69</v>
      </c>
      <c r="C6" s="152" t="s">
        <v>767</v>
      </c>
      <c r="D6" s="155" t="s">
        <v>68</v>
      </c>
      <c r="E6" s="182">
        <v>273</v>
      </c>
      <c r="F6" s="182">
        <v>258</v>
      </c>
      <c r="G6" s="182">
        <v>145</v>
      </c>
      <c r="H6" s="182">
        <v>113</v>
      </c>
      <c r="I6" s="182">
        <v>8</v>
      </c>
      <c r="J6" s="182">
        <v>8</v>
      </c>
      <c r="K6" s="182">
        <v>0</v>
      </c>
      <c r="L6" s="182">
        <v>9</v>
      </c>
      <c r="M6" s="182">
        <v>26</v>
      </c>
      <c r="N6" s="182">
        <v>238</v>
      </c>
      <c r="O6" s="182">
        <v>82</v>
      </c>
      <c r="P6" s="182">
        <v>184</v>
      </c>
      <c r="Q6" s="182">
        <v>6</v>
      </c>
      <c r="R6" s="182">
        <v>5</v>
      </c>
      <c r="S6" s="155">
        <v>146</v>
      </c>
      <c r="T6" s="155">
        <v>78</v>
      </c>
      <c r="U6" s="155">
        <v>58</v>
      </c>
      <c r="V6" s="155">
        <v>382</v>
      </c>
      <c r="W6" s="151"/>
      <c r="X6" s="151"/>
    </row>
    <row r="7" spans="1:24" ht="18" customHeight="1">
      <c r="A7" s="172">
        <v>2024</v>
      </c>
      <c r="B7" s="155" t="s">
        <v>75</v>
      </c>
      <c r="C7" s="152" t="s">
        <v>768</v>
      </c>
      <c r="D7" s="155" t="s">
        <v>68</v>
      </c>
      <c r="E7" s="182">
        <v>469</v>
      </c>
      <c r="F7" s="182">
        <v>392</v>
      </c>
      <c r="G7" s="182">
        <v>175</v>
      </c>
      <c r="H7" s="182">
        <v>217</v>
      </c>
      <c r="I7" s="182">
        <v>25</v>
      </c>
      <c r="J7" s="182">
        <v>12</v>
      </c>
      <c r="K7" s="182">
        <v>13</v>
      </c>
      <c r="L7" s="182">
        <v>54</v>
      </c>
      <c r="M7" s="182">
        <v>25</v>
      </c>
      <c r="N7" s="182">
        <v>390</v>
      </c>
      <c r="O7" s="182">
        <v>189</v>
      </c>
      <c r="P7" s="182">
        <v>278</v>
      </c>
      <c r="Q7" s="182">
        <v>22</v>
      </c>
      <c r="R7" s="182">
        <v>74</v>
      </c>
      <c r="S7" s="155">
        <v>376</v>
      </c>
      <c r="T7" s="155">
        <v>53</v>
      </c>
      <c r="U7" s="155">
        <v>516</v>
      </c>
      <c r="V7" s="155">
        <v>200</v>
      </c>
      <c r="W7" s="151"/>
      <c r="X7" s="151"/>
    </row>
    <row r="8" spans="1:24" ht="18" customHeight="1">
      <c r="A8" s="172">
        <v>2024</v>
      </c>
      <c r="B8" s="155" t="s">
        <v>81</v>
      </c>
      <c r="C8" s="152" t="s">
        <v>769</v>
      </c>
      <c r="D8" s="155" t="s">
        <v>68</v>
      </c>
      <c r="E8" s="182">
        <v>299</v>
      </c>
      <c r="F8" s="182">
        <v>224</v>
      </c>
      <c r="G8" s="182">
        <v>70</v>
      </c>
      <c r="H8" s="182">
        <v>154</v>
      </c>
      <c r="I8" s="182">
        <v>7</v>
      </c>
      <c r="J8" s="182">
        <v>1</v>
      </c>
      <c r="K8" s="182">
        <v>6</v>
      </c>
      <c r="L8" s="182">
        <v>47</v>
      </c>
      <c r="M8" s="182">
        <v>17</v>
      </c>
      <c r="N8" s="182">
        <v>235</v>
      </c>
      <c r="O8" s="182">
        <v>138</v>
      </c>
      <c r="P8" s="182">
        <v>158</v>
      </c>
      <c r="Q8" s="182">
        <v>26</v>
      </c>
      <c r="R8" s="182">
        <v>5</v>
      </c>
      <c r="S8" s="155">
        <v>42</v>
      </c>
      <c r="T8" s="155">
        <v>70</v>
      </c>
      <c r="U8" s="155">
        <v>374</v>
      </c>
      <c r="V8" s="155">
        <v>30</v>
      </c>
      <c r="W8" s="151"/>
      <c r="X8" s="151"/>
    </row>
    <row r="9" spans="1:24" ht="18" customHeight="1">
      <c r="A9" s="172">
        <v>2023</v>
      </c>
      <c r="B9" s="155" t="s">
        <v>46</v>
      </c>
      <c r="C9" s="152" t="s">
        <v>764</v>
      </c>
      <c r="D9" s="155" t="s">
        <v>45</v>
      </c>
      <c r="E9" s="182">
        <v>223</v>
      </c>
      <c r="F9" s="182">
        <v>171</v>
      </c>
      <c r="G9" s="182">
        <v>104</v>
      </c>
      <c r="H9" s="182">
        <v>67</v>
      </c>
      <c r="I9" s="182">
        <v>52</v>
      </c>
      <c r="J9" s="182">
        <v>47</v>
      </c>
      <c r="K9" s="182">
        <v>5</v>
      </c>
      <c r="L9" s="182">
        <v>38</v>
      </c>
      <c r="M9" s="182">
        <v>2</v>
      </c>
      <c r="N9" s="182">
        <v>183</v>
      </c>
      <c r="O9" s="182">
        <v>64</v>
      </c>
      <c r="P9" s="182">
        <v>159</v>
      </c>
      <c r="Q9" s="182">
        <v>17</v>
      </c>
      <c r="R9" s="182">
        <v>50</v>
      </c>
      <c r="S9" s="155">
        <v>221</v>
      </c>
      <c r="T9" s="155">
        <v>52</v>
      </c>
      <c r="U9" s="155">
        <v>93</v>
      </c>
      <c r="V9" s="155">
        <v>414</v>
      </c>
      <c r="W9" s="151"/>
      <c r="X9" s="151"/>
    </row>
    <row r="10" spans="1:24" ht="18" customHeight="1">
      <c r="A10" s="172">
        <v>2023</v>
      </c>
      <c r="B10" s="155" t="s">
        <v>53</v>
      </c>
      <c r="C10" s="152" t="s">
        <v>765</v>
      </c>
      <c r="D10" s="155" t="s">
        <v>45</v>
      </c>
      <c r="E10" s="182">
        <v>122</v>
      </c>
      <c r="F10" s="182">
        <v>96</v>
      </c>
      <c r="G10" s="182">
        <v>13</v>
      </c>
      <c r="H10" s="182">
        <v>83</v>
      </c>
      <c r="I10" s="182">
        <v>15</v>
      </c>
      <c r="J10" s="182">
        <v>8</v>
      </c>
      <c r="K10" s="182">
        <v>7</v>
      </c>
      <c r="L10" s="182">
        <v>15</v>
      </c>
      <c r="M10" s="182">
        <v>3</v>
      </c>
      <c r="N10" s="182">
        <v>104</v>
      </c>
      <c r="O10" s="182">
        <v>44</v>
      </c>
      <c r="P10" s="182">
        <v>76</v>
      </c>
      <c r="Q10" s="182">
        <v>6</v>
      </c>
      <c r="R10" s="182">
        <v>58</v>
      </c>
      <c r="S10" s="155">
        <v>13</v>
      </c>
      <c r="T10" s="155">
        <v>30</v>
      </c>
      <c r="U10" s="155">
        <v>31</v>
      </c>
      <c r="V10" s="155">
        <v>208</v>
      </c>
      <c r="W10" s="151"/>
      <c r="X10" s="151"/>
    </row>
    <row r="11" spans="1:24" ht="18" customHeight="1">
      <c r="A11" s="172">
        <v>2023</v>
      </c>
      <c r="B11" s="155" t="s">
        <v>60</v>
      </c>
      <c r="C11" s="152" t="s">
        <v>766</v>
      </c>
      <c r="D11" s="155" t="s">
        <v>45</v>
      </c>
      <c r="E11" s="182">
        <v>678</v>
      </c>
      <c r="F11" s="182">
        <v>544</v>
      </c>
      <c r="G11" s="182">
        <v>186</v>
      </c>
      <c r="H11" s="182">
        <v>358</v>
      </c>
      <c r="I11" s="182">
        <v>42</v>
      </c>
      <c r="J11" s="182">
        <v>25</v>
      </c>
      <c r="K11" s="182">
        <v>17</v>
      </c>
      <c r="L11" s="182">
        <v>89</v>
      </c>
      <c r="M11" s="182">
        <v>60</v>
      </c>
      <c r="N11" s="182">
        <v>529</v>
      </c>
      <c r="O11" s="182">
        <v>260</v>
      </c>
      <c r="P11" s="182">
        <v>412</v>
      </c>
      <c r="Q11" s="182">
        <v>40</v>
      </c>
      <c r="R11" s="182">
        <v>120</v>
      </c>
      <c r="S11" s="155">
        <v>400</v>
      </c>
      <c r="T11" s="155">
        <v>70</v>
      </c>
      <c r="U11" s="155">
        <v>323</v>
      </c>
      <c r="V11" s="155">
        <v>857</v>
      </c>
      <c r="W11" s="151"/>
      <c r="X11" s="151"/>
    </row>
    <row r="12" spans="1:24" ht="18" customHeight="1">
      <c r="A12" s="172">
        <v>2023</v>
      </c>
      <c r="B12" s="155" t="s">
        <v>69</v>
      </c>
      <c r="C12" s="152" t="s">
        <v>767</v>
      </c>
      <c r="D12" s="155" t="s">
        <v>68</v>
      </c>
      <c r="E12" s="182">
        <v>315</v>
      </c>
      <c r="F12" s="182">
        <v>272</v>
      </c>
      <c r="G12" s="182">
        <v>186</v>
      </c>
      <c r="H12" s="182">
        <v>86</v>
      </c>
      <c r="I12" s="182">
        <v>27</v>
      </c>
      <c r="J12" s="182">
        <v>21</v>
      </c>
      <c r="K12" s="182">
        <v>6</v>
      </c>
      <c r="L12" s="182">
        <v>27</v>
      </c>
      <c r="M12" s="182">
        <v>15</v>
      </c>
      <c r="N12" s="182">
        <v>273</v>
      </c>
      <c r="O12" s="182">
        <v>92</v>
      </c>
      <c r="P12" s="182">
        <v>218</v>
      </c>
      <c r="Q12" s="182">
        <v>15</v>
      </c>
      <c r="R12" s="182">
        <v>33</v>
      </c>
      <c r="S12" s="155">
        <v>295</v>
      </c>
      <c r="T12" s="155">
        <v>78</v>
      </c>
      <c r="U12" s="155">
        <v>270</v>
      </c>
      <c r="V12" s="155">
        <v>396</v>
      </c>
      <c r="W12" s="151"/>
      <c r="X12" s="151"/>
    </row>
    <row r="13" spans="1:24" ht="18" customHeight="1">
      <c r="A13" s="172">
        <v>2023</v>
      </c>
      <c r="B13" s="155" t="s">
        <v>75</v>
      </c>
      <c r="C13" s="152" t="s">
        <v>768</v>
      </c>
      <c r="D13" s="155" t="s">
        <v>68</v>
      </c>
      <c r="E13" s="182">
        <v>412</v>
      </c>
      <c r="F13" s="182">
        <v>344</v>
      </c>
      <c r="G13" s="182">
        <v>131</v>
      </c>
      <c r="H13" s="182">
        <v>213</v>
      </c>
      <c r="I13" s="182">
        <v>23</v>
      </c>
      <c r="J13" s="182">
        <v>8</v>
      </c>
      <c r="K13" s="182">
        <v>15</v>
      </c>
      <c r="L13" s="182">
        <v>45</v>
      </c>
      <c r="M13" s="182">
        <v>23</v>
      </c>
      <c r="N13" s="182">
        <v>344</v>
      </c>
      <c r="O13" s="182">
        <v>164</v>
      </c>
      <c r="P13" s="182">
        <v>246</v>
      </c>
      <c r="Q13" s="182">
        <v>23</v>
      </c>
      <c r="R13" s="182">
        <v>78</v>
      </c>
      <c r="S13" s="155">
        <v>288</v>
      </c>
      <c r="T13" s="155">
        <v>40</v>
      </c>
      <c r="U13" s="155">
        <v>554</v>
      </c>
      <c r="V13" s="155">
        <v>278</v>
      </c>
      <c r="W13" s="151"/>
      <c r="X13" s="151"/>
    </row>
    <row r="14" spans="1:24" ht="18" customHeight="1">
      <c r="A14" s="172">
        <v>2023</v>
      </c>
      <c r="B14" s="155" t="s">
        <v>81</v>
      </c>
      <c r="C14" s="152" t="s">
        <v>769</v>
      </c>
      <c r="D14" s="155" t="s">
        <v>68</v>
      </c>
      <c r="E14" s="182">
        <v>255</v>
      </c>
      <c r="F14" s="182">
        <v>162</v>
      </c>
      <c r="G14" s="182">
        <v>32</v>
      </c>
      <c r="H14" s="182">
        <v>130</v>
      </c>
      <c r="I14" s="182">
        <v>11</v>
      </c>
      <c r="J14" s="182">
        <v>2</v>
      </c>
      <c r="K14" s="182">
        <v>9</v>
      </c>
      <c r="L14" s="182">
        <v>58</v>
      </c>
      <c r="M14" s="182">
        <v>11</v>
      </c>
      <c r="N14" s="182">
        <v>186</v>
      </c>
      <c r="O14" s="182">
        <v>119</v>
      </c>
      <c r="P14" s="182">
        <v>135</v>
      </c>
      <c r="Q14" s="182">
        <v>31</v>
      </c>
      <c r="R14" s="182">
        <v>8</v>
      </c>
      <c r="S14" s="155">
        <v>51</v>
      </c>
      <c r="T14" s="155">
        <v>74</v>
      </c>
      <c r="U14" s="155">
        <v>265</v>
      </c>
      <c r="V14" s="155">
        <v>30</v>
      </c>
      <c r="W14" s="151"/>
      <c r="X14" s="151"/>
    </row>
    <row r="15" spans="1:24" ht="18" customHeight="1">
      <c r="A15" s="172">
        <v>2022</v>
      </c>
      <c r="B15" s="155" t="s">
        <v>46</v>
      </c>
      <c r="C15" s="152" t="s">
        <v>764</v>
      </c>
      <c r="D15" s="155" t="s">
        <v>45</v>
      </c>
      <c r="E15" s="182">
        <v>255</v>
      </c>
      <c r="F15" s="182">
        <v>210</v>
      </c>
      <c r="G15" s="182">
        <v>111</v>
      </c>
      <c r="H15" s="182">
        <v>99</v>
      </c>
      <c r="I15" s="182">
        <v>49</v>
      </c>
      <c r="J15" s="182">
        <v>45</v>
      </c>
      <c r="K15" s="182">
        <v>4</v>
      </c>
      <c r="L15" s="182">
        <v>30</v>
      </c>
      <c r="M15" s="182">
        <v>12</v>
      </c>
      <c r="N15" s="182">
        <v>213</v>
      </c>
      <c r="O15" s="182">
        <v>77</v>
      </c>
      <c r="P15" s="182">
        <v>177</v>
      </c>
      <c r="Q15" s="182">
        <v>14</v>
      </c>
      <c r="R15" s="182">
        <v>77</v>
      </c>
      <c r="S15" s="155">
        <v>164</v>
      </c>
      <c r="T15" s="155">
        <v>52</v>
      </c>
      <c r="U15" s="155">
        <v>149</v>
      </c>
      <c r="V15" s="155">
        <v>489</v>
      </c>
      <c r="W15" s="151"/>
      <c r="X15" s="151"/>
    </row>
    <row r="16" spans="1:24" ht="18" customHeight="1">
      <c r="A16" s="172">
        <v>2022</v>
      </c>
      <c r="B16" s="155" t="s">
        <v>53</v>
      </c>
      <c r="C16" s="152" t="s">
        <v>765</v>
      </c>
      <c r="D16" s="155" t="s">
        <v>45</v>
      </c>
      <c r="E16" s="182">
        <v>75</v>
      </c>
      <c r="F16" s="182">
        <v>46</v>
      </c>
      <c r="G16" s="182">
        <v>9</v>
      </c>
      <c r="H16" s="182">
        <v>37</v>
      </c>
      <c r="I16" s="182">
        <v>9</v>
      </c>
      <c r="J16" s="182">
        <v>5</v>
      </c>
      <c r="K16" s="182">
        <v>4</v>
      </c>
      <c r="L16" s="182">
        <v>20</v>
      </c>
      <c r="M16" s="182">
        <v>8</v>
      </c>
      <c r="N16" s="182">
        <v>47</v>
      </c>
      <c r="O16" s="182">
        <v>32</v>
      </c>
      <c r="P16" s="182">
        <v>41</v>
      </c>
      <c r="Q16" s="182">
        <v>7</v>
      </c>
      <c r="R16" s="182">
        <v>24</v>
      </c>
      <c r="S16" s="155">
        <v>22</v>
      </c>
      <c r="T16" s="155">
        <v>30</v>
      </c>
      <c r="U16" s="155">
        <v>33</v>
      </c>
      <c r="V16" s="155">
        <v>211</v>
      </c>
      <c r="W16" s="151"/>
      <c r="X16" s="151"/>
    </row>
    <row r="17" spans="1:24" ht="18" customHeight="1">
      <c r="A17" s="172">
        <v>2022</v>
      </c>
      <c r="B17" s="155" t="s">
        <v>60</v>
      </c>
      <c r="C17" s="152" t="s">
        <v>766</v>
      </c>
      <c r="D17" s="155" t="s">
        <v>45</v>
      </c>
      <c r="E17" s="182">
        <v>4731</v>
      </c>
      <c r="F17" s="182">
        <v>1251</v>
      </c>
      <c r="G17" s="182">
        <v>678</v>
      </c>
      <c r="H17" s="182">
        <v>573</v>
      </c>
      <c r="I17" s="182">
        <v>69</v>
      </c>
      <c r="J17" s="182">
        <v>40</v>
      </c>
      <c r="K17" s="182">
        <v>29</v>
      </c>
      <c r="L17" s="182">
        <v>1766</v>
      </c>
      <c r="M17" s="182">
        <v>50</v>
      </c>
      <c r="N17" s="182">
        <v>2915</v>
      </c>
      <c r="O17" s="182">
        <v>2249</v>
      </c>
      <c r="P17" s="182">
        <v>2470</v>
      </c>
      <c r="Q17" s="182">
        <v>1318</v>
      </c>
      <c r="R17" s="182">
        <v>140</v>
      </c>
      <c r="S17" s="155">
        <v>4232</v>
      </c>
      <c r="T17" s="155">
        <v>156</v>
      </c>
      <c r="U17" s="155">
        <v>495</v>
      </c>
      <c r="V17" s="155">
        <v>704</v>
      </c>
      <c r="W17" s="151"/>
      <c r="X17" s="151"/>
    </row>
    <row r="18" spans="1:24" ht="18" customHeight="1">
      <c r="A18" s="172">
        <v>2022</v>
      </c>
      <c r="B18" s="155" t="s">
        <v>69</v>
      </c>
      <c r="C18" s="152" t="s">
        <v>767</v>
      </c>
      <c r="D18" s="155" t="s">
        <v>68</v>
      </c>
      <c r="E18" s="182">
        <v>654</v>
      </c>
      <c r="F18" s="182">
        <v>617</v>
      </c>
      <c r="G18" s="182">
        <v>139</v>
      </c>
      <c r="H18" s="182">
        <v>478</v>
      </c>
      <c r="I18" s="182">
        <v>105</v>
      </c>
      <c r="J18" s="182">
        <v>20</v>
      </c>
      <c r="K18" s="182">
        <v>85</v>
      </c>
      <c r="L18" s="182">
        <v>26</v>
      </c>
      <c r="M18" s="182">
        <v>95</v>
      </c>
      <c r="N18" s="182">
        <v>533</v>
      </c>
      <c r="O18" s="182">
        <v>219</v>
      </c>
      <c r="P18" s="182">
        <v>422</v>
      </c>
      <c r="Q18" s="182">
        <v>13</v>
      </c>
      <c r="R18" s="182">
        <v>56</v>
      </c>
      <c r="S18" s="155">
        <v>158</v>
      </c>
      <c r="T18" s="155">
        <v>160</v>
      </c>
      <c r="U18" s="155">
        <v>101</v>
      </c>
      <c r="V18" s="155">
        <v>113</v>
      </c>
      <c r="W18" s="151"/>
      <c r="X18" s="151"/>
    </row>
    <row r="19" spans="1:24" ht="18" customHeight="1">
      <c r="A19" s="172">
        <v>2022</v>
      </c>
      <c r="B19" s="155" t="s">
        <v>75</v>
      </c>
      <c r="C19" s="152" t="s">
        <v>768</v>
      </c>
      <c r="D19" s="155" t="s">
        <v>68</v>
      </c>
      <c r="E19" s="182">
        <v>342</v>
      </c>
      <c r="F19" s="182">
        <v>298</v>
      </c>
      <c r="G19" s="182">
        <v>160</v>
      </c>
      <c r="H19" s="182">
        <v>138</v>
      </c>
      <c r="I19" s="182">
        <v>25</v>
      </c>
      <c r="J19" s="182">
        <v>15</v>
      </c>
      <c r="K19" s="182">
        <v>10</v>
      </c>
      <c r="L19" s="182">
        <v>29</v>
      </c>
      <c r="M19" s="182">
        <v>14</v>
      </c>
      <c r="N19" s="182">
        <v>299</v>
      </c>
      <c r="O19" s="182">
        <v>145</v>
      </c>
      <c r="P19" s="182">
        <v>195</v>
      </c>
      <c r="Q19" s="182">
        <v>17</v>
      </c>
      <c r="R19" s="182">
        <v>43</v>
      </c>
      <c r="S19" s="155">
        <v>318</v>
      </c>
      <c r="T19" s="155">
        <v>44</v>
      </c>
      <c r="U19" s="155">
        <v>671</v>
      </c>
      <c r="V19" s="155">
        <v>294</v>
      </c>
      <c r="W19" s="151"/>
      <c r="X19" s="151"/>
    </row>
    <row r="20" spans="1:24" ht="18" customHeight="1">
      <c r="A20" s="172">
        <v>2022</v>
      </c>
      <c r="B20" s="155" t="s">
        <v>81</v>
      </c>
      <c r="C20" s="152" t="s">
        <v>769</v>
      </c>
      <c r="D20" s="155" t="s">
        <v>68</v>
      </c>
      <c r="E20" s="182">
        <v>200</v>
      </c>
      <c r="F20" s="182">
        <v>176</v>
      </c>
      <c r="G20" s="182">
        <v>45</v>
      </c>
      <c r="H20" s="182">
        <v>131</v>
      </c>
      <c r="I20" s="182">
        <v>9</v>
      </c>
      <c r="J20" s="182">
        <v>0</v>
      </c>
      <c r="K20" s="182">
        <v>9</v>
      </c>
      <c r="L20" s="182">
        <v>15</v>
      </c>
      <c r="M20" s="182">
        <v>16</v>
      </c>
      <c r="N20" s="182">
        <v>169</v>
      </c>
      <c r="O20" s="182">
        <v>81</v>
      </c>
      <c r="P20" s="182">
        <v>119</v>
      </c>
      <c r="Q20" s="182">
        <v>8</v>
      </c>
      <c r="R20" s="182">
        <v>6</v>
      </c>
      <c r="S20" s="155">
        <v>49</v>
      </c>
      <c r="T20" s="155">
        <v>18</v>
      </c>
      <c r="U20" s="155">
        <v>479</v>
      </c>
      <c r="V20" s="155">
        <v>72</v>
      </c>
      <c r="W20" s="151"/>
      <c r="X20" s="151"/>
    </row>
    <row r="21" spans="1:24" ht="18" customHeight="1">
      <c r="A21" s="172">
        <v>2021</v>
      </c>
      <c r="B21" s="155" t="s">
        <v>46</v>
      </c>
      <c r="C21" s="152" t="s">
        <v>764</v>
      </c>
      <c r="D21" s="155" t="s">
        <v>45</v>
      </c>
      <c r="E21" s="182">
        <v>198</v>
      </c>
      <c r="F21" s="182">
        <v>150</v>
      </c>
      <c r="G21" s="182">
        <v>114</v>
      </c>
      <c r="H21" s="182">
        <v>36</v>
      </c>
      <c r="I21" s="182">
        <v>40</v>
      </c>
      <c r="J21" s="182">
        <v>36</v>
      </c>
      <c r="K21" s="182">
        <v>4</v>
      </c>
      <c r="L21" s="182">
        <v>32</v>
      </c>
      <c r="M21" s="182">
        <v>5</v>
      </c>
      <c r="N21" s="182">
        <v>161</v>
      </c>
      <c r="O21" s="182">
        <v>61</v>
      </c>
      <c r="P21" s="182">
        <v>136</v>
      </c>
      <c r="Q21" s="182">
        <v>16</v>
      </c>
      <c r="R21" s="182">
        <v>55</v>
      </c>
      <c r="S21" s="155">
        <v>196</v>
      </c>
      <c r="T21" s="155">
        <v>52</v>
      </c>
      <c r="U21" s="155">
        <v>153</v>
      </c>
      <c r="V21" s="155">
        <v>574</v>
      </c>
      <c r="W21" s="151"/>
      <c r="X21" s="151"/>
    </row>
    <row r="22" spans="1:24" ht="18" customHeight="1">
      <c r="A22" s="172">
        <v>2021</v>
      </c>
      <c r="B22" s="155" t="s">
        <v>53</v>
      </c>
      <c r="C22" s="152" t="s">
        <v>765</v>
      </c>
      <c r="D22" s="155" t="s">
        <v>45</v>
      </c>
      <c r="E22" s="182">
        <v>64</v>
      </c>
      <c r="F22" s="182">
        <v>45</v>
      </c>
      <c r="G22" s="182">
        <v>45</v>
      </c>
      <c r="H22" s="182">
        <v>0</v>
      </c>
      <c r="I22" s="182">
        <v>10</v>
      </c>
      <c r="J22" s="182">
        <v>10</v>
      </c>
      <c r="K22" s="182">
        <v>0</v>
      </c>
      <c r="L22" s="182">
        <v>11</v>
      </c>
      <c r="M22" s="182">
        <v>4</v>
      </c>
      <c r="N22" s="182">
        <v>49</v>
      </c>
      <c r="O22" s="182">
        <v>32</v>
      </c>
      <c r="P22" s="182">
        <v>32</v>
      </c>
      <c r="Q22" s="182">
        <v>7</v>
      </c>
      <c r="R22" s="182">
        <v>18</v>
      </c>
      <c r="S22" s="155">
        <v>63</v>
      </c>
      <c r="T22" s="155">
        <v>9</v>
      </c>
      <c r="U22" s="155">
        <v>21</v>
      </c>
      <c r="V22" s="155">
        <v>223</v>
      </c>
      <c r="W22" s="151"/>
      <c r="X22" s="151"/>
    </row>
    <row r="23" spans="1:24" ht="18" customHeight="1">
      <c r="A23" s="172">
        <v>2021</v>
      </c>
      <c r="B23" s="155" t="s">
        <v>60</v>
      </c>
      <c r="C23" s="152" t="s">
        <v>766</v>
      </c>
      <c r="D23" s="155" t="s">
        <v>45</v>
      </c>
      <c r="E23" s="182">
        <v>330</v>
      </c>
      <c r="F23" s="182">
        <v>181</v>
      </c>
      <c r="G23" s="182">
        <v>181</v>
      </c>
      <c r="H23" s="182">
        <v>0</v>
      </c>
      <c r="I23" s="182">
        <v>26</v>
      </c>
      <c r="J23" s="182">
        <v>26</v>
      </c>
      <c r="K23" s="182">
        <v>0</v>
      </c>
      <c r="L23" s="182">
        <v>100</v>
      </c>
      <c r="M23" s="182">
        <v>25</v>
      </c>
      <c r="N23" s="182">
        <v>205</v>
      </c>
      <c r="O23" s="182">
        <v>164</v>
      </c>
      <c r="P23" s="182">
        <v>165</v>
      </c>
      <c r="Q23" s="182">
        <v>45</v>
      </c>
      <c r="R23" s="182">
        <v>27</v>
      </c>
      <c r="S23" s="155">
        <v>374</v>
      </c>
      <c r="T23" s="155">
        <v>140</v>
      </c>
      <c r="U23" s="155">
        <v>379</v>
      </c>
      <c r="V23" s="155">
        <v>926</v>
      </c>
      <c r="W23" s="151"/>
      <c r="X23" s="151"/>
    </row>
    <row r="24" spans="1:24" ht="18" customHeight="1">
      <c r="A24" s="172">
        <v>2021</v>
      </c>
      <c r="B24" s="155" t="s">
        <v>69</v>
      </c>
      <c r="C24" s="152" t="s">
        <v>767</v>
      </c>
      <c r="D24" s="155" t="s">
        <v>68</v>
      </c>
      <c r="E24" s="182">
        <v>147</v>
      </c>
      <c r="F24" s="182">
        <v>129</v>
      </c>
      <c r="G24" s="182">
        <v>129</v>
      </c>
      <c r="H24" s="182">
        <v>0</v>
      </c>
      <c r="I24" s="182">
        <v>7</v>
      </c>
      <c r="J24" s="182">
        <v>7</v>
      </c>
      <c r="K24" s="182">
        <v>0</v>
      </c>
      <c r="L24" s="182">
        <v>10</v>
      </c>
      <c r="M24" s="182">
        <v>9</v>
      </c>
      <c r="N24" s="182">
        <v>128</v>
      </c>
      <c r="O24" s="182">
        <v>44</v>
      </c>
      <c r="P24" s="182">
        <v>101</v>
      </c>
      <c r="Q24" s="182">
        <v>7</v>
      </c>
      <c r="R24" s="182">
        <v>12</v>
      </c>
      <c r="S24" s="155">
        <v>188</v>
      </c>
      <c r="T24" s="155">
        <v>360</v>
      </c>
      <c r="U24" s="155">
        <v>117</v>
      </c>
      <c r="V24" s="155">
        <v>235</v>
      </c>
      <c r="W24" s="151"/>
      <c r="X24" s="151"/>
    </row>
    <row r="25" spans="1:24" ht="18" customHeight="1">
      <c r="A25" s="172">
        <v>2021</v>
      </c>
      <c r="B25" s="155" t="s">
        <v>75</v>
      </c>
      <c r="C25" s="152" t="s">
        <v>768</v>
      </c>
      <c r="D25" s="155" t="s">
        <v>68</v>
      </c>
      <c r="E25" s="182">
        <v>268</v>
      </c>
      <c r="F25" s="182">
        <v>239</v>
      </c>
      <c r="G25" s="182">
        <v>116</v>
      </c>
      <c r="H25" s="182">
        <v>123</v>
      </c>
      <c r="I25" s="182">
        <v>17</v>
      </c>
      <c r="J25" s="182">
        <v>9</v>
      </c>
      <c r="K25" s="182">
        <v>8</v>
      </c>
      <c r="L25" s="182">
        <v>19</v>
      </c>
      <c r="M25" s="182">
        <v>13</v>
      </c>
      <c r="N25" s="182">
        <v>236</v>
      </c>
      <c r="O25" s="182">
        <v>114</v>
      </c>
      <c r="P25" s="182">
        <v>154</v>
      </c>
      <c r="Q25" s="182">
        <v>10</v>
      </c>
      <c r="R25" s="182">
        <v>51</v>
      </c>
      <c r="S25" s="155">
        <v>270</v>
      </c>
      <c r="T25" s="155">
        <v>57</v>
      </c>
      <c r="U25" s="155">
        <v>570</v>
      </c>
      <c r="V25" s="155">
        <v>191</v>
      </c>
      <c r="W25" s="151"/>
      <c r="X25" s="151"/>
    </row>
    <row r="26" spans="1:24" ht="18" customHeight="1">
      <c r="A26" s="172">
        <v>2021</v>
      </c>
      <c r="B26" s="155" t="s">
        <v>81</v>
      </c>
      <c r="C26" s="152" t="s">
        <v>769</v>
      </c>
      <c r="D26" s="155" t="s">
        <v>68</v>
      </c>
      <c r="E26" s="182">
        <v>211</v>
      </c>
      <c r="F26" s="182">
        <v>170</v>
      </c>
      <c r="G26" s="182">
        <v>26</v>
      </c>
      <c r="H26" s="182">
        <v>144</v>
      </c>
      <c r="I26" s="182">
        <v>7</v>
      </c>
      <c r="J26" s="182">
        <v>1</v>
      </c>
      <c r="K26" s="182">
        <v>6</v>
      </c>
      <c r="L26" s="182">
        <v>22</v>
      </c>
      <c r="M26" s="182">
        <v>13</v>
      </c>
      <c r="N26" s="182">
        <v>176</v>
      </c>
      <c r="O26" s="182">
        <v>96</v>
      </c>
      <c r="P26" s="182">
        <v>115</v>
      </c>
      <c r="Q26" s="182">
        <v>14</v>
      </c>
      <c r="R26" s="182">
        <v>2</v>
      </c>
      <c r="S26" s="155">
        <v>31</v>
      </c>
      <c r="T26" s="155">
        <v>36</v>
      </c>
      <c r="U26" s="155">
        <v>308</v>
      </c>
      <c r="V26" s="155">
        <v>48</v>
      </c>
      <c r="W26" s="151"/>
      <c r="X26" s="151"/>
    </row>
    <row r="27" spans="1:24" ht="18" customHeight="1">
      <c r="A27" s="172">
        <v>2020</v>
      </c>
      <c r="B27" s="155" t="s">
        <v>46</v>
      </c>
      <c r="C27" s="152" t="s">
        <v>764</v>
      </c>
      <c r="D27" s="155" t="s">
        <v>45</v>
      </c>
      <c r="E27" s="182">
        <v>298</v>
      </c>
      <c r="F27" s="182">
        <v>195</v>
      </c>
      <c r="G27" s="182">
        <v>153</v>
      </c>
      <c r="H27" s="182">
        <v>42</v>
      </c>
      <c r="I27" s="182">
        <v>87</v>
      </c>
      <c r="J27" s="182">
        <v>87</v>
      </c>
      <c r="K27" s="182">
        <v>0</v>
      </c>
      <c r="L27" s="182">
        <v>67</v>
      </c>
      <c r="M27" s="182">
        <v>15</v>
      </c>
      <c r="N27" s="182">
        <v>216</v>
      </c>
      <c r="O27" s="182">
        <v>114</v>
      </c>
      <c r="P27" s="182">
        <v>183</v>
      </c>
      <c r="Q27" s="182">
        <v>32</v>
      </c>
      <c r="R27" s="182">
        <v>45</v>
      </c>
      <c r="S27" s="155">
        <v>253</v>
      </c>
      <c r="T27" s="155">
        <v>52</v>
      </c>
      <c r="U27" s="155">
        <v>152</v>
      </c>
      <c r="V27" s="155">
        <v>565</v>
      </c>
      <c r="W27" s="151"/>
      <c r="X27" s="151"/>
    </row>
    <row r="28" spans="1:24" ht="18" customHeight="1">
      <c r="A28" s="172">
        <v>2020</v>
      </c>
      <c r="B28" s="155" t="s">
        <v>53</v>
      </c>
      <c r="C28" s="152" t="s">
        <v>765</v>
      </c>
      <c r="D28" s="155" t="s">
        <v>45</v>
      </c>
      <c r="E28" s="182">
        <v>107</v>
      </c>
      <c r="F28" s="182">
        <v>82</v>
      </c>
      <c r="G28" s="182">
        <v>66</v>
      </c>
      <c r="H28" s="182">
        <v>16</v>
      </c>
      <c r="I28" s="182">
        <v>14</v>
      </c>
      <c r="J28" s="182">
        <v>12</v>
      </c>
      <c r="K28" s="182">
        <v>2</v>
      </c>
      <c r="L28" s="182">
        <v>16</v>
      </c>
      <c r="M28" s="182">
        <v>10</v>
      </c>
      <c r="N28" s="182">
        <v>81</v>
      </c>
      <c r="O28" s="182">
        <v>33</v>
      </c>
      <c r="P28" s="182">
        <v>74</v>
      </c>
      <c r="Q28" s="182">
        <v>9</v>
      </c>
      <c r="R28" s="182">
        <v>13</v>
      </c>
      <c r="S28" s="155">
        <v>58</v>
      </c>
      <c r="T28" s="155">
        <v>60</v>
      </c>
      <c r="U28" s="155">
        <v>46</v>
      </c>
      <c r="V28" s="155">
        <v>220</v>
      </c>
      <c r="W28" s="151"/>
      <c r="X28" s="151"/>
    </row>
    <row r="29" spans="1:24" ht="18" customHeight="1">
      <c r="A29" s="172">
        <v>2020</v>
      </c>
      <c r="B29" s="155" t="s">
        <v>60</v>
      </c>
      <c r="C29" s="152" t="s">
        <v>766</v>
      </c>
      <c r="D29" s="155" t="s">
        <v>45</v>
      </c>
      <c r="E29" s="182">
        <v>757</v>
      </c>
      <c r="F29" s="182">
        <v>616</v>
      </c>
      <c r="G29" s="182">
        <v>340</v>
      </c>
      <c r="H29" s="182">
        <v>276</v>
      </c>
      <c r="I29" s="182">
        <v>91</v>
      </c>
      <c r="J29" s="182">
        <v>77</v>
      </c>
      <c r="K29" s="182">
        <v>14</v>
      </c>
      <c r="L29" s="182">
        <v>106</v>
      </c>
      <c r="M29" s="182">
        <v>55</v>
      </c>
      <c r="N29" s="182">
        <v>596</v>
      </c>
      <c r="O29" s="182">
        <v>249</v>
      </c>
      <c r="P29" s="182">
        <v>507</v>
      </c>
      <c r="Q29" s="182">
        <v>40</v>
      </c>
      <c r="R29" s="182">
        <v>100</v>
      </c>
      <c r="S29" s="155">
        <v>417</v>
      </c>
      <c r="T29" s="155">
        <v>170</v>
      </c>
      <c r="U29" s="155">
        <v>445</v>
      </c>
      <c r="V29" s="155">
        <v>671</v>
      </c>
      <c r="W29" s="151"/>
      <c r="X29" s="151"/>
    </row>
    <row r="30" spans="1:24" ht="18" customHeight="1">
      <c r="A30" s="172">
        <v>2020</v>
      </c>
      <c r="B30" s="155" t="s">
        <v>69</v>
      </c>
      <c r="C30" s="152" t="s">
        <v>767</v>
      </c>
      <c r="D30" s="155" t="s">
        <v>68</v>
      </c>
      <c r="E30" s="182">
        <v>406</v>
      </c>
      <c r="F30" s="182">
        <v>300</v>
      </c>
      <c r="G30" s="182">
        <v>187</v>
      </c>
      <c r="H30" s="182">
        <v>113</v>
      </c>
      <c r="I30" s="182">
        <v>35</v>
      </c>
      <c r="J30" s="182">
        <v>23</v>
      </c>
      <c r="K30" s="182">
        <v>12</v>
      </c>
      <c r="L30" s="182">
        <v>69</v>
      </c>
      <c r="M30" s="182">
        <v>20</v>
      </c>
      <c r="N30" s="182">
        <v>317</v>
      </c>
      <c r="O30" s="182">
        <v>127</v>
      </c>
      <c r="P30" s="182">
        <v>277</v>
      </c>
      <c r="Q30" s="182">
        <v>27</v>
      </c>
      <c r="R30" s="182">
        <v>73</v>
      </c>
      <c r="S30" s="155">
        <v>193</v>
      </c>
      <c r="T30" s="155">
        <v>346</v>
      </c>
      <c r="U30" s="155">
        <v>119</v>
      </c>
      <c r="V30" s="155">
        <v>653</v>
      </c>
      <c r="W30" s="151"/>
      <c r="X30" s="151"/>
    </row>
    <row r="31" spans="1:24" ht="18" customHeight="1">
      <c r="A31" s="172">
        <v>2020</v>
      </c>
      <c r="B31" s="155" t="s">
        <v>75</v>
      </c>
      <c r="C31" s="152" t="s">
        <v>768</v>
      </c>
      <c r="D31" s="155" t="s">
        <v>68</v>
      </c>
      <c r="E31" s="182">
        <v>447</v>
      </c>
      <c r="F31" s="182">
        <v>362</v>
      </c>
      <c r="G31" s="182">
        <v>139</v>
      </c>
      <c r="H31" s="182">
        <v>223</v>
      </c>
      <c r="I31" s="182">
        <v>25</v>
      </c>
      <c r="J31" s="182">
        <v>13</v>
      </c>
      <c r="K31" s="182">
        <v>12</v>
      </c>
      <c r="L31" s="182">
        <v>56</v>
      </c>
      <c r="M31" s="182">
        <v>23</v>
      </c>
      <c r="N31" s="182">
        <v>368</v>
      </c>
      <c r="O31" s="182">
        <v>179</v>
      </c>
      <c r="P31" s="182">
        <v>268</v>
      </c>
      <c r="Q31" s="182">
        <v>26</v>
      </c>
      <c r="R31" s="182">
        <v>63</v>
      </c>
      <c r="S31" s="155">
        <v>320</v>
      </c>
      <c r="T31" s="155">
        <v>41</v>
      </c>
      <c r="U31" s="155">
        <v>679</v>
      </c>
      <c r="V31" s="155">
        <v>199</v>
      </c>
      <c r="W31" s="151"/>
      <c r="X31" s="151"/>
    </row>
    <row r="32" spans="1:24" ht="18" customHeight="1">
      <c r="A32" s="172">
        <v>2020</v>
      </c>
      <c r="B32" s="155" t="s">
        <v>81</v>
      </c>
      <c r="C32" s="152" t="s">
        <v>769</v>
      </c>
      <c r="D32" s="155" t="s">
        <v>68</v>
      </c>
      <c r="E32" s="182">
        <v>254</v>
      </c>
      <c r="F32" s="182">
        <v>191</v>
      </c>
      <c r="G32" s="182">
        <v>5</v>
      </c>
      <c r="H32" s="182">
        <v>186</v>
      </c>
      <c r="I32" s="182">
        <v>8</v>
      </c>
      <c r="J32" s="182">
        <v>1</v>
      </c>
      <c r="K32" s="182">
        <v>7</v>
      </c>
      <c r="L32" s="182">
        <v>40</v>
      </c>
      <c r="M32" s="182">
        <v>10</v>
      </c>
      <c r="N32" s="182">
        <v>204</v>
      </c>
      <c r="O32" s="182">
        <v>89</v>
      </c>
      <c r="P32" s="182">
        <v>164</v>
      </c>
      <c r="Q32" s="182">
        <v>23</v>
      </c>
      <c r="R32" s="182">
        <v>3</v>
      </c>
      <c r="S32" s="155">
        <v>25</v>
      </c>
      <c r="T32" s="155">
        <v>37</v>
      </c>
      <c r="U32" s="155">
        <v>346</v>
      </c>
      <c r="V32" s="155">
        <v>58</v>
      </c>
      <c r="W32" s="151"/>
      <c r="X32" s="151"/>
    </row>
    <row r="33" spans="1:24" ht="18" customHeight="1">
      <c r="A33" s="172">
        <v>2019</v>
      </c>
      <c r="B33" s="155" t="s">
        <v>46</v>
      </c>
      <c r="C33" s="152" t="s">
        <v>764</v>
      </c>
      <c r="D33" s="155" t="s">
        <v>45</v>
      </c>
      <c r="E33" s="182">
        <v>292</v>
      </c>
      <c r="F33" s="182">
        <v>218</v>
      </c>
      <c r="G33" s="182">
        <v>158</v>
      </c>
      <c r="H33" s="182">
        <v>60</v>
      </c>
      <c r="I33" s="182">
        <v>84</v>
      </c>
      <c r="J33" s="182">
        <v>79</v>
      </c>
      <c r="K33" s="182">
        <v>5</v>
      </c>
      <c r="L33" s="182">
        <v>44</v>
      </c>
      <c r="M33" s="182">
        <v>10</v>
      </c>
      <c r="N33" s="182">
        <v>238</v>
      </c>
      <c r="O33" s="182">
        <v>94</v>
      </c>
      <c r="P33" s="182">
        <v>198</v>
      </c>
      <c r="Q33" s="182">
        <v>28</v>
      </c>
      <c r="R33" s="182">
        <v>41</v>
      </c>
      <c r="S33" s="155">
        <v>277</v>
      </c>
      <c r="T33" s="155">
        <v>52</v>
      </c>
      <c r="U33" s="155">
        <v>164</v>
      </c>
      <c r="V33" s="155">
        <v>580</v>
      </c>
      <c r="W33" s="151"/>
      <c r="X33" s="151"/>
    </row>
    <row r="34" spans="1:24" ht="18" customHeight="1">
      <c r="A34" s="172">
        <v>2019</v>
      </c>
      <c r="B34" s="155" t="s">
        <v>53</v>
      </c>
      <c r="C34" s="152" t="s">
        <v>765</v>
      </c>
      <c r="D34" s="155" t="s">
        <v>45</v>
      </c>
      <c r="E34" s="182">
        <v>114</v>
      </c>
      <c r="F34" s="182">
        <v>87</v>
      </c>
      <c r="G34" s="182">
        <v>68</v>
      </c>
      <c r="H34" s="182">
        <v>19</v>
      </c>
      <c r="I34" s="182">
        <v>9</v>
      </c>
      <c r="J34" s="182">
        <v>9</v>
      </c>
      <c r="K34" s="182">
        <v>0</v>
      </c>
      <c r="L34" s="182">
        <v>17</v>
      </c>
      <c r="M34" s="182">
        <v>4</v>
      </c>
      <c r="N34" s="182">
        <v>93</v>
      </c>
      <c r="O34" s="182">
        <v>31</v>
      </c>
      <c r="P34" s="182">
        <v>83</v>
      </c>
      <c r="Q34" s="182">
        <v>10</v>
      </c>
      <c r="R34" s="182">
        <v>21</v>
      </c>
      <c r="S34" s="155">
        <v>48</v>
      </c>
      <c r="T34" s="155">
        <v>48</v>
      </c>
      <c r="U34" s="155">
        <v>32</v>
      </c>
      <c r="V34" s="155">
        <v>189</v>
      </c>
      <c r="W34" s="151"/>
      <c r="X34" s="151"/>
    </row>
    <row r="35" spans="1:24" ht="18" customHeight="1">
      <c r="A35" s="172">
        <v>2019</v>
      </c>
      <c r="B35" s="155" t="s">
        <v>60</v>
      </c>
      <c r="C35" s="152" t="s">
        <v>766</v>
      </c>
      <c r="D35" s="155" t="s">
        <v>45</v>
      </c>
      <c r="E35" s="182">
        <v>593</v>
      </c>
      <c r="F35" s="182">
        <v>503</v>
      </c>
      <c r="G35" s="182">
        <v>286</v>
      </c>
      <c r="H35" s="182">
        <v>217</v>
      </c>
      <c r="I35" s="182">
        <v>88</v>
      </c>
      <c r="J35" s="182">
        <v>69</v>
      </c>
      <c r="K35" s="182">
        <v>19</v>
      </c>
      <c r="L35" s="182">
        <v>91</v>
      </c>
      <c r="M35" s="182">
        <v>44</v>
      </c>
      <c r="N35" s="182">
        <v>458</v>
      </c>
      <c r="O35" s="182">
        <v>196</v>
      </c>
      <c r="P35" s="182">
        <v>395</v>
      </c>
      <c r="Q35" s="182">
        <v>27</v>
      </c>
      <c r="R35" s="182">
        <v>110</v>
      </c>
      <c r="S35" s="155">
        <v>396</v>
      </c>
      <c r="T35" s="155">
        <v>193</v>
      </c>
      <c r="U35" s="155">
        <v>457</v>
      </c>
      <c r="V35" s="155">
        <v>719</v>
      </c>
      <c r="W35" s="151"/>
      <c r="X35" s="151"/>
    </row>
    <row r="36" spans="1:24" ht="18" customHeight="1">
      <c r="A36" s="172">
        <v>2019</v>
      </c>
      <c r="B36" s="155" t="s">
        <v>69</v>
      </c>
      <c r="C36" s="152" t="s">
        <v>767</v>
      </c>
      <c r="D36" s="155" t="s">
        <v>68</v>
      </c>
      <c r="E36" s="182">
        <v>408</v>
      </c>
      <c r="F36" s="182">
        <v>346</v>
      </c>
      <c r="G36" s="182">
        <v>240</v>
      </c>
      <c r="H36" s="182">
        <v>106</v>
      </c>
      <c r="I36" s="182">
        <v>44</v>
      </c>
      <c r="J36" s="182">
        <v>36</v>
      </c>
      <c r="K36" s="182">
        <v>8</v>
      </c>
      <c r="L36" s="182">
        <v>47</v>
      </c>
      <c r="M36" s="182">
        <v>19</v>
      </c>
      <c r="N36" s="182">
        <v>342</v>
      </c>
      <c r="O36" s="182">
        <v>124</v>
      </c>
      <c r="P36" s="182">
        <v>269</v>
      </c>
      <c r="Q36" s="182">
        <v>18</v>
      </c>
      <c r="R36" s="182">
        <v>166</v>
      </c>
      <c r="S36" s="155">
        <v>214</v>
      </c>
      <c r="T36" s="155">
        <v>285</v>
      </c>
      <c r="U36" s="155">
        <v>201</v>
      </c>
      <c r="V36" s="155">
        <v>409</v>
      </c>
      <c r="W36" s="151"/>
      <c r="X36" s="151"/>
    </row>
    <row r="37" spans="1:24" ht="18" customHeight="1">
      <c r="A37" s="172">
        <v>2019</v>
      </c>
      <c r="B37" s="155" t="s">
        <v>75</v>
      </c>
      <c r="C37" s="152" t="s">
        <v>768</v>
      </c>
      <c r="D37" s="155" t="s">
        <v>68</v>
      </c>
      <c r="E37" s="182">
        <v>480</v>
      </c>
      <c r="F37" s="182">
        <v>380</v>
      </c>
      <c r="G37" s="182">
        <v>193</v>
      </c>
      <c r="H37" s="182">
        <v>187</v>
      </c>
      <c r="I37" s="182">
        <v>20</v>
      </c>
      <c r="J37" s="182">
        <v>13</v>
      </c>
      <c r="K37" s="182">
        <v>7</v>
      </c>
      <c r="L37" s="182">
        <v>67</v>
      </c>
      <c r="M37" s="182">
        <v>30</v>
      </c>
      <c r="N37" s="182">
        <v>383</v>
      </c>
      <c r="O37" s="182">
        <v>181</v>
      </c>
      <c r="P37" s="182">
        <v>299</v>
      </c>
      <c r="Q37" s="182">
        <v>30</v>
      </c>
      <c r="R37" s="182">
        <v>31</v>
      </c>
      <c r="S37" s="155">
        <v>362</v>
      </c>
      <c r="T37" s="155">
        <v>122</v>
      </c>
      <c r="U37" s="155">
        <v>644</v>
      </c>
      <c r="V37" s="155">
        <v>195</v>
      </c>
      <c r="W37" s="151"/>
      <c r="X37" s="151"/>
    </row>
    <row r="38" spans="1:24" ht="18" customHeight="1">
      <c r="A38" s="172">
        <v>2019</v>
      </c>
      <c r="B38" s="155" t="s">
        <v>81</v>
      </c>
      <c r="C38" s="152" t="s">
        <v>769</v>
      </c>
      <c r="D38" s="155" t="s">
        <v>68</v>
      </c>
      <c r="E38" s="182">
        <v>296</v>
      </c>
      <c r="F38" s="182">
        <v>237</v>
      </c>
      <c r="G38" s="182">
        <v>46</v>
      </c>
      <c r="H38" s="182">
        <v>191</v>
      </c>
      <c r="I38" s="182">
        <v>8</v>
      </c>
      <c r="J38" s="182">
        <v>0</v>
      </c>
      <c r="K38" s="182">
        <v>8</v>
      </c>
      <c r="L38" s="182">
        <v>38</v>
      </c>
      <c r="M38" s="182">
        <v>6</v>
      </c>
      <c r="N38" s="182">
        <v>252</v>
      </c>
      <c r="O38" s="182">
        <v>112</v>
      </c>
      <c r="P38" s="182">
        <v>184</v>
      </c>
      <c r="Q38" s="182">
        <v>21</v>
      </c>
      <c r="R38" s="182">
        <v>19</v>
      </c>
      <c r="S38" s="155">
        <v>64</v>
      </c>
      <c r="T38" s="155">
        <v>46</v>
      </c>
      <c r="U38" s="155">
        <v>326</v>
      </c>
      <c r="V38" s="155">
        <v>58</v>
      </c>
      <c r="W38" s="151"/>
      <c r="X38" s="151"/>
    </row>
    <row r="39" spans="1:24" ht="18" customHeight="1">
      <c r="A39" s="172">
        <v>2018</v>
      </c>
      <c r="B39" s="155" t="s">
        <v>46</v>
      </c>
      <c r="C39" s="152" t="s">
        <v>764</v>
      </c>
      <c r="D39" s="155" t="s">
        <v>45</v>
      </c>
      <c r="E39" s="182">
        <v>375</v>
      </c>
      <c r="F39" s="182">
        <v>271</v>
      </c>
      <c r="G39" s="182">
        <v>227</v>
      </c>
      <c r="H39" s="182">
        <v>44</v>
      </c>
      <c r="I39" s="182">
        <v>100</v>
      </c>
      <c r="J39" s="182">
        <v>98</v>
      </c>
      <c r="K39" s="182">
        <v>2</v>
      </c>
      <c r="L39" s="182">
        <v>72</v>
      </c>
      <c r="M39" s="182">
        <v>21</v>
      </c>
      <c r="N39" s="182">
        <v>282</v>
      </c>
      <c r="O39" s="182">
        <v>123</v>
      </c>
      <c r="P39" s="182">
        <v>250</v>
      </c>
      <c r="Q39" s="182">
        <v>32</v>
      </c>
      <c r="R39" s="182">
        <v>53</v>
      </c>
      <c r="S39" s="155">
        <v>320</v>
      </c>
      <c r="T39" s="155">
        <v>61</v>
      </c>
      <c r="U39" s="155">
        <v>172</v>
      </c>
      <c r="V39" s="155">
        <v>541</v>
      </c>
      <c r="W39" s="151"/>
      <c r="X39" s="151"/>
    </row>
    <row r="40" spans="1:24" ht="18" customHeight="1">
      <c r="A40" s="172">
        <v>2018</v>
      </c>
      <c r="B40" s="155" t="s">
        <v>53</v>
      </c>
      <c r="C40" s="152" t="s">
        <v>765</v>
      </c>
      <c r="D40" s="155" t="s">
        <v>45</v>
      </c>
      <c r="E40" s="182">
        <v>177</v>
      </c>
      <c r="F40" s="182">
        <v>152</v>
      </c>
      <c r="G40" s="182">
        <v>99</v>
      </c>
      <c r="H40" s="182">
        <v>53</v>
      </c>
      <c r="I40" s="182">
        <v>26</v>
      </c>
      <c r="J40" s="182">
        <v>24</v>
      </c>
      <c r="K40" s="182">
        <v>2</v>
      </c>
      <c r="L40" s="182">
        <v>16</v>
      </c>
      <c r="M40" s="182">
        <v>4</v>
      </c>
      <c r="N40" s="182">
        <v>157</v>
      </c>
      <c r="O40" s="182">
        <v>68</v>
      </c>
      <c r="P40" s="182">
        <v>109</v>
      </c>
      <c r="Q40" s="182">
        <v>9</v>
      </c>
      <c r="R40" s="182">
        <v>28</v>
      </c>
      <c r="S40" s="155">
        <v>64</v>
      </c>
      <c r="T40" s="155">
        <v>85</v>
      </c>
      <c r="U40" s="155">
        <v>30</v>
      </c>
      <c r="V40" s="155">
        <v>271</v>
      </c>
      <c r="W40" s="151"/>
      <c r="X40" s="151"/>
    </row>
    <row r="41" spans="1:24" ht="18" customHeight="1">
      <c r="A41" s="172">
        <v>2018</v>
      </c>
      <c r="B41" s="155" t="s">
        <v>60</v>
      </c>
      <c r="C41" s="152" t="s">
        <v>766</v>
      </c>
      <c r="D41" s="155" t="s">
        <v>45</v>
      </c>
      <c r="E41" s="182">
        <v>575</v>
      </c>
      <c r="F41" s="182">
        <v>526</v>
      </c>
      <c r="G41" s="182">
        <v>400</v>
      </c>
      <c r="H41" s="182">
        <v>126</v>
      </c>
      <c r="I41" s="182">
        <v>96</v>
      </c>
      <c r="J41" s="182">
        <v>85</v>
      </c>
      <c r="K41" s="182">
        <v>11</v>
      </c>
      <c r="L41" s="182">
        <v>54</v>
      </c>
      <c r="M41" s="182">
        <v>36</v>
      </c>
      <c r="N41" s="182">
        <v>485</v>
      </c>
      <c r="O41" s="182">
        <v>160</v>
      </c>
      <c r="P41" s="182">
        <v>412</v>
      </c>
      <c r="Q41" s="182">
        <v>16</v>
      </c>
      <c r="R41" s="182">
        <v>97</v>
      </c>
      <c r="S41" s="155">
        <v>355</v>
      </c>
      <c r="T41" s="155">
        <v>289</v>
      </c>
      <c r="U41" s="155">
        <v>855</v>
      </c>
      <c r="V41" s="155">
        <v>730</v>
      </c>
      <c r="W41" s="151"/>
      <c r="X41" s="151"/>
    </row>
    <row r="42" spans="1:24" ht="18" customHeight="1">
      <c r="A42" s="172">
        <v>2018</v>
      </c>
      <c r="B42" s="155" t="s">
        <v>69</v>
      </c>
      <c r="C42" s="152" t="s">
        <v>767</v>
      </c>
      <c r="D42" s="155" t="s">
        <v>68</v>
      </c>
      <c r="E42" s="182">
        <v>446</v>
      </c>
      <c r="F42" s="182">
        <v>362</v>
      </c>
      <c r="G42" s="182">
        <v>225</v>
      </c>
      <c r="H42" s="182">
        <v>137</v>
      </c>
      <c r="I42" s="182">
        <v>44</v>
      </c>
      <c r="J42" s="182">
        <v>10</v>
      </c>
      <c r="K42" s="182">
        <v>34</v>
      </c>
      <c r="L42" s="182">
        <v>51</v>
      </c>
      <c r="M42" s="182">
        <v>36</v>
      </c>
      <c r="N42" s="182">
        <v>359</v>
      </c>
      <c r="O42" s="182">
        <v>129</v>
      </c>
      <c r="P42" s="182">
        <v>298</v>
      </c>
      <c r="Q42" s="182">
        <v>36</v>
      </c>
      <c r="R42" s="182">
        <v>152</v>
      </c>
      <c r="S42" s="155">
        <v>223</v>
      </c>
      <c r="T42" s="155">
        <v>263</v>
      </c>
      <c r="U42" s="155">
        <v>159</v>
      </c>
      <c r="V42" s="155">
        <v>167</v>
      </c>
      <c r="W42" s="151"/>
      <c r="X42" s="151"/>
    </row>
    <row r="43" spans="1:24" ht="18" customHeight="1">
      <c r="A43" s="172">
        <v>2018</v>
      </c>
      <c r="B43" s="155" t="s">
        <v>75</v>
      </c>
      <c r="C43" s="152" t="s">
        <v>768</v>
      </c>
      <c r="D43" s="155" t="s">
        <v>68</v>
      </c>
      <c r="E43" s="182">
        <v>560</v>
      </c>
      <c r="F43" s="182">
        <v>404</v>
      </c>
      <c r="G43" s="182">
        <v>199</v>
      </c>
      <c r="H43" s="182">
        <v>205</v>
      </c>
      <c r="I43" s="182">
        <v>43</v>
      </c>
      <c r="J43" s="182">
        <v>27</v>
      </c>
      <c r="K43" s="182">
        <v>16</v>
      </c>
      <c r="L43" s="182">
        <v>94</v>
      </c>
      <c r="M43" s="182">
        <v>48</v>
      </c>
      <c r="N43" s="182">
        <v>418</v>
      </c>
      <c r="O43" s="182">
        <v>237</v>
      </c>
      <c r="P43" s="182">
        <v>322</v>
      </c>
      <c r="Q43" s="182">
        <v>50</v>
      </c>
      <c r="R43" s="182">
        <v>54</v>
      </c>
      <c r="S43" s="155">
        <v>362</v>
      </c>
      <c r="T43" s="155">
        <v>109</v>
      </c>
      <c r="U43" s="155">
        <v>398</v>
      </c>
      <c r="V43" s="155">
        <v>119</v>
      </c>
      <c r="W43" s="151"/>
      <c r="X43" s="151"/>
    </row>
    <row r="44" spans="1:24" ht="18" customHeight="1">
      <c r="A44" s="172">
        <v>2018</v>
      </c>
      <c r="B44" s="155" t="s">
        <v>81</v>
      </c>
      <c r="C44" s="152" t="s">
        <v>769</v>
      </c>
      <c r="D44" s="155" t="s">
        <v>68</v>
      </c>
      <c r="E44" s="182">
        <v>346</v>
      </c>
      <c r="F44" s="182">
        <v>258</v>
      </c>
      <c r="G44" s="182">
        <v>37</v>
      </c>
      <c r="H44" s="182">
        <v>221</v>
      </c>
      <c r="I44" s="182">
        <v>15</v>
      </c>
      <c r="J44" s="182">
        <v>0</v>
      </c>
      <c r="K44" s="182">
        <v>15</v>
      </c>
      <c r="L44" s="182">
        <v>61</v>
      </c>
      <c r="M44" s="182">
        <v>25</v>
      </c>
      <c r="N44" s="182">
        <v>260</v>
      </c>
      <c r="O44" s="182">
        <v>136</v>
      </c>
      <c r="P44" s="182">
        <v>209</v>
      </c>
      <c r="Q44" s="182">
        <v>26</v>
      </c>
      <c r="R44" s="182">
        <v>49</v>
      </c>
      <c r="S44" s="155">
        <v>64</v>
      </c>
      <c r="T44" s="155">
        <v>58</v>
      </c>
      <c r="U44" s="155">
        <v>237</v>
      </c>
      <c r="V44" s="155">
        <v>57</v>
      </c>
      <c r="W44" s="151"/>
      <c r="X44" s="151"/>
    </row>
    <row r="45" spans="1:24" ht="18" customHeight="1">
      <c r="A45" s="172">
        <v>2017</v>
      </c>
      <c r="B45" s="155" t="s">
        <v>46</v>
      </c>
      <c r="C45" s="152" t="s">
        <v>764</v>
      </c>
      <c r="D45" s="155" t="s">
        <v>45</v>
      </c>
      <c r="E45" s="182">
        <v>349</v>
      </c>
      <c r="F45" s="182">
        <v>246</v>
      </c>
      <c r="G45" s="182">
        <v>199</v>
      </c>
      <c r="H45" s="182">
        <v>47</v>
      </c>
      <c r="I45" s="182">
        <v>83</v>
      </c>
      <c r="J45" s="182">
        <v>82</v>
      </c>
      <c r="K45" s="182">
        <v>1</v>
      </c>
      <c r="L45" s="182">
        <v>69</v>
      </c>
      <c r="M45" s="182">
        <v>14</v>
      </c>
      <c r="N45" s="182">
        <v>266</v>
      </c>
      <c r="O45" s="182">
        <v>117</v>
      </c>
      <c r="P45" s="182">
        <v>232</v>
      </c>
      <c r="Q45" s="182">
        <v>33</v>
      </c>
      <c r="R45" s="182">
        <v>31</v>
      </c>
      <c r="S45" s="155">
        <v>332</v>
      </c>
      <c r="T45" s="155">
        <v>73</v>
      </c>
      <c r="U45" s="155">
        <v>209</v>
      </c>
      <c r="V45" s="155">
        <v>483</v>
      </c>
      <c r="W45" s="151"/>
      <c r="X45" s="151"/>
    </row>
    <row r="46" spans="1:24" ht="18" customHeight="1">
      <c r="A46" s="172">
        <v>2017</v>
      </c>
      <c r="B46" s="155" t="s">
        <v>53</v>
      </c>
      <c r="C46" s="152" t="s">
        <v>765</v>
      </c>
      <c r="D46" s="155" t="s">
        <v>45</v>
      </c>
      <c r="E46" s="182">
        <v>159</v>
      </c>
      <c r="F46" s="182">
        <v>127</v>
      </c>
      <c r="G46" s="182">
        <v>66</v>
      </c>
      <c r="H46" s="182">
        <v>61</v>
      </c>
      <c r="I46" s="182">
        <v>16</v>
      </c>
      <c r="J46" s="182">
        <v>11</v>
      </c>
      <c r="K46" s="182">
        <v>5</v>
      </c>
      <c r="L46" s="182">
        <v>19</v>
      </c>
      <c r="M46" s="182">
        <v>5</v>
      </c>
      <c r="N46" s="182">
        <v>135</v>
      </c>
      <c r="O46" s="182">
        <v>66</v>
      </c>
      <c r="P46" s="182">
        <v>92</v>
      </c>
      <c r="Q46" s="182">
        <v>11</v>
      </c>
      <c r="R46" s="182">
        <v>20</v>
      </c>
      <c r="S46" s="155">
        <v>65</v>
      </c>
      <c r="T46" s="155">
        <v>69</v>
      </c>
      <c r="U46" s="155">
        <v>18</v>
      </c>
      <c r="V46" s="155">
        <v>229</v>
      </c>
      <c r="W46" s="151"/>
      <c r="X46" s="151"/>
    </row>
    <row r="47" spans="1:24" ht="18" customHeight="1">
      <c r="A47" s="172">
        <v>2017</v>
      </c>
      <c r="B47" s="155" t="s">
        <v>60</v>
      </c>
      <c r="C47" s="152" t="s">
        <v>766</v>
      </c>
      <c r="D47" s="155" t="s">
        <v>45</v>
      </c>
      <c r="E47" s="182">
        <v>706</v>
      </c>
      <c r="F47" s="182">
        <v>535</v>
      </c>
      <c r="G47" s="182">
        <v>407</v>
      </c>
      <c r="H47" s="182">
        <v>128</v>
      </c>
      <c r="I47" s="182">
        <v>82</v>
      </c>
      <c r="J47" s="182">
        <v>66</v>
      </c>
      <c r="K47" s="182">
        <v>16</v>
      </c>
      <c r="L47" s="182">
        <v>147</v>
      </c>
      <c r="M47" s="182">
        <v>40</v>
      </c>
      <c r="N47" s="182">
        <v>519</v>
      </c>
      <c r="O47" s="182">
        <v>225</v>
      </c>
      <c r="P47" s="182">
        <v>478</v>
      </c>
      <c r="Q47" s="182">
        <v>56</v>
      </c>
      <c r="R47" s="182">
        <v>72</v>
      </c>
      <c r="S47" s="155">
        <v>75</v>
      </c>
      <c r="T47" s="155">
        <v>70</v>
      </c>
      <c r="U47" s="155">
        <v>27</v>
      </c>
      <c r="V47" s="155">
        <v>295</v>
      </c>
      <c r="W47" s="151"/>
      <c r="X47" s="151"/>
    </row>
    <row r="48" spans="1:24" ht="18" customHeight="1">
      <c r="A48" s="172">
        <v>2017</v>
      </c>
      <c r="B48" s="155" t="s">
        <v>69</v>
      </c>
      <c r="C48" s="152" t="s">
        <v>767</v>
      </c>
      <c r="D48" s="155" t="s">
        <v>68</v>
      </c>
      <c r="E48" s="182">
        <v>511</v>
      </c>
      <c r="F48" s="182">
        <v>450</v>
      </c>
      <c r="G48" s="182">
        <v>170</v>
      </c>
      <c r="H48" s="182">
        <v>280</v>
      </c>
      <c r="I48" s="182">
        <v>0</v>
      </c>
      <c r="J48" s="182">
        <v>0</v>
      </c>
      <c r="K48" s="182">
        <v>0</v>
      </c>
      <c r="L48" s="182">
        <v>51</v>
      </c>
      <c r="M48" s="182">
        <v>0</v>
      </c>
      <c r="N48" s="182">
        <v>460</v>
      </c>
      <c r="O48" s="182">
        <v>187</v>
      </c>
      <c r="P48" s="182">
        <v>317</v>
      </c>
      <c r="Q48" s="182">
        <v>21</v>
      </c>
      <c r="R48" s="182">
        <v>9</v>
      </c>
      <c r="S48" s="155">
        <v>233</v>
      </c>
      <c r="T48" s="155">
        <v>231</v>
      </c>
      <c r="U48" s="155">
        <v>272</v>
      </c>
      <c r="V48" s="155">
        <v>157</v>
      </c>
      <c r="W48" s="151"/>
      <c r="X48" s="151"/>
    </row>
    <row r="49" spans="1:24" ht="18" customHeight="1">
      <c r="A49" s="172">
        <v>2017</v>
      </c>
      <c r="B49" s="155" t="s">
        <v>75</v>
      </c>
      <c r="C49" s="152" t="s">
        <v>768</v>
      </c>
      <c r="D49" s="155" t="s">
        <v>68</v>
      </c>
      <c r="E49" s="182">
        <v>697</v>
      </c>
      <c r="F49" s="182">
        <v>465</v>
      </c>
      <c r="G49" s="182">
        <v>260</v>
      </c>
      <c r="H49" s="182">
        <v>205</v>
      </c>
      <c r="I49" s="182">
        <v>51</v>
      </c>
      <c r="J49" s="182">
        <v>38</v>
      </c>
      <c r="K49" s="182">
        <v>13</v>
      </c>
      <c r="L49" s="182">
        <v>154</v>
      </c>
      <c r="M49" s="182">
        <v>51</v>
      </c>
      <c r="N49" s="182">
        <v>492</v>
      </c>
      <c r="O49" s="182">
        <v>279</v>
      </c>
      <c r="P49" s="182">
        <v>417</v>
      </c>
      <c r="Q49" s="182">
        <v>66</v>
      </c>
      <c r="R49" s="182">
        <v>33</v>
      </c>
      <c r="S49" s="155">
        <v>545</v>
      </c>
      <c r="T49" s="155">
        <v>219</v>
      </c>
      <c r="U49" s="155">
        <v>671</v>
      </c>
      <c r="V49" s="155">
        <v>138</v>
      </c>
      <c r="W49" s="151"/>
      <c r="X49" s="151"/>
    </row>
    <row r="50" spans="1:24" ht="18" customHeight="1">
      <c r="A50" s="172">
        <v>2017</v>
      </c>
      <c r="B50" s="155" t="s">
        <v>81</v>
      </c>
      <c r="C50" s="152" t="s">
        <v>769</v>
      </c>
      <c r="D50" s="155" t="s">
        <v>68</v>
      </c>
      <c r="E50" s="182">
        <v>264</v>
      </c>
      <c r="F50" s="182">
        <v>185</v>
      </c>
      <c r="G50" s="182">
        <v>22</v>
      </c>
      <c r="H50" s="182">
        <v>163</v>
      </c>
      <c r="I50" s="182">
        <v>6</v>
      </c>
      <c r="J50" s="182">
        <v>1</v>
      </c>
      <c r="K50" s="182">
        <v>5</v>
      </c>
      <c r="L50" s="182">
        <v>47</v>
      </c>
      <c r="M50" s="182">
        <v>9</v>
      </c>
      <c r="N50" s="182">
        <v>208</v>
      </c>
      <c r="O50" s="182">
        <v>107</v>
      </c>
      <c r="P50" s="182">
        <v>157</v>
      </c>
      <c r="Q50" s="182">
        <v>24</v>
      </c>
      <c r="R50" s="182">
        <v>19</v>
      </c>
      <c r="S50" s="155">
        <v>64</v>
      </c>
      <c r="T50" s="155">
        <v>30</v>
      </c>
      <c r="U50" s="155">
        <v>238</v>
      </c>
      <c r="V50" s="155">
        <v>66</v>
      </c>
      <c r="W50" s="151"/>
      <c r="X50" s="151"/>
    </row>
    <row r="51" spans="1:24" ht="18" customHeight="1">
      <c r="A51" s="172">
        <v>2016</v>
      </c>
      <c r="B51" s="155" t="s">
        <v>46</v>
      </c>
      <c r="C51" s="152" t="s">
        <v>764</v>
      </c>
      <c r="D51" s="155" t="s">
        <v>45</v>
      </c>
      <c r="E51" s="182">
        <v>478</v>
      </c>
      <c r="F51" s="182">
        <v>368</v>
      </c>
      <c r="G51" s="182">
        <v>303</v>
      </c>
      <c r="H51" s="182">
        <v>65</v>
      </c>
      <c r="I51" s="182">
        <v>105</v>
      </c>
      <c r="J51" s="182">
        <v>105</v>
      </c>
      <c r="K51" s="182">
        <v>0</v>
      </c>
      <c r="L51" s="182">
        <v>74</v>
      </c>
      <c r="M51" s="182">
        <v>28</v>
      </c>
      <c r="N51" s="182">
        <v>376</v>
      </c>
      <c r="O51" s="182">
        <v>159</v>
      </c>
      <c r="P51" s="182">
        <v>317</v>
      </c>
      <c r="Q51" s="182">
        <v>38</v>
      </c>
      <c r="R51" s="182">
        <v>17</v>
      </c>
      <c r="S51" s="155">
        <v>388</v>
      </c>
      <c r="T51" s="155">
        <v>105</v>
      </c>
      <c r="U51" s="155">
        <v>261</v>
      </c>
      <c r="V51" s="155">
        <v>374</v>
      </c>
      <c r="W51" s="151"/>
      <c r="X51" s="151"/>
    </row>
    <row r="52" spans="1:24" ht="18" customHeight="1">
      <c r="A52" s="172">
        <v>2016</v>
      </c>
      <c r="B52" s="155" t="s">
        <v>53</v>
      </c>
      <c r="C52" s="152" t="s">
        <v>765</v>
      </c>
      <c r="D52" s="155" t="s">
        <v>45</v>
      </c>
      <c r="E52" s="182">
        <v>167</v>
      </c>
      <c r="F52" s="182">
        <v>129</v>
      </c>
      <c r="G52" s="182">
        <v>75</v>
      </c>
      <c r="H52" s="182">
        <v>54</v>
      </c>
      <c r="I52" s="182">
        <v>33</v>
      </c>
      <c r="J52" s="182">
        <v>27</v>
      </c>
      <c r="K52" s="182">
        <v>6</v>
      </c>
      <c r="L52" s="182">
        <v>30</v>
      </c>
      <c r="M52" s="182">
        <v>4</v>
      </c>
      <c r="N52" s="182">
        <v>133</v>
      </c>
      <c r="O52" s="182">
        <v>50</v>
      </c>
      <c r="P52" s="182">
        <v>117</v>
      </c>
      <c r="Q52" s="182">
        <v>10</v>
      </c>
      <c r="R52" s="182">
        <v>7</v>
      </c>
      <c r="S52" s="155">
        <v>49</v>
      </c>
      <c r="T52" s="155">
        <v>72</v>
      </c>
      <c r="U52" s="155">
        <v>0</v>
      </c>
      <c r="V52" s="155">
        <v>360</v>
      </c>
      <c r="W52" s="151"/>
      <c r="X52" s="151"/>
    </row>
    <row r="53" spans="1:24" ht="18" customHeight="1">
      <c r="A53" s="172">
        <v>2016</v>
      </c>
      <c r="B53" s="155" t="s">
        <v>60</v>
      </c>
      <c r="C53" s="152" t="s">
        <v>766</v>
      </c>
      <c r="D53" s="155" t="s">
        <v>45</v>
      </c>
      <c r="E53" s="182">
        <v>797</v>
      </c>
      <c r="F53" s="182">
        <v>647</v>
      </c>
      <c r="G53" s="182">
        <v>544</v>
      </c>
      <c r="H53" s="182">
        <v>103</v>
      </c>
      <c r="I53" s="182">
        <v>87</v>
      </c>
      <c r="J53" s="182">
        <v>81</v>
      </c>
      <c r="K53" s="182">
        <v>6</v>
      </c>
      <c r="L53" s="182">
        <v>147</v>
      </c>
      <c r="M53" s="182">
        <v>83</v>
      </c>
      <c r="N53" s="182">
        <v>567</v>
      </c>
      <c r="O53" s="182">
        <v>274</v>
      </c>
      <c r="P53" s="182">
        <v>523</v>
      </c>
      <c r="Q53" s="182">
        <v>44</v>
      </c>
      <c r="R53" s="182">
        <v>49</v>
      </c>
      <c r="S53" s="155">
        <v>139</v>
      </c>
      <c r="T53" s="155">
        <v>71</v>
      </c>
      <c r="U53" s="155">
        <v>0</v>
      </c>
      <c r="V53" s="155">
        <v>102</v>
      </c>
      <c r="W53" s="151"/>
      <c r="X53" s="151"/>
    </row>
    <row r="54" spans="1:24" ht="18" customHeight="1">
      <c r="A54" s="172">
        <v>2016</v>
      </c>
      <c r="B54" s="155" t="s">
        <v>69</v>
      </c>
      <c r="C54" s="152" t="s">
        <v>767</v>
      </c>
      <c r="D54" s="155" t="s">
        <v>68</v>
      </c>
      <c r="E54" s="182">
        <v>633</v>
      </c>
      <c r="F54" s="182">
        <v>566</v>
      </c>
      <c r="G54" s="182">
        <v>230</v>
      </c>
      <c r="H54" s="182">
        <v>336</v>
      </c>
      <c r="I54" s="182">
        <v>65</v>
      </c>
      <c r="J54" s="182">
        <v>17</v>
      </c>
      <c r="K54" s="182">
        <v>48</v>
      </c>
      <c r="L54" s="182">
        <v>36</v>
      </c>
      <c r="M54" s="182">
        <v>28</v>
      </c>
      <c r="N54" s="182">
        <v>569</v>
      </c>
      <c r="O54" s="182">
        <v>253</v>
      </c>
      <c r="P54" s="182">
        <v>368</v>
      </c>
      <c r="Q54" s="182">
        <v>21</v>
      </c>
      <c r="R54" s="182">
        <v>88</v>
      </c>
      <c r="S54" s="155">
        <v>211</v>
      </c>
      <c r="T54" s="155">
        <v>299</v>
      </c>
      <c r="U54" s="155">
        <v>0</v>
      </c>
      <c r="V54" s="155">
        <v>94</v>
      </c>
      <c r="W54" s="151"/>
      <c r="X54" s="151"/>
    </row>
    <row r="55" spans="1:24" ht="18" customHeight="1">
      <c r="A55" s="172">
        <v>2016</v>
      </c>
      <c r="B55" s="155" t="s">
        <v>75</v>
      </c>
      <c r="C55" s="152" t="s">
        <v>768</v>
      </c>
      <c r="D55" s="155" t="s">
        <v>68</v>
      </c>
      <c r="E55" s="182">
        <v>785</v>
      </c>
      <c r="F55" s="182">
        <v>484</v>
      </c>
      <c r="G55" s="182">
        <v>276</v>
      </c>
      <c r="H55" s="182">
        <v>208</v>
      </c>
      <c r="I55" s="182">
        <v>66</v>
      </c>
      <c r="J55" s="182">
        <v>37</v>
      </c>
      <c r="K55" s="182">
        <v>29</v>
      </c>
      <c r="L55" s="182">
        <v>189</v>
      </c>
      <c r="M55" s="182">
        <v>71</v>
      </c>
      <c r="N55" s="182">
        <v>525</v>
      </c>
      <c r="O55" s="182">
        <v>337</v>
      </c>
      <c r="P55" s="182">
        <v>448</v>
      </c>
      <c r="Q55" s="182">
        <v>88</v>
      </c>
      <c r="R55" s="182">
        <v>54</v>
      </c>
      <c r="S55" s="155">
        <v>443</v>
      </c>
      <c r="T55" s="155">
        <v>291</v>
      </c>
      <c r="U55" s="155">
        <v>513</v>
      </c>
      <c r="V55" s="155">
        <v>176</v>
      </c>
      <c r="W55" s="151"/>
      <c r="X55" s="151"/>
    </row>
    <row r="56" spans="1:24" ht="18" customHeight="1">
      <c r="A56" s="172">
        <v>2016</v>
      </c>
      <c r="B56" s="155" t="s">
        <v>81</v>
      </c>
      <c r="C56" s="152" t="s">
        <v>769</v>
      </c>
      <c r="D56" s="155" t="s">
        <v>68</v>
      </c>
      <c r="E56" s="182">
        <v>320</v>
      </c>
      <c r="F56" s="182">
        <v>249</v>
      </c>
      <c r="G56" s="182">
        <v>50</v>
      </c>
      <c r="H56" s="182">
        <v>199</v>
      </c>
      <c r="I56" s="182">
        <v>13</v>
      </c>
      <c r="J56" s="182">
        <v>4</v>
      </c>
      <c r="K56" s="182">
        <v>9</v>
      </c>
      <c r="L56" s="182">
        <v>41</v>
      </c>
      <c r="M56" s="182">
        <v>15</v>
      </c>
      <c r="N56" s="182">
        <v>264</v>
      </c>
      <c r="O56" s="182">
        <v>122</v>
      </c>
      <c r="P56" s="182">
        <v>198</v>
      </c>
      <c r="Q56" s="182">
        <v>24</v>
      </c>
      <c r="R56" s="182">
        <v>38</v>
      </c>
      <c r="S56" s="155">
        <v>69</v>
      </c>
      <c r="T56" s="155">
        <v>70</v>
      </c>
      <c r="U56" s="155">
        <v>62</v>
      </c>
      <c r="V56" s="155">
        <v>64</v>
      </c>
      <c r="W56" s="151"/>
      <c r="X56" s="151"/>
    </row>
    <row r="57" spans="1:24" ht="18" customHeight="1">
      <c r="A57" s="172">
        <v>2015</v>
      </c>
      <c r="B57" s="155" t="s">
        <v>46</v>
      </c>
      <c r="C57" s="152" t="s">
        <v>764</v>
      </c>
      <c r="D57" s="155" t="s">
        <v>45</v>
      </c>
      <c r="E57" s="182">
        <v>390</v>
      </c>
      <c r="F57" s="182">
        <v>304</v>
      </c>
      <c r="G57" s="182">
        <v>224</v>
      </c>
      <c r="H57" s="182">
        <v>80</v>
      </c>
      <c r="I57" s="182">
        <v>96</v>
      </c>
      <c r="J57" s="182">
        <v>90</v>
      </c>
      <c r="K57" s="182">
        <v>6</v>
      </c>
      <c r="L57" s="182">
        <v>53</v>
      </c>
      <c r="M57" s="182">
        <v>25</v>
      </c>
      <c r="N57" s="182">
        <v>312</v>
      </c>
      <c r="O57" s="182">
        <v>131</v>
      </c>
      <c r="P57" s="182">
        <v>259</v>
      </c>
      <c r="Q57" s="182">
        <v>31</v>
      </c>
      <c r="R57" s="182">
        <v>97</v>
      </c>
      <c r="S57" s="155">
        <v>431</v>
      </c>
      <c r="T57" s="155">
        <v>87</v>
      </c>
      <c r="U57" s="155">
        <v>138</v>
      </c>
      <c r="V57" s="155">
        <v>350</v>
      </c>
      <c r="W57" s="151"/>
      <c r="X57" s="151"/>
    </row>
    <row r="58" spans="1:24" ht="18" customHeight="1">
      <c r="A58" s="172">
        <v>2015</v>
      </c>
      <c r="B58" s="155" t="s">
        <v>53</v>
      </c>
      <c r="C58" s="152" t="s">
        <v>765</v>
      </c>
      <c r="D58" s="155" t="s">
        <v>45</v>
      </c>
      <c r="E58" s="182">
        <v>154</v>
      </c>
      <c r="F58" s="182">
        <v>122</v>
      </c>
      <c r="G58" s="182">
        <v>98</v>
      </c>
      <c r="H58" s="182">
        <v>24</v>
      </c>
      <c r="I58" s="182">
        <v>4</v>
      </c>
      <c r="J58" s="182">
        <v>1</v>
      </c>
      <c r="K58" s="182">
        <v>3</v>
      </c>
      <c r="L58" s="182">
        <v>15</v>
      </c>
      <c r="M58" s="182">
        <v>15</v>
      </c>
      <c r="N58" s="182">
        <v>124</v>
      </c>
      <c r="O58" s="182">
        <v>76</v>
      </c>
      <c r="P58" s="182">
        <v>77</v>
      </c>
      <c r="Q58" s="182">
        <v>9</v>
      </c>
      <c r="R58" s="182">
        <v>17</v>
      </c>
      <c r="S58" s="155">
        <v>97</v>
      </c>
      <c r="T58" s="155">
        <v>70</v>
      </c>
      <c r="U58" s="155">
        <v>5</v>
      </c>
      <c r="V58" s="155">
        <v>236</v>
      </c>
      <c r="W58" s="151"/>
      <c r="X58" s="151"/>
    </row>
    <row r="59" spans="1:24" ht="18" customHeight="1">
      <c r="A59" s="172">
        <v>2015</v>
      </c>
      <c r="B59" s="155" t="s">
        <v>60</v>
      </c>
      <c r="C59" s="152" t="s">
        <v>766</v>
      </c>
      <c r="D59" s="155" t="s">
        <v>45</v>
      </c>
      <c r="E59" s="182">
        <v>907</v>
      </c>
      <c r="F59" s="182">
        <v>726</v>
      </c>
      <c r="G59" s="182">
        <v>626</v>
      </c>
      <c r="H59" s="182">
        <v>100</v>
      </c>
      <c r="I59" s="182">
        <v>88</v>
      </c>
      <c r="J59" s="182">
        <v>80</v>
      </c>
      <c r="K59" s="182">
        <v>8</v>
      </c>
      <c r="L59" s="182">
        <v>127</v>
      </c>
      <c r="M59" s="182">
        <v>86</v>
      </c>
      <c r="N59" s="182">
        <v>694</v>
      </c>
      <c r="O59" s="182">
        <v>290</v>
      </c>
      <c r="P59" s="182">
        <v>615</v>
      </c>
      <c r="Q59" s="182">
        <v>62</v>
      </c>
      <c r="R59" s="182">
        <v>90</v>
      </c>
      <c r="S59" s="155">
        <v>139</v>
      </c>
      <c r="T59" s="155">
        <v>52</v>
      </c>
      <c r="U59" s="155">
        <v>0</v>
      </c>
      <c r="V59" s="155">
        <v>99</v>
      </c>
      <c r="W59" s="151"/>
      <c r="X59" s="151"/>
    </row>
    <row r="60" spans="1:24" ht="18" customHeight="1">
      <c r="A60" s="172">
        <v>2015</v>
      </c>
      <c r="B60" s="155" t="s">
        <v>69</v>
      </c>
      <c r="C60" s="152" t="s">
        <v>767</v>
      </c>
      <c r="D60" s="155" t="s">
        <v>68</v>
      </c>
      <c r="E60" s="182">
        <v>762</v>
      </c>
      <c r="F60" s="182">
        <v>624</v>
      </c>
      <c r="G60" s="182">
        <v>288</v>
      </c>
      <c r="H60" s="182">
        <v>336</v>
      </c>
      <c r="I60" s="182">
        <v>69</v>
      </c>
      <c r="J60" s="182">
        <v>21</v>
      </c>
      <c r="K60" s="182">
        <v>48</v>
      </c>
      <c r="L60" s="182">
        <v>115</v>
      </c>
      <c r="M60" s="182">
        <v>27</v>
      </c>
      <c r="N60" s="182">
        <v>620</v>
      </c>
      <c r="O60" s="182">
        <v>295</v>
      </c>
      <c r="P60" s="182">
        <v>467</v>
      </c>
      <c r="Q60" s="182">
        <v>34</v>
      </c>
      <c r="R60" s="182">
        <v>104</v>
      </c>
      <c r="S60" s="155">
        <v>175</v>
      </c>
      <c r="T60" s="155">
        <v>340</v>
      </c>
      <c r="U60" s="155">
        <v>0</v>
      </c>
      <c r="V60" s="155">
        <v>74</v>
      </c>
      <c r="W60" s="151"/>
      <c r="X60" s="151"/>
    </row>
    <row r="61" spans="1:24" ht="18" customHeight="1">
      <c r="A61" s="172">
        <v>2015</v>
      </c>
      <c r="B61" s="155" t="s">
        <v>75</v>
      </c>
      <c r="C61" s="152" t="s">
        <v>768</v>
      </c>
      <c r="D61" s="155" t="s">
        <v>68</v>
      </c>
      <c r="E61" s="182">
        <v>809</v>
      </c>
      <c r="F61" s="182">
        <v>508</v>
      </c>
      <c r="G61" s="182">
        <v>314</v>
      </c>
      <c r="H61" s="182">
        <v>194</v>
      </c>
      <c r="I61" s="182">
        <v>79</v>
      </c>
      <c r="J61" s="182">
        <v>58</v>
      </c>
      <c r="K61" s="182">
        <v>21</v>
      </c>
      <c r="L61" s="182">
        <v>188</v>
      </c>
      <c r="M61" s="182">
        <v>59</v>
      </c>
      <c r="N61" s="182">
        <v>562</v>
      </c>
      <c r="O61" s="182">
        <v>309</v>
      </c>
      <c r="P61" s="182">
        <v>500</v>
      </c>
      <c r="Q61" s="182">
        <v>90</v>
      </c>
      <c r="R61" s="182">
        <v>75</v>
      </c>
      <c r="S61" s="155">
        <v>465</v>
      </c>
      <c r="T61" s="155">
        <v>384</v>
      </c>
      <c r="U61" s="155">
        <v>200</v>
      </c>
      <c r="V61" s="155">
        <v>184</v>
      </c>
      <c r="W61" s="151"/>
      <c r="X61" s="151"/>
    </row>
    <row r="62" spans="1:24" ht="18" customHeight="1">
      <c r="A62" s="172">
        <v>2015</v>
      </c>
      <c r="B62" s="155" t="s">
        <v>81</v>
      </c>
      <c r="C62" s="152" t="s">
        <v>769</v>
      </c>
      <c r="D62" s="155" t="s">
        <v>68</v>
      </c>
      <c r="E62" s="182">
        <v>412</v>
      </c>
      <c r="F62" s="182">
        <v>343</v>
      </c>
      <c r="G62" s="182">
        <v>91</v>
      </c>
      <c r="H62" s="182">
        <v>252</v>
      </c>
      <c r="I62" s="182">
        <v>58</v>
      </c>
      <c r="J62" s="182">
        <v>8</v>
      </c>
      <c r="K62" s="182">
        <v>50</v>
      </c>
      <c r="L62" s="182">
        <v>37</v>
      </c>
      <c r="M62" s="182">
        <v>19</v>
      </c>
      <c r="N62" s="182">
        <v>356</v>
      </c>
      <c r="O62" s="182">
        <v>157</v>
      </c>
      <c r="P62" s="182">
        <v>255</v>
      </c>
      <c r="Q62" s="182">
        <v>28</v>
      </c>
      <c r="R62" s="182">
        <v>54</v>
      </c>
      <c r="S62" s="155">
        <v>89</v>
      </c>
      <c r="T62" s="155">
        <v>45</v>
      </c>
      <c r="U62" s="155">
        <v>62</v>
      </c>
      <c r="V62" s="155">
        <v>56</v>
      </c>
      <c r="W62" s="151"/>
      <c r="X62" s="151"/>
    </row>
    <row r="63" spans="1:24" ht="18" customHeight="1">
      <c r="A63" s="172">
        <v>2014</v>
      </c>
      <c r="B63" s="155" t="s">
        <v>46</v>
      </c>
      <c r="C63" s="152" t="s">
        <v>764</v>
      </c>
      <c r="D63" s="155" t="s">
        <v>45</v>
      </c>
      <c r="E63" s="182">
        <v>655</v>
      </c>
      <c r="F63" s="182">
        <v>373</v>
      </c>
      <c r="G63" s="182">
        <v>247</v>
      </c>
      <c r="H63" s="182">
        <v>126</v>
      </c>
      <c r="I63" s="182">
        <v>68</v>
      </c>
      <c r="J63" s="182">
        <v>54</v>
      </c>
      <c r="K63" s="182">
        <v>14</v>
      </c>
      <c r="L63" s="182">
        <v>245</v>
      </c>
      <c r="M63" s="182">
        <v>32</v>
      </c>
      <c r="N63" s="182">
        <v>378</v>
      </c>
      <c r="O63" s="182">
        <v>278</v>
      </c>
      <c r="P63" s="182">
        <v>377</v>
      </c>
      <c r="Q63" s="182">
        <v>84</v>
      </c>
      <c r="R63" s="182">
        <v>119</v>
      </c>
      <c r="S63" s="155">
        <v>452</v>
      </c>
      <c r="T63" s="155">
        <v>374</v>
      </c>
      <c r="U63" s="155">
        <v>0</v>
      </c>
      <c r="V63" s="155">
        <v>480</v>
      </c>
      <c r="W63" s="151"/>
      <c r="X63" s="151"/>
    </row>
    <row r="64" spans="1:24" ht="18" customHeight="1">
      <c r="A64" s="172">
        <v>2014</v>
      </c>
      <c r="B64" s="155" t="s">
        <v>53</v>
      </c>
      <c r="C64" s="152" t="s">
        <v>765</v>
      </c>
      <c r="D64" s="155" t="s">
        <v>45</v>
      </c>
      <c r="E64" s="182">
        <v>141</v>
      </c>
      <c r="F64" s="182">
        <v>111</v>
      </c>
      <c r="G64" s="182">
        <v>98</v>
      </c>
      <c r="H64" s="182">
        <v>13</v>
      </c>
      <c r="I64" s="182">
        <v>5</v>
      </c>
      <c r="J64" s="182">
        <v>2</v>
      </c>
      <c r="K64" s="182">
        <v>3</v>
      </c>
      <c r="L64" s="182">
        <v>21</v>
      </c>
      <c r="M64" s="182">
        <v>1</v>
      </c>
      <c r="N64" s="182">
        <v>119</v>
      </c>
      <c r="O64" s="182">
        <v>42</v>
      </c>
      <c r="P64" s="182">
        <v>99</v>
      </c>
      <c r="Q64" s="182">
        <v>9</v>
      </c>
      <c r="R64" s="182">
        <v>28</v>
      </c>
      <c r="S64" s="155">
        <v>52</v>
      </c>
      <c r="T64" s="155">
        <v>95</v>
      </c>
      <c r="U64" s="155">
        <v>0</v>
      </c>
      <c r="V64" s="155">
        <v>280</v>
      </c>
      <c r="W64" s="151"/>
      <c r="X64" s="151"/>
    </row>
    <row r="65" spans="1:24" ht="18" customHeight="1">
      <c r="A65" s="172">
        <v>2014</v>
      </c>
      <c r="B65" s="155" t="s">
        <v>60</v>
      </c>
      <c r="C65" s="152" t="s">
        <v>766</v>
      </c>
      <c r="D65" s="155" t="s">
        <v>45</v>
      </c>
      <c r="E65" s="182">
        <v>876</v>
      </c>
      <c r="F65" s="182">
        <v>709</v>
      </c>
      <c r="G65" s="182">
        <v>674</v>
      </c>
      <c r="H65" s="182">
        <v>35</v>
      </c>
      <c r="I65" s="182">
        <v>64</v>
      </c>
      <c r="J65" s="182">
        <v>57</v>
      </c>
      <c r="K65" s="182">
        <v>7</v>
      </c>
      <c r="L65" s="182">
        <v>115</v>
      </c>
      <c r="M65" s="182">
        <v>72</v>
      </c>
      <c r="N65" s="182">
        <v>689</v>
      </c>
      <c r="O65" s="182">
        <v>443</v>
      </c>
      <c r="P65" s="182">
        <v>430</v>
      </c>
      <c r="Q65" s="182">
        <v>60</v>
      </c>
      <c r="R65" s="182">
        <v>43</v>
      </c>
      <c r="S65" s="155" t="s">
        <v>684</v>
      </c>
      <c r="T65" s="155" t="s">
        <v>684</v>
      </c>
      <c r="U65" s="155" t="s">
        <v>684</v>
      </c>
      <c r="V65" s="155" t="s">
        <v>684</v>
      </c>
      <c r="W65" s="151"/>
      <c r="X65" s="151"/>
    </row>
    <row r="66" spans="1:24" ht="18" customHeight="1">
      <c r="A66" s="172">
        <v>2014</v>
      </c>
      <c r="B66" s="155" t="s">
        <v>69</v>
      </c>
      <c r="C66" s="152" t="s">
        <v>767</v>
      </c>
      <c r="D66" s="155" t="s">
        <v>68</v>
      </c>
      <c r="E66" s="182">
        <v>846</v>
      </c>
      <c r="F66" s="182">
        <v>689</v>
      </c>
      <c r="G66" s="182">
        <v>354</v>
      </c>
      <c r="H66" s="182">
        <v>335</v>
      </c>
      <c r="I66" s="182">
        <v>144</v>
      </c>
      <c r="J66" s="182">
        <v>123</v>
      </c>
      <c r="K66" s="182">
        <v>21</v>
      </c>
      <c r="L66" s="182">
        <v>124</v>
      </c>
      <c r="M66" s="182">
        <v>103</v>
      </c>
      <c r="N66" s="182">
        <v>619</v>
      </c>
      <c r="O66" s="182">
        <v>270</v>
      </c>
      <c r="P66" s="182">
        <v>570</v>
      </c>
      <c r="Q66" s="182">
        <v>53</v>
      </c>
      <c r="R66" s="182">
        <v>171</v>
      </c>
      <c r="S66" s="155">
        <v>217</v>
      </c>
      <c r="T66" s="155">
        <v>355</v>
      </c>
      <c r="U66" s="155">
        <v>0</v>
      </c>
      <c r="V66" s="155">
        <v>332</v>
      </c>
      <c r="W66" s="151"/>
      <c r="X66" s="151"/>
    </row>
    <row r="67" spans="1:24" ht="18" customHeight="1">
      <c r="A67" s="172">
        <v>2014</v>
      </c>
      <c r="B67" s="155" t="s">
        <v>75</v>
      </c>
      <c r="C67" s="152" t="s">
        <v>768</v>
      </c>
      <c r="D67" s="155" t="s">
        <v>68</v>
      </c>
      <c r="E67" s="182">
        <v>954</v>
      </c>
      <c r="F67" s="182">
        <v>684</v>
      </c>
      <c r="G67" s="182">
        <v>470</v>
      </c>
      <c r="H67" s="182">
        <v>214</v>
      </c>
      <c r="I67" s="182">
        <v>101</v>
      </c>
      <c r="J67" s="182">
        <v>87</v>
      </c>
      <c r="K67" s="182">
        <v>14</v>
      </c>
      <c r="L67" s="182">
        <v>183</v>
      </c>
      <c r="M67" s="182">
        <v>59</v>
      </c>
      <c r="N67" s="182">
        <v>712</v>
      </c>
      <c r="O67" s="182">
        <v>347</v>
      </c>
      <c r="P67" s="182">
        <v>606</v>
      </c>
      <c r="Q67" s="182">
        <v>90</v>
      </c>
      <c r="R67" s="182">
        <v>43</v>
      </c>
      <c r="S67" s="155">
        <v>487</v>
      </c>
      <c r="T67" s="155">
        <v>440</v>
      </c>
      <c r="U67" s="155">
        <v>1</v>
      </c>
      <c r="V67" s="155">
        <v>143</v>
      </c>
      <c r="W67" s="151"/>
      <c r="X67" s="151"/>
    </row>
    <row r="68" spans="1:24" ht="18" customHeight="1">
      <c r="A68" s="172">
        <v>2014</v>
      </c>
      <c r="B68" s="155" t="s">
        <v>81</v>
      </c>
      <c r="C68" s="152" t="s">
        <v>769</v>
      </c>
      <c r="D68" s="155" t="s">
        <v>68</v>
      </c>
      <c r="E68" s="182">
        <v>426</v>
      </c>
      <c r="F68" s="182">
        <v>341</v>
      </c>
      <c r="G68" s="182">
        <v>109</v>
      </c>
      <c r="H68" s="182">
        <v>232</v>
      </c>
      <c r="I68" s="182">
        <v>34</v>
      </c>
      <c r="J68" s="182">
        <v>11</v>
      </c>
      <c r="K68" s="182">
        <v>23</v>
      </c>
      <c r="L68" s="182">
        <v>48</v>
      </c>
      <c r="M68" s="182">
        <v>22</v>
      </c>
      <c r="N68" s="182">
        <v>356</v>
      </c>
      <c r="O68" s="182">
        <v>165</v>
      </c>
      <c r="P68" s="182">
        <v>261</v>
      </c>
      <c r="Q68" s="182">
        <v>36</v>
      </c>
      <c r="R68" s="182">
        <v>61</v>
      </c>
      <c r="S68" s="155">
        <v>59</v>
      </c>
      <c r="T68" s="155">
        <v>49</v>
      </c>
      <c r="U68" s="155">
        <v>61</v>
      </c>
      <c r="V68" s="155">
        <v>55</v>
      </c>
      <c r="W68" s="151"/>
      <c r="X68" s="151"/>
    </row>
    <row r="69" spans="1:24" ht="18" customHeight="1">
      <c r="A69" s="172">
        <v>2013</v>
      </c>
      <c r="B69" s="155" t="s">
        <v>46</v>
      </c>
      <c r="C69" s="152" t="s">
        <v>764</v>
      </c>
      <c r="D69" s="155" t="s">
        <v>45</v>
      </c>
      <c r="E69" s="182">
        <v>692</v>
      </c>
      <c r="F69" s="182">
        <v>399</v>
      </c>
      <c r="G69" s="182">
        <v>250</v>
      </c>
      <c r="H69" s="182">
        <v>149</v>
      </c>
      <c r="I69" s="182">
        <v>97</v>
      </c>
      <c r="J69" s="182">
        <v>74</v>
      </c>
      <c r="K69" s="182">
        <v>23</v>
      </c>
      <c r="L69" s="182">
        <v>190</v>
      </c>
      <c r="M69" s="182">
        <v>50</v>
      </c>
      <c r="N69" s="182">
        <v>452</v>
      </c>
      <c r="O69" s="155" t="s">
        <v>684</v>
      </c>
      <c r="P69" s="155" t="s">
        <v>684</v>
      </c>
      <c r="Q69" s="182">
        <v>94</v>
      </c>
      <c r="R69" s="182">
        <v>153</v>
      </c>
      <c r="S69" s="155">
        <v>452</v>
      </c>
      <c r="T69" s="155">
        <v>336</v>
      </c>
      <c r="U69" s="155">
        <v>0</v>
      </c>
      <c r="V69" s="155">
        <v>432</v>
      </c>
      <c r="W69" s="151"/>
      <c r="X69" s="151"/>
    </row>
    <row r="70" spans="1:24" ht="18" customHeight="1">
      <c r="A70" s="172">
        <v>2013</v>
      </c>
      <c r="B70" s="155" t="s">
        <v>53</v>
      </c>
      <c r="C70" s="152" t="s">
        <v>765</v>
      </c>
      <c r="D70" s="155" t="s">
        <v>45</v>
      </c>
      <c r="E70" s="182">
        <v>118</v>
      </c>
      <c r="F70" s="182">
        <v>92</v>
      </c>
      <c r="G70" s="182">
        <v>63</v>
      </c>
      <c r="H70" s="182">
        <v>29</v>
      </c>
      <c r="I70" s="182">
        <v>24</v>
      </c>
      <c r="J70" s="182">
        <v>22</v>
      </c>
      <c r="K70" s="182">
        <v>2</v>
      </c>
      <c r="L70" s="182">
        <v>18</v>
      </c>
      <c r="M70" s="182">
        <v>3</v>
      </c>
      <c r="N70" s="182">
        <v>97</v>
      </c>
      <c r="O70" s="155" t="s">
        <v>684</v>
      </c>
      <c r="P70" s="155" t="s">
        <v>684</v>
      </c>
      <c r="Q70" s="182">
        <v>7</v>
      </c>
      <c r="R70" s="182">
        <v>7</v>
      </c>
      <c r="S70" s="155">
        <v>76</v>
      </c>
      <c r="T70" s="155">
        <v>74</v>
      </c>
      <c r="U70" s="155">
        <v>0</v>
      </c>
      <c r="V70" s="155">
        <v>199</v>
      </c>
      <c r="W70" s="151"/>
      <c r="X70" s="151"/>
    </row>
    <row r="71" spans="1:24" ht="18" customHeight="1">
      <c r="A71" s="172">
        <v>2013</v>
      </c>
      <c r="B71" s="155" t="s">
        <v>60</v>
      </c>
      <c r="C71" s="152" t="s">
        <v>766</v>
      </c>
      <c r="D71" s="155" t="s">
        <v>45</v>
      </c>
      <c r="E71" s="182">
        <v>1061</v>
      </c>
      <c r="F71" s="182">
        <v>972</v>
      </c>
      <c r="G71" s="182">
        <v>821</v>
      </c>
      <c r="H71" s="182">
        <v>151</v>
      </c>
      <c r="I71" s="182">
        <v>126</v>
      </c>
      <c r="J71" s="182">
        <v>72</v>
      </c>
      <c r="K71" s="182">
        <v>54</v>
      </c>
      <c r="L71" s="182">
        <v>90</v>
      </c>
      <c r="M71" s="182">
        <v>170</v>
      </c>
      <c r="N71" s="182">
        <v>801</v>
      </c>
      <c r="O71" s="155" t="s">
        <v>684</v>
      </c>
      <c r="P71" s="155" t="s">
        <v>684</v>
      </c>
      <c r="Q71" s="182">
        <v>29</v>
      </c>
      <c r="R71" s="182">
        <v>81</v>
      </c>
      <c r="S71" s="155" t="s">
        <v>684</v>
      </c>
      <c r="T71" s="155" t="s">
        <v>684</v>
      </c>
      <c r="U71" s="155" t="s">
        <v>684</v>
      </c>
      <c r="V71" s="155" t="s">
        <v>684</v>
      </c>
      <c r="W71" s="151"/>
      <c r="X71" s="151"/>
    </row>
    <row r="72" spans="1:24" ht="18" customHeight="1">
      <c r="A72" s="172">
        <v>2013</v>
      </c>
      <c r="B72" s="155" t="s">
        <v>69</v>
      </c>
      <c r="C72" s="152" t="s">
        <v>767</v>
      </c>
      <c r="D72" s="155" t="s">
        <v>68</v>
      </c>
      <c r="E72" s="182">
        <v>760</v>
      </c>
      <c r="F72" s="182">
        <v>641</v>
      </c>
      <c r="G72" s="182">
        <v>201</v>
      </c>
      <c r="H72" s="182">
        <v>440</v>
      </c>
      <c r="I72" s="182">
        <v>47</v>
      </c>
      <c r="J72" s="182">
        <v>25</v>
      </c>
      <c r="K72" s="182">
        <v>22</v>
      </c>
      <c r="L72" s="182">
        <v>79</v>
      </c>
      <c r="M72" s="182">
        <v>60</v>
      </c>
      <c r="N72" s="182">
        <v>621</v>
      </c>
      <c r="O72" s="155" t="s">
        <v>684</v>
      </c>
      <c r="P72" s="155" t="s">
        <v>684</v>
      </c>
      <c r="Q72" s="182">
        <v>57</v>
      </c>
      <c r="R72" s="182">
        <v>270</v>
      </c>
      <c r="S72" s="155">
        <v>212</v>
      </c>
      <c r="T72" s="155">
        <v>370</v>
      </c>
      <c r="U72" s="155">
        <v>0</v>
      </c>
      <c r="V72" s="155">
        <v>314</v>
      </c>
      <c r="W72" s="151"/>
      <c r="X72" s="151"/>
    </row>
    <row r="73" spans="1:24" ht="18" customHeight="1">
      <c r="A73" s="172">
        <v>2013</v>
      </c>
      <c r="B73" s="155" t="s">
        <v>75</v>
      </c>
      <c r="C73" s="152" t="s">
        <v>768</v>
      </c>
      <c r="D73" s="155" t="s">
        <v>68</v>
      </c>
      <c r="E73" s="182">
        <v>1052</v>
      </c>
      <c r="F73" s="182">
        <v>707</v>
      </c>
      <c r="G73" s="182">
        <v>415</v>
      </c>
      <c r="H73" s="182">
        <v>292</v>
      </c>
      <c r="I73" s="182">
        <v>117</v>
      </c>
      <c r="J73" s="182">
        <v>85</v>
      </c>
      <c r="K73" s="182">
        <v>32</v>
      </c>
      <c r="L73" s="182">
        <v>297</v>
      </c>
      <c r="M73" s="182">
        <v>80</v>
      </c>
      <c r="N73" s="182">
        <v>675</v>
      </c>
      <c r="O73" s="155" t="s">
        <v>684</v>
      </c>
      <c r="P73" s="155" t="s">
        <v>684</v>
      </c>
      <c r="Q73" s="182">
        <v>82</v>
      </c>
      <c r="R73" s="182">
        <v>58</v>
      </c>
      <c r="S73" s="155">
        <v>588</v>
      </c>
      <c r="T73" s="155">
        <v>460</v>
      </c>
      <c r="U73" s="155">
        <v>64</v>
      </c>
      <c r="V73" s="155">
        <v>145</v>
      </c>
      <c r="W73" s="151"/>
      <c r="X73" s="151"/>
    </row>
    <row r="74" spans="1:24" ht="18" customHeight="1">
      <c r="A74" s="172">
        <v>2013</v>
      </c>
      <c r="B74" s="155" t="s">
        <v>81</v>
      </c>
      <c r="C74" s="152" t="s">
        <v>769</v>
      </c>
      <c r="D74" s="155" t="s">
        <v>68</v>
      </c>
      <c r="E74" s="182">
        <v>591</v>
      </c>
      <c r="F74" s="182">
        <v>405</v>
      </c>
      <c r="G74" s="182">
        <v>32</v>
      </c>
      <c r="H74" s="182">
        <v>373</v>
      </c>
      <c r="I74" s="182">
        <v>46</v>
      </c>
      <c r="J74" s="182">
        <v>19</v>
      </c>
      <c r="K74" s="182">
        <v>27</v>
      </c>
      <c r="L74" s="182">
        <v>52</v>
      </c>
      <c r="M74" s="182">
        <v>189</v>
      </c>
      <c r="N74" s="182">
        <v>350</v>
      </c>
      <c r="O74" s="155" t="s">
        <v>684</v>
      </c>
      <c r="P74" s="155" t="s">
        <v>684</v>
      </c>
      <c r="Q74" s="182">
        <v>53</v>
      </c>
      <c r="R74" s="182">
        <v>80</v>
      </c>
      <c r="S74" s="155">
        <v>78</v>
      </c>
      <c r="T74" s="155">
        <v>51</v>
      </c>
      <c r="U74" s="155">
        <v>0</v>
      </c>
      <c r="V74" s="155">
        <v>52</v>
      </c>
      <c r="W74" s="151"/>
      <c r="X74" s="151"/>
    </row>
    <row r="75" spans="1:24" ht="18" customHeight="1">
      <c r="A75" s="172">
        <v>2012</v>
      </c>
      <c r="B75" s="155" t="s">
        <v>46</v>
      </c>
      <c r="C75" s="152" t="s">
        <v>764</v>
      </c>
      <c r="D75" s="155" t="s">
        <v>45</v>
      </c>
      <c r="E75" s="182">
        <v>804</v>
      </c>
      <c r="F75" s="182">
        <v>477</v>
      </c>
      <c r="G75" s="182">
        <v>299</v>
      </c>
      <c r="H75" s="182">
        <v>178</v>
      </c>
      <c r="I75" s="182">
        <v>129</v>
      </c>
      <c r="J75" s="182">
        <v>92</v>
      </c>
      <c r="K75" s="182">
        <v>37</v>
      </c>
      <c r="L75" s="182">
        <v>4</v>
      </c>
      <c r="M75" s="155" t="s">
        <v>684</v>
      </c>
      <c r="N75" s="155" t="s">
        <v>684</v>
      </c>
      <c r="O75" s="155" t="s">
        <v>684</v>
      </c>
      <c r="P75" s="155" t="s">
        <v>684</v>
      </c>
      <c r="Q75" s="182">
        <v>102</v>
      </c>
      <c r="R75" s="182">
        <v>122</v>
      </c>
      <c r="S75" s="155">
        <v>364</v>
      </c>
      <c r="T75" s="155">
        <v>605</v>
      </c>
      <c r="U75" s="155" t="s">
        <v>684</v>
      </c>
      <c r="V75" s="155">
        <v>333</v>
      </c>
      <c r="W75" s="151"/>
      <c r="X75" s="151"/>
    </row>
    <row r="76" spans="1:24" ht="18" customHeight="1">
      <c r="A76" s="172">
        <v>2012</v>
      </c>
      <c r="B76" s="155" t="s">
        <v>53</v>
      </c>
      <c r="C76" s="152" t="s">
        <v>765</v>
      </c>
      <c r="D76" s="155" t="s">
        <v>45</v>
      </c>
      <c r="E76" s="182">
        <v>188</v>
      </c>
      <c r="F76" s="182">
        <v>156</v>
      </c>
      <c r="G76" s="182">
        <v>141</v>
      </c>
      <c r="H76" s="182">
        <v>15</v>
      </c>
      <c r="I76" s="182">
        <v>33</v>
      </c>
      <c r="J76" s="182">
        <v>31</v>
      </c>
      <c r="K76" s="182">
        <v>2</v>
      </c>
      <c r="L76" s="182">
        <v>0</v>
      </c>
      <c r="M76" s="155" t="s">
        <v>684</v>
      </c>
      <c r="N76" s="155" t="s">
        <v>684</v>
      </c>
      <c r="O76" s="155" t="s">
        <v>684</v>
      </c>
      <c r="P76" s="155" t="s">
        <v>684</v>
      </c>
      <c r="Q76" s="182">
        <v>9</v>
      </c>
      <c r="R76" s="182">
        <v>12</v>
      </c>
      <c r="S76" s="155">
        <v>96</v>
      </c>
      <c r="T76" s="155">
        <v>117</v>
      </c>
      <c r="U76" s="155" t="s">
        <v>684</v>
      </c>
      <c r="V76" s="155">
        <v>177</v>
      </c>
      <c r="W76" s="151"/>
      <c r="X76" s="151"/>
    </row>
    <row r="77" spans="1:24" ht="18" customHeight="1">
      <c r="A77" s="172">
        <v>2012</v>
      </c>
      <c r="B77" s="155" t="s">
        <v>60</v>
      </c>
      <c r="C77" s="152" t="s">
        <v>766</v>
      </c>
      <c r="D77" s="155" t="s">
        <v>45</v>
      </c>
      <c r="E77" s="182">
        <v>826</v>
      </c>
      <c r="F77" s="182">
        <v>767</v>
      </c>
      <c r="G77" s="182">
        <v>631</v>
      </c>
      <c r="H77" s="182">
        <v>136</v>
      </c>
      <c r="I77" s="182">
        <v>44</v>
      </c>
      <c r="J77" s="182">
        <v>40</v>
      </c>
      <c r="K77" s="182">
        <v>4</v>
      </c>
      <c r="L77" s="182">
        <v>15</v>
      </c>
      <c r="M77" s="155" t="s">
        <v>684</v>
      </c>
      <c r="N77" s="155" t="s">
        <v>684</v>
      </c>
      <c r="O77" s="155" t="s">
        <v>684</v>
      </c>
      <c r="P77" s="155" t="s">
        <v>684</v>
      </c>
      <c r="Q77" s="182">
        <v>26</v>
      </c>
      <c r="R77" s="182">
        <v>97</v>
      </c>
      <c r="S77" s="155" t="s">
        <v>684</v>
      </c>
      <c r="T77" s="155" t="s">
        <v>684</v>
      </c>
      <c r="U77" s="155" t="s">
        <v>684</v>
      </c>
      <c r="V77" s="155" t="s">
        <v>684</v>
      </c>
      <c r="W77" s="151"/>
      <c r="X77" s="151"/>
    </row>
    <row r="78" spans="1:24" ht="18" customHeight="1">
      <c r="A78" s="172">
        <v>2012</v>
      </c>
      <c r="B78" s="155" t="s">
        <v>69</v>
      </c>
      <c r="C78" s="152" t="s">
        <v>767</v>
      </c>
      <c r="D78" s="155" t="s">
        <v>68</v>
      </c>
      <c r="E78" s="182">
        <v>1037</v>
      </c>
      <c r="F78" s="182">
        <v>883</v>
      </c>
      <c r="G78" s="182">
        <v>230</v>
      </c>
      <c r="H78" s="182">
        <v>653</v>
      </c>
      <c r="I78" s="182">
        <v>140</v>
      </c>
      <c r="J78" s="182">
        <v>13</v>
      </c>
      <c r="K78" s="182">
        <v>127</v>
      </c>
      <c r="L78" s="182">
        <v>0</v>
      </c>
      <c r="M78" s="155" t="s">
        <v>684</v>
      </c>
      <c r="N78" s="155" t="s">
        <v>684</v>
      </c>
      <c r="O78" s="155" t="s">
        <v>684</v>
      </c>
      <c r="P78" s="155" t="s">
        <v>684</v>
      </c>
      <c r="Q78" s="182">
        <v>77</v>
      </c>
      <c r="R78" s="182">
        <v>277</v>
      </c>
      <c r="S78" s="155">
        <v>215</v>
      </c>
      <c r="T78" s="155">
        <v>370</v>
      </c>
      <c r="U78" s="155" t="s">
        <v>684</v>
      </c>
      <c r="V78" s="155">
        <v>207</v>
      </c>
      <c r="W78" s="151"/>
      <c r="X78" s="151"/>
    </row>
    <row r="79" spans="1:24" ht="18" customHeight="1">
      <c r="A79" s="172">
        <v>2012</v>
      </c>
      <c r="B79" s="155" t="s">
        <v>75</v>
      </c>
      <c r="C79" s="152" t="s">
        <v>768</v>
      </c>
      <c r="D79" s="155" t="s">
        <v>68</v>
      </c>
      <c r="E79" s="182">
        <v>1018</v>
      </c>
      <c r="F79" s="182">
        <v>646</v>
      </c>
      <c r="G79" s="182">
        <v>351</v>
      </c>
      <c r="H79" s="182">
        <v>295</v>
      </c>
      <c r="I79" s="182">
        <v>59</v>
      </c>
      <c r="J79" s="182">
        <v>39</v>
      </c>
      <c r="K79" s="182">
        <v>20</v>
      </c>
      <c r="L79" s="182">
        <v>42</v>
      </c>
      <c r="M79" s="155" t="s">
        <v>684</v>
      </c>
      <c r="N79" s="155" t="s">
        <v>684</v>
      </c>
      <c r="O79" s="155" t="s">
        <v>684</v>
      </c>
      <c r="P79" s="155" t="s">
        <v>684</v>
      </c>
      <c r="Q79" s="182">
        <v>113</v>
      </c>
      <c r="R79" s="182">
        <v>95</v>
      </c>
      <c r="S79" s="155">
        <v>554</v>
      </c>
      <c r="T79" s="155">
        <v>307</v>
      </c>
      <c r="U79" s="155" t="s">
        <v>684</v>
      </c>
      <c r="V79" s="155">
        <v>112</v>
      </c>
      <c r="W79" s="151"/>
      <c r="X79" s="151"/>
    </row>
    <row r="80" spans="1:24" ht="18" customHeight="1">
      <c r="A80" s="172">
        <v>2012</v>
      </c>
      <c r="B80" s="155" t="s">
        <v>81</v>
      </c>
      <c r="C80" s="152" t="s">
        <v>769</v>
      </c>
      <c r="D80" s="155" t="s">
        <v>68</v>
      </c>
      <c r="E80" s="182">
        <v>358</v>
      </c>
      <c r="F80" s="182">
        <v>265</v>
      </c>
      <c r="G80" s="182">
        <v>45</v>
      </c>
      <c r="H80" s="182">
        <v>220</v>
      </c>
      <c r="I80" s="182">
        <v>45</v>
      </c>
      <c r="J80" s="182">
        <v>19</v>
      </c>
      <c r="K80" s="182">
        <v>26</v>
      </c>
      <c r="L80" s="182">
        <v>0</v>
      </c>
      <c r="M80" s="155" t="s">
        <v>684</v>
      </c>
      <c r="N80" s="155" t="s">
        <v>684</v>
      </c>
      <c r="O80" s="155" t="s">
        <v>684</v>
      </c>
      <c r="P80" s="155" t="s">
        <v>684</v>
      </c>
      <c r="Q80" s="182">
        <v>31</v>
      </c>
      <c r="R80" s="182">
        <v>78</v>
      </c>
      <c r="S80" s="155">
        <v>83</v>
      </c>
      <c r="T80" s="155">
        <v>13</v>
      </c>
      <c r="U80" s="155" t="s">
        <v>684</v>
      </c>
      <c r="V80" s="155">
        <v>39</v>
      </c>
      <c r="W80" s="151"/>
      <c r="X80" s="151"/>
    </row>
    <row r="81" spans="1:24" ht="18" customHeight="1">
      <c r="A81" s="172">
        <v>2011</v>
      </c>
      <c r="B81" s="155" t="s">
        <v>46</v>
      </c>
      <c r="C81" s="152" t="s">
        <v>764</v>
      </c>
      <c r="D81" s="155" t="s">
        <v>45</v>
      </c>
      <c r="E81" s="182">
        <v>733</v>
      </c>
      <c r="F81" s="182">
        <v>471</v>
      </c>
      <c r="G81" s="182">
        <v>315</v>
      </c>
      <c r="H81" s="182">
        <v>156</v>
      </c>
      <c r="I81" s="182">
        <v>162</v>
      </c>
      <c r="J81" s="182">
        <v>122</v>
      </c>
      <c r="K81" s="182">
        <v>40</v>
      </c>
      <c r="L81" s="182">
        <v>3</v>
      </c>
      <c r="M81" s="155" t="s">
        <v>684</v>
      </c>
      <c r="N81" s="155" t="s">
        <v>684</v>
      </c>
      <c r="O81" s="155" t="s">
        <v>684</v>
      </c>
      <c r="P81" s="155" t="s">
        <v>684</v>
      </c>
      <c r="Q81" s="182">
        <v>81</v>
      </c>
      <c r="R81" s="182">
        <v>94</v>
      </c>
      <c r="S81" s="155">
        <v>302</v>
      </c>
      <c r="T81" s="155">
        <v>681</v>
      </c>
      <c r="U81" s="155" t="s">
        <v>684</v>
      </c>
      <c r="V81" s="155">
        <v>299</v>
      </c>
      <c r="W81" s="151"/>
      <c r="X81" s="151"/>
    </row>
    <row r="82" spans="1:24" ht="18" customHeight="1">
      <c r="A82" s="172">
        <v>2011</v>
      </c>
      <c r="B82" s="155" t="s">
        <v>53</v>
      </c>
      <c r="C82" s="152" t="s">
        <v>765</v>
      </c>
      <c r="D82" s="155" t="s">
        <v>45</v>
      </c>
      <c r="E82" s="182">
        <v>208</v>
      </c>
      <c r="F82" s="182">
        <v>162</v>
      </c>
      <c r="G82" s="182">
        <v>127</v>
      </c>
      <c r="H82" s="182">
        <v>35</v>
      </c>
      <c r="I82" s="182">
        <v>21</v>
      </c>
      <c r="J82" s="182">
        <v>9</v>
      </c>
      <c r="K82" s="182">
        <v>12</v>
      </c>
      <c r="L82" s="182">
        <v>0</v>
      </c>
      <c r="M82" s="155" t="s">
        <v>684</v>
      </c>
      <c r="N82" s="155" t="s">
        <v>684</v>
      </c>
      <c r="O82" s="155" t="s">
        <v>684</v>
      </c>
      <c r="P82" s="155" t="s">
        <v>684</v>
      </c>
      <c r="Q82" s="182">
        <v>18</v>
      </c>
      <c r="R82" s="182">
        <v>27</v>
      </c>
      <c r="S82" s="155">
        <v>114</v>
      </c>
      <c r="T82" s="155">
        <v>129</v>
      </c>
      <c r="U82" s="155" t="s">
        <v>684</v>
      </c>
      <c r="V82" s="155">
        <v>120</v>
      </c>
      <c r="W82" s="151"/>
      <c r="X82" s="151"/>
    </row>
    <row r="83" spans="1:24" ht="18" customHeight="1">
      <c r="A83" s="172">
        <v>2011</v>
      </c>
      <c r="B83" s="155" t="s">
        <v>60</v>
      </c>
      <c r="C83" s="152" t="s">
        <v>766</v>
      </c>
      <c r="D83" s="155" t="s">
        <v>45</v>
      </c>
      <c r="E83" s="182">
        <v>578</v>
      </c>
      <c r="F83" s="182">
        <v>509</v>
      </c>
      <c r="G83" s="182">
        <v>374</v>
      </c>
      <c r="H83" s="182">
        <v>135</v>
      </c>
      <c r="I83" s="182">
        <v>143</v>
      </c>
      <c r="J83" s="182">
        <v>121</v>
      </c>
      <c r="K83" s="182">
        <v>22</v>
      </c>
      <c r="L83" s="182">
        <v>7</v>
      </c>
      <c r="M83" s="155" t="s">
        <v>684</v>
      </c>
      <c r="N83" s="155" t="s">
        <v>684</v>
      </c>
      <c r="O83" s="155" t="s">
        <v>684</v>
      </c>
      <c r="P83" s="155" t="s">
        <v>684</v>
      </c>
      <c r="Q83" s="182">
        <v>28</v>
      </c>
      <c r="R83" s="182">
        <v>127</v>
      </c>
      <c r="S83" s="155" t="s">
        <v>684</v>
      </c>
      <c r="T83" s="155" t="s">
        <v>684</v>
      </c>
      <c r="U83" s="155" t="s">
        <v>684</v>
      </c>
      <c r="V83" s="155" t="s">
        <v>684</v>
      </c>
      <c r="W83" s="151"/>
      <c r="X83" s="151"/>
    </row>
    <row r="84" spans="1:24" ht="18" customHeight="1">
      <c r="A84" s="172">
        <v>2011</v>
      </c>
      <c r="B84" s="155" t="s">
        <v>69</v>
      </c>
      <c r="C84" s="152" t="s">
        <v>767</v>
      </c>
      <c r="D84" s="155" t="s">
        <v>68</v>
      </c>
      <c r="E84" s="182">
        <v>826</v>
      </c>
      <c r="F84" s="182">
        <v>821</v>
      </c>
      <c r="G84" s="182">
        <v>385</v>
      </c>
      <c r="H84" s="182">
        <v>436</v>
      </c>
      <c r="I84" s="182">
        <v>93</v>
      </c>
      <c r="J84" s="182">
        <v>54</v>
      </c>
      <c r="K84" s="182">
        <v>39</v>
      </c>
      <c r="L84" s="182">
        <v>11</v>
      </c>
      <c r="M84" s="155" t="s">
        <v>684</v>
      </c>
      <c r="N84" s="155" t="s">
        <v>684</v>
      </c>
      <c r="O84" s="155" t="s">
        <v>684</v>
      </c>
      <c r="P84" s="155" t="s">
        <v>684</v>
      </c>
      <c r="Q84" s="182">
        <v>1</v>
      </c>
      <c r="R84" s="182">
        <v>191</v>
      </c>
      <c r="S84" s="155">
        <v>152</v>
      </c>
      <c r="T84" s="155">
        <v>393</v>
      </c>
      <c r="U84" s="155" t="s">
        <v>684</v>
      </c>
      <c r="V84" s="155">
        <v>124</v>
      </c>
      <c r="W84" s="151"/>
      <c r="X84" s="151"/>
    </row>
    <row r="85" spans="1:24" ht="18" customHeight="1">
      <c r="A85" s="172">
        <v>2011</v>
      </c>
      <c r="B85" s="155" t="s">
        <v>75</v>
      </c>
      <c r="C85" s="152" t="s">
        <v>768</v>
      </c>
      <c r="D85" s="155" t="s">
        <v>68</v>
      </c>
      <c r="E85" s="182">
        <v>951</v>
      </c>
      <c r="F85" s="182">
        <v>532</v>
      </c>
      <c r="G85" s="182">
        <v>237</v>
      </c>
      <c r="H85" s="182">
        <v>295</v>
      </c>
      <c r="I85" s="182">
        <v>57</v>
      </c>
      <c r="J85" s="182">
        <v>37</v>
      </c>
      <c r="K85" s="182">
        <v>20</v>
      </c>
      <c r="L85" s="182">
        <v>6</v>
      </c>
      <c r="M85" s="155" t="s">
        <v>684</v>
      </c>
      <c r="N85" s="155" t="s">
        <v>684</v>
      </c>
      <c r="O85" s="155" t="s">
        <v>684</v>
      </c>
      <c r="P85" s="155" t="s">
        <v>684</v>
      </c>
      <c r="Q85" s="182">
        <v>124</v>
      </c>
      <c r="R85" s="182">
        <v>166</v>
      </c>
      <c r="S85" s="155">
        <v>494</v>
      </c>
      <c r="T85" s="155">
        <v>250</v>
      </c>
      <c r="U85" s="155" t="s">
        <v>684</v>
      </c>
      <c r="V85" s="155">
        <v>144</v>
      </c>
      <c r="W85" s="151"/>
      <c r="X85" s="151"/>
    </row>
    <row r="86" spans="1:24" ht="18" customHeight="1">
      <c r="A86" s="172">
        <v>2011</v>
      </c>
      <c r="B86" s="155" t="s">
        <v>81</v>
      </c>
      <c r="C86" s="152" t="s">
        <v>769</v>
      </c>
      <c r="D86" s="155" t="s">
        <v>68</v>
      </c>
      <c r="E86" s="182">
        <v>529</v>
      </c>
      <c r="F86" s="182">
        <v>472</v>
      </c>
      <c r="G86" s="182">
        <v>112</v>
      </c>
      <c r="H86" s="182">
        <v>360</v>
      </c>
      <c r="I86" s="182">
        <v>55</v>
      </c>
      <c r="J86" s="182">
        <v>23</v>
      </c>
      <c r="K86" s="182">
        <v>32</v>
      </c>
      <c r="L86" s="182">
        <v>35</v>
      </c>
      <c r="M86" s="155" t="s">
        <v>684</v>
      </c>
      <c r="N86" s="155" t="s">
        <v>684</v>
      </c>
      <c r="O86" s="155" t="s">
        <v>684</v>
      </c>
      <c r="P86" s="155" t="s">
        <v>684</v>
      </c>
      <c r="Q86" s="182">
        <v>16</v>
      </c>
      <c r="R86" s="182">
        <v>81</v>
      </c>
      <c r="S86" s="155">
        <v>43</v>
      </c>
      <c r="T86" s="155">
        <v>38</v>
      </c>
      <c r="U86" s="155" t="s">
        <v>684</v>
      </c>
      <c r="V86" s="155">
        <v>42</v>
      </c>
      <c r="W86" s="151"/>
      <c r="X86" s="151"/>
    </row>
    <row r="87" spans="1:24" ht="18" customHeight="1">
      <c r="A87" s="172">
        <v>2010</v>
      </c>
      <c r="B87" s="155" t="s">
        <v>46</v>
      </c>
      <c r="C87" s="152" t="s">
        <v>764</v>
      </c>
      <c r="D87" s="155" t="s">
        <v>45</v>
      </c>
      <c r="E87" s="182">
        <v>830</v>
      </c>
      <c r="F87" s="182">
        <v>461</v>
      </c>
      <c r="G87" s="182">
        <v>389</v>
      </c>
      <c r="H87" s="182">
        <v>72</v>
      </c>
      <c r="I87" s="155" t="s">
        <v>684</v>
      </c>
      <c r="J87" s="155" t="s">
        <v>684</v>
      </c>
      <c r="K87" s="155" t="s">
        <v>684</v>
      </c>
      <c r="L87" s="155" t="s">
        <v>684</v>
      </c>
      <c r="M87" s="155" t="s">
        <v>684</v>
      </c>
      <c r="N87" s="155" t="s">
        <v>684</v>
      </c>
      <c r="O87" s="155" t="s">
        <v>684</v>
      </c>
      <c r="P87" s="155" t="s">
        <v>684</v>
      </c>
      <c r="Q87" s="182">
        <v>116</v>
      </c>
      <c r="R87" s="182">
        <v>56</v>
      </c>
      <c r="S87" s="155">
        <v>393</v>
      </c>
      <c r="T87" s="155">
        <v>701</v>
      </c>
      <c r="U87" s="155" t="s">
        <v>684</v>
      </c>
      <c r="V87" s="155">
        <v>204</v>
      </c>
      <c r="W87" s="151"/>
      <c r="X87" s="151"/>
    </row>
    <row r="88" spans="1:24" ht="18" customHeight="1">
      <c r="A88" s="172">
        <v>2010</v>
      </c>
      <c r="B88" s="155" t="s">
        <v>53</v>
      </c>
      <c r="C88" s="152" t="s">
        <v>765</v>
      </c>
      <c r="D88" s="155" t="s">
        <v>45</v>
      </c>
      <c r="E88" s="182">
        <v>151</v>
      </c>
      <c r="F88" s="182">
        <v>103</v>
      </c>
      <c r="G88" s="182">
        <v>74</v>
      </c>
      <c r="H88" s="182">
        <v>29</v>
      </c>
      <c r="I88" s="155" t="s">
        <v>684</v>
      </c>
      <c r="J88" s="155" t="s">
        <v>684</v>
      </c>
      <c r="K88" s="155" t="s">
        <v>684</v>
      </c>
      <c r="L88" s="155" t="s">
        <v>684</v>
      </c>
      <c r="M88" s="155" t="s">
        <v>684</v>
      </c>
      <c r="N88" s="155" t="s">
        <v>684</v>
      </c>
      <c r="O88" s="155" t="s">
        <v>684</v>
      </c>
      <c r="P88" s="155" t="s">
        <v>684</v>
      </c>
      <c r="Q88" s="182">
        <v>15</v>
      </c>
      <c r="R88" s="182">
        <v>8</v>
      </c>
      <c r="S88" s="155">
        <v>88</v>
      </c>
      <c r="T88" s="155">
        <v>140</v>
      </c>
      <c r="U88" s="155" t="s">
        <v>684</v>
      </c>
      <c r="V88" s="155">
        <v>57</v>
      </c>
      <c r="W88" s="151"/>
      <c r="X88" s="151"/>
    </row>
    <row r="89" spans="1:24" ht="18" customHeight="1">
      <c r="A89" s="172">
        <v>2010</v>
      </c>
      <c r="B89" s="155" t="s">
        <v>60</v>
      </c>
      <c r="C89" s="152" t="s">
        <v>766</v>
      </c>
      <c r="D89" s="155" t="s">
        <v>45</v>
      </c>
      <c r="E89" s="182">
        <v>1460</v>
      </c>
      <c r="F89" s="182">
        <v>937</v>
      </c>
      <c r="G89" s="182">
        <v>646</v>
      </c>
      <c r="H89" s="182">
        <v>291</v>
      </c>
      <c r="I89" s="155" t="s">
        <v>684</v>
      </c>
      <c r="J89" s="155" t="s">
        <v>684</v>
      </c>
      <c r="K89" s="155" t="s">
        <v>684</v>
      </c>
      <c r="L89" s="155" t="s">
        <v>684</v>
      </c>
      <c r="M89" s="155" t="s">
        <v>684</v>
      </c>
      <c r="N89" s="155" t="s">
        <v>684</v>
      </c>
      <c r="O89" s="155" t="s">
        <v>684</v>
      </c>
      <c r="P89" s="155" t="s">
        <v>684</v>
      </c>
      <c r="Q89" s="182">
        <v>158</v>
      </c>
      <c r="R89" s="182">
        <v>93</v>
      </c>
      <c r="S89" s="155" t="s">
        <v>684</v>
      </c>
      <c r="T89" s="155" t="s">
        <v>684</v>
      </c>
      <c r="U89" s="155" t="s">
        <v>684</v>
      </c>
      <c r="V89" s="155" t="s">
        <v>684</v>
      </c>
      <c r="W89" s="151"/>
      <c r="X89" s="151"/>
    </row>
    <row r="90" spans="1:24" ht="18" customHeight="1">
      <c r="A90" s="172">
        <v>2010</v>
      </c>
      <c r="B90" s="155" t="s">
        <v>69</v>
      </c>
      <c r="C90" s="152" t="s">
        <v>767</v>
      </c>
      <c r="D90" s="155" t="s">
        <v>68</v>
      </c>
      <c r="E90" s="182">
        <v>914</v>
      </c>
      <c r="F90" s="182">
        <v>801</v>
      </c>
      <c r="G90" s="182">
        <v>329</v>
      </c>
      <c r="H90" s="182">
        <v>472</v>
      </c>
      <c r="I90" s="155" t="s">
        <v>684</v>
      </c>
      <c r="J90" s="155" t="s">
        <v>684</v>
      </c>
      <c r="K90" s="155" t="s">
        <v>684</v>
      </c>
      <c r="L90" s="155" t="s">
        <v>684</v>
      </c>
      <c r="M90" s="155" t="s">
        <v>684</v>
      </c>
      <c r="N90" s="155" t="s">
        <v>684</v>
      </c>
      <c r="O90" s="155" t="s">
        <v>684</v>
      </c>
      <c r="P90" s="155" t="s">
        <v>684</v>
      </c>
      <c r="Q90" s="182">
        <v>46</v>
      </c>
      <c r="R90" s="182">
        <v>147</v>
      </c>
      <c r="S90" s="155">
        <v>180</v>
      </c>
      <c r="T90" s="155">
        <v>286</v>
      </c>
      <c r="U90" s="155" t="s">
        <v>684</v>
      </c>
      <c r="V90" s="155">
        <v>61</v>
      </c>
      <c r="W90" s="151"/>
      <c r="X90" s="151"/>
    </row>
    <row r="91" spans="1:24" ht="18" customHeight="1">
      <c r="A91" s="172">
        <v>2010</v>
      </c>
      <c r="B91" s="155" t="s">
        <v>75</v>
      </c>
      <c r="C91" s="152" t="s">
        <v>768</v>
      </c>
      <c r="D91" s="155" t="s">
        <v>68</v>
      </c>
      <c r="E91" s="182">
        <v>1242</v>
      </c>
      <c r="F91" s="182">
        <v>581</v>
      </c>
      <c r="G91" s="182">
        <v>277</v>
      </c>
      <c r="H91" s="182">
        <v>304</v>
      </c>
      <c r="I91" s="155" t="s">
        <v>684</v>
      </c>
      <c r="J91" s="155" t="s">
        <v>684</v>
      </c>
      <c r="K91" s="155" t="s">
        <v>684</v>
      </c>
      <c r="L91" s="155" t="s">
        <v>684</v>
      </c>
      <c r="M91" s="155" t="s">
        <v>684</v>
      </c>
      <c r="N91" s="155" t="s">
        <v>684</v>
      </c>
      <c r="O91" s="155" t="s">
        <v>684</v>
      </c>
      <c r="P91" s="155" t="s">
        <v>684</v>
      </c>
      <c r="Q91" s="182">
        <v>199</v>
      </c>
      <c r="R91" s="182">
        <v>125</v>
      </c>
      <c r="S91" s="155">
        <v>501</v>
      </c>
      <c r="T91" s="155">
        <v>304</v>
      </c>
      <c r="U91" s="155" t="s">
        <v>684</v>
      </c>
      <c r="V91" s="155">
        <v>192</v>
      </c>
      <c r="W91" s="151"/>
      <c r="X91" s="151"/>
    </row>
    <row r="92" spans="1:24" ht="18" customHeight="1">
      <c r="A92" s="172">
        <v>2010</v>
      </c>
      <c r="B92" s="155" t="s">
        <v>81</v>
      </c>
      <c r="C92" s="152" t="s">
        <v>769</v>
      </c>
      <c r="D92" s="155" t="s">
        <v>68</v>
      </c>
      <c r="E92" s="182">
        <v>587</v>
      </c>
      <c r="F92" s="182">
        <v>542</v>
      </c>
      <c r="G92" s="182">
        <v>55</v>
      </c>
      <c r="H92" s="182">
        <v>487</v>
      </c>
      <c r="I92" s="155" t="s">
        <v>684</v>
      </c>
      <c r="J92" s="155" t="s">
        <v>684</v>
      </c>
      <c r="K92" s="155" t="s">
        <v>684</v>
      </c>
      <c r="L92" s="155" t="s">
        <v>684</v>
      </c>
      <c r="M92" s="155" t="s">
        <v>684</v>
      </c>
      <c r="N92" s="155" t="s">
        <v>684</v>
      </c>
      <c r="O92" s="155" t="s">
        <v>684</v>
      </c>
      <c r="P92" s="155" t="s">
        <v>684</v>
      </c>
      <c r="Q92" s="182">
        <v>19</v>
      </c>
      <c r="R92" s="182">
        <v>85</v>
      </c>
      <c r="S92" s="155">
        <v>55</v>
      </c>
      <c r="T92" s="155">
        <v>50</v>
      </c>
      <c r="U92" s="155" t="s">
        <v>684</v>
      </c>
      <c r="V92" s="155">
        <v>52</v>
      </c>
      <c r="W92" s="151"/>
      <c r="X92" s="151"/>
    </row>
    <row r="93" spans="1:24" ht="18" customHeight="1">
      <c r="A93" s="172">
        <v>2009</v>
      </c>
      <c r="B93" s="155" t="s">
        <v>46</v>
      </c>
      <c r="C93" s="152" t="s">
        <v>764</v>
      </c>
      <c r="D93" s="155" t="s">
        <v>45</v>
      </c>
      <c r="E93" s="182">
        <v>830</v>
      </c>
      <c r="F93" s="182">
        <v>461</v>
      </c>
      <c r="G93" s="182">
        <v>389</v>
      </c>
      <c r="H93" s="182">
        <v>72</v>
      </c>
      <c r="I93" s="155" t="s">
        <v>684</v>
      </c>
      <c r="J93" s="155" t="s">
        <v>684</v>
      </c>
      <c r="K93" s="155" t="s">
        <v>684</v>
      </c>
      <c r="L93" s="155" t="s">
        <v>684</v>
      </c>
      <c r="M93" s="155" t="s">
        <v>684</v>
      </c>
      <c r="N93" s="155" t="s">
        <v>684</v>
      </c>
      <c r="O93" s="155" t="s">
        <v>684</v>
      </c>
      <c r="P93" s="155" t="s">
        <v>684</v>
      </c>
      <c r="Q93" s="182">
        <v>116</v>
      </c>
      <c r="R93" s="182">
        <v>56</v>
      </c>
      <c r="S93" s="155">
        <v>417</v>
      </c>
      <c r="T93" s="155">
        <v>627</v>
      </c>
      <c r="U93" s="155" t="s">
        <v>684</v>
      </c>
      <c r="V93" s="155">
        <v>220</v>
      </c>
      <c r="W93" s="151"/>
      <c r="X93" s="151"/>
    </row>
    <row r="94" spans="1:24" ht="18" customHeight="1">
      <c r="A94" s="172">
        <v>2009</v>
      </c>
      <c r="B94" s="155" t="s">
        <v>53</v>
      </c>
      <c r="C94" s="152" t="s">
        <v>765</v>
      </c>
      <c r="D94" s="155" t="s">
        <v>45</v>
      </c>
      <c r="E94" s="182">
        <v>151</v>
      </c>
      <c r="F94" s="182">
        <v>103</v>
      </c>
      <c r="G94" s="182">
        <v>74</v>
      </c>
      <c r="H94" s="182">
        <v>29</v>
      </c>
      <c r="I94" s="155" t="s">
        <v>684</v>
      </c>
      <c r="J94" s="155" t="s">
        <v>684</v>
      </c>
      <c r="K94" s="155" t="s">
        <v>684</v>
      </c>
      <c r="L94" s="155" t="s">
        <v>684</v>
      </c>
      <c r="M94" s="155" t="s">
        <v>684</v>
      </c>
      <c r="N94" s="155" t="s">
        <v>684</v>
      </c>
      <c r="O94" s="155" t="s">
        <v>684</v>
      </c>
      <c r="P94" s="155" t="s">
        <v>684</v>
      </c>
      <c r="Q94" s="182">
        <v>15</v>
      </c>
      <c r="R94" s="182">
        <v>8</v>
      </c>
      <c r="S94" s="155">
        <v>96</v>
      </c>
      <c r="T94" s="155">
        <v>141</v>
      </c>
      <c r="U94" s="155" t="s">
        <v>684</v>
      </c>
      <c r="V94" s="155">
        <v>57</v>
      </c>
      <c r="W94" s="151"/>
      <c r="X94" s="151"/>
    </row>
    <row r="95" spans="1:24" ht="18" customHeight="1">
      <c r="A95" s="172">
        <v>2009</v>
      </c>
      <c r="B95" s="155" t="s">
        <v>60</v>
      </c>
      <c r="C95" s="152" t="s">
        <v>766</v>
      </c>
      <c r="D95" s="155" t="s">
        <v>45</v>
      </c>
      <c r="E95" s="182">
        <v>1460</v>
      </c>
      <c r="F95" s="182">
        <v>937</v>
      </c>
      <c r="G95" s="182">
        <v>646</v>
      </c>
      <c r="H95" s="182">
        <v>291</v>
      </c>
      <c r="I95" s="155" t="s">
        <v>684</v>
      </c>
      <c r="J95" s="155" t="s">
        <v>684</v>
      </c>
      <c r="K95" s="155" t="s">
        <v>684</v>
      </c>
      <c r="L95" s="155" t="s">
        <v>684</v>
      </c>
      <c r="M95" s="155" t="s">
        <v>684</v>
      </c>
      <c r="N95" s="155" t="s">
        <v>684</v>
      </c>
      <c r="O95" s="155" t="s">
        <v>684</v>
      </c>
      <c r="P95" s="155" t="s">
        <v>684</v>
      </c>
      <c r="Q95" s="182">
        <v>158</v>
      </c>
      <c r="R95" s="182">
        <v>93</v>
      </c>
      <c r="S95" s="155" t="s">
        <v>684</v>
      </c>
      <c r="T95" s="155" t="s">
        <v>684</v>
      </c>
      <c r="U95" s="155" t="s">
        <v>684</v>
      </c>
      <c r="V95" s="155" t="s">
        <v>684</v>
      </c>
      <c r="W95" s="151"/>
      <c r="X95" s="151"/>
    </row>
    <row r="96" spans="1:24" ht="18" customHeight="1">
      <c r="A96" s="172">
        <v>2009</v>
      </c>
      <c r="B96" s="155" t="s">
        <v>69</v>
      </c>
      <c r="C96" s="152" t="s">
        <v>767</v>
      </c>
      <c r="D96" s="155" t="s">
        <v>68</v>
      </c>
      <c r="E96" s="182">
        <v>922</v>
      </c>
      <c r="F96" s="182">
        <v>693</v>
      </c>
      <c r="G96" s="182">
        <v>296</v>
      </c>
      <c r="H96" s="182">
        <v>397</v>
      </c>
      <c r="I96" s="155" t="s">
        <v>684</v>
      </c>
      <c r="J96" s="155" t="s">
        <v>684</v>
      </c>
      <c r="K96" s="155" t="s">
        <v>684</v>
      </c>
      <c r="L96" s="155" t="s">
        <v>684</v>
      </c>
      <c r="M96" s="155" t="s">
        <v>684</v>
      </c>
      <c r="N96" s="155" t="s">
        <v>684</v>
      </c>
      <c r="O96" s="155" t="s">
        <v>684</v>
      </c>
      <c r="P96" s="155" t="s">
        <v>684</v>
      </c>
      <c r="Q96" s="182">
        <v>73</v>
      </c>
      <c r="R96" s="182">
        <v>312</v>
      </c>
      <c r="S96" s="155">
        <v>182</v>
      </c>
      <c r="T96" s="155">
        <v>298</v>
      </c>
      <c r="U96" s="155" t="s">
        <v>684</v>
      </c>
      <c r="V96" s="155">
        <v>61</v>
      </c>
      <c r="W96" s="151"/>
      <c r="X96" s="151"/>
    </row>
    <row r="97" spans="1:24" ht="18" customHeight="1">
      <c r="A97" s="172">
        <v>2009</v>
      </c>
      <c r="B97" s="155" t="s">
        <v>75</v>
      </c>
      <c r="C97" s="152" t="s">
        <v>768</v>
      </c>
      <c r="D97" s="155" t="s">
        <v>68</v>
      </c>
      <c r="E97" s="182">
        <v>1242</v>
      </c>
      <c r="F97" s="182">
        <v>581</v>
      </c>
      <c r="G97" s="182">
        <v>277</v>
      </c>
      <c r="H97" s="182">
        <v>304</v>
      </c>
      <c r="I97" s="155" t="s">
        <v>684</v>
      </c>
      <c r="J97" s="155" t="s">
        <v>684</v>
      </c>
      <c r="K97" s="155" t="s">
        <v>684</v>
      </c>
      <c r="L97" s="155" t="s">
        <v>684</v>
      </c>
      <c r="M97" s="155" t="s">
        <v>684</v>
      </c>
      <c r="N97" s="155" t="s">
        <v>684</v>
      </c>
      <c r="O97" s="155" t="s">
        <v>684</v>
      </c>
      <c r="P97" s="155" t="s">
        <v>684</v>
      </c>
      <c r="Q97" s="182">
        <v>199</v>
      </c>
      <c r="R97" s="182">
        <v>125</v>
      </c>
      <c r="S97" s="155">
        <v>501</v>
      </c>
      <c r="T97" s="155">
        <v>304</v>
      </c>
      <c r="U97" s="155" t="s">
        <v>684</v>
      </c>
      <c r="V97" s="155">
        <v>185</v>
      </c>
      <c r="W97" s="151"/>
      <c r="X97" s="151"/>
    </row>
    <row r="98" spans="1:24" ht="18" customHeight="1">
      <c r="A98" s="172">
        <v>2009</v>
      </c>
      <c r="B98" s="155" t="s">
        <v>81</v>
      </c>
      <c r="C98" s="152" t="s">
        <v>769</v>
      </c>
      <c r="D98" s="155" t="s">
        <v>68</v>
      </c>
      <c r="E98" s="182">
        <v>633</v>
      </c>
      <c r="F98" s="182">
        <v>569</v>
      </c>
      <c r="G98" s="182">
        <v>82</v>
      </c>
      <c r="H98" s="182">
        <v>487</v>
      </c>
      <c r="I98" s="155" t="s">
        <v>684</v>
      </c>
      <c r="J98" s="155" t="s">
        <v>684</v>
      </c>
      <c r="K98" s="155" t="s">
        <v>684</v>
      </c>
      <c r="L98" s="155" t="s">
        <v>684</v>
      </c>
      <c r="M98" s="155" t="s">
        <v>684</v>
      </c>
      <c r="N98" s="155" t="s">
        <v>684</v>
      </c>
      <c r="O98" s="155" t="s">
        <v>684</v>
      </c>
      <c r="P98" s="155" t="s">
        <v>684</v>
      </c>
      <c r="Q98" s="182">
        <v>29</v>
      </c>
      <c r="R98" s="182">
        <v>85</v>
      </c>
      <c r="S98" s="155">
        <v>120</v>
      </c>
      <c r="T98" s="155">
        <v>46</v>
      </c>
      <c r="U98" s="155" t="s">
        <v>684</v>
      </c>
      <c r="V98" s="155">
        <v>61</v>
      </c>
      <c r="W98" s="151"/>
      <c r="X98" s="151"/>
    </row>
    <row r="99" spans="1:24" ht="18" customHeight="1">
      <c r="A99" s="172">
        <v>2008</v>
      </c>
      <c r="B99" s="155" t="s">
        <v>46</v>
      </c>
      <c r="C99" s="152" t="s">
        <v>764</v>
      </c>
      <c r="D99" s="155" t="s">
        <v>45</v>
      </c>
      <c r="E99" s="182">
        <v>1042</v>
      </c>
      <c r="F99" s="182">
        <v>489</v>
      </c>
      <c r="G99" s="182">
        <v>389</v>
      </c>
      <c r="H99" s="182">
        <v>100</v>
      </c>
      <c r="I99" s="155" t="s">
        <v>684</v>
      </c>
      <c r="J99" s="155" t="s">
        <v>684</v>
      </c>
      <c r="K99" s="155" t="s">
        <v>684</v>
      </c>
      <c r="L99" s="155" t="s">
        <v>684</v>
      </c>
      <c r="M99" s="155" t="s">
        <v>684</v>
      </c>
      <c r="N99" s="155" t="s">
        <v>684</v>
      </c>
      <c r="O99" s="155" t="s">
        <v>684</v>
      </c>
      <c r="P99" s="155" t="s">
        <v>684</v>
      </c>
      <c r="Q99" s="182">
        <v>186</v>
      </c>
      <c r="R99" s="182">
        <v>52</v>
      </c>
      <c r="S99" s="155">
        <v>349</v>
      </c>
      <c r="T99" s="155">
        <v>628</v>
      </c>
      <c r="U99" s="155" t="s">
        <v>684</v>
      </c>
      <c r="V99" s="155">
        <v>241</v>
      </c>
      <c r="W99" s="151"/>
      <c r="X99" s="151"/>
    </row>
    <row r="100" spans="1:24" ht="18" customHeight="1">
      <c r="A100" s="172">
        <v>2008</v>
      </c>
      <c r="B100" s="155" t="s">
        <v>53</v>
      </c>
      <c r="C100" s="152" t="s">
        <v>765</v>
      </c>
      <c r="D100" s="155" t="s">
        <v>45</v>
      </c>
      <c r="E100" s="182">
        <v>128</v>
      </c>
      <c r="F100" s="182">
        <v>92</v>
      </c>
      <c r="G100" s="182">
        <v>62</v>
      </c>
      <c r="H100" s="182">
        <v>30</v>
      </c>
      <c r="I100" s="155" t="s">
        <v>684</v>
      </c>
      <c r="J100" s="155" t="s">
        <v>684</v>
      </c>
      <c r="K100" s="155" t="s">
        <v>684</v>
      </c>
      <c r="L100" s="155" t="s">
        <v>684</v>
      </c>
      <c r="M100" s="155" t="s">
        <v>684</v>
      </c>
      <c r="N100" s="155" t="s">
        <v>684</v>
      </c>
      <c r="O100" s="155" t="s">
        <v>684</v>
      </c>
      <c r="P100" s="155" t="s">
        <v>684</v>
      </c>
      <c r="Q100" s="182">
        <v>15</v>
      </c>
      <c r="R100" s="182">
        <v>25</v>
      </c>
      <c r="S100" s="155">
        <v>120</v>
      </c>
      <c r="T100" s="155">
        <v>141</v>
      </c>
      <c r="U100" s="155" t="s">
        <v>684</v>
      </c>
      <c r="V100" s="155">
        <v>217</v>
      </c>
      <c r="W100" s="151"/>
      <c r="X100" s="151"/>
    </row>
    <row r="101" spans="1:24" ht="18" customHeight="1">
      <c r="A101" s="172">
        <v>2008</v>
      </c>
      <c r="B101" s="155" t="s">
        <v>60</v>
      </c>
      <c r="C101" s="152" t="s">
        <v>766</v>
      </c>
      <c r="D101" s="155" t="s">
        <v>45</v>
      </c>
      <c r="E101" s="182">
        <v>1263</v>
      </c>
      <c r="F101" s="182">
        <v>857</v>
      </c>
      <c r="G101" s="182">
        <v>575</v>
      </c>
      <c r="H101" s="182">
        <v>282</v>
      </c>
      <c r="I101" s="155" t="s">
        <v>684</v>
      </c>
      <c r="J101" s="155" t="s">
        <v>684</v>
      </c>
      <c r="K101" s="155" t="s">
        <v>684</v>
      </c>
      <c r="L101" s="155" t="s">
        <v>684</v>
      </c>
      <c r="M101" s="155" t="s">
        <v>684</v>
      </c>
      <c r="N101" s="155" t="s">
        <v>684</v>
      </c>
      <c r="O101" s="155" t="s">
        <v>684</v>
      </c>
      <c r="P101" s="155" t="s">
        <v>684</v>
      </c>
      <c r="Q101" s="182">
        <v>135</v>
      </c>
      <c r="R101" s="182">
        <v>217</v>
      </c>
      <c r="S101" s="155" t="s">
        <v>684</v>
      </c>
      <c r="T101" s="155" t="s">
        <v>684</v>
      </c>
      <c r="U101" s="155" t="s">
        <v>684</v>
      </c>
      <c r="V101" s="155" t="s">
        <v>684</v>
      </c>
      <c r="W101" s="151"/>
      <c r="X101" s="151"/>
    </row>
    <row r="102" spans="1:24" ht="18" customHeight="1">
      <c r="A102" s="172">
        <v>2008</v>
      </c>
      <c r="B102" s="155" t="s">
        <v>69</v>
      </c>
      <c r="C102" s="152" t="s">
        <v>767</v>
      </c>
      <c r="D102" s="155" t="s">
        <v>68</v>
      </c>
      <c r="E102" s="182">
        <v>1302</v>
      </c>
      <c r="F102" s="182">
        <v>1208</v>
      </c>
      <c r="G102" s="182">
        <v>703</v>
      </c>
      <c r="H102" s="182">
        <v>505</v>
      </c>
      <c r="I102" s="155" t="s">
        <v>684</v>
      </c>
      <c r="J102" s="155" t="s">
        <v>684</v>
      </c>
      <c r="K102" s="155" t="s">
        <v>684</v>
      </c>
      <c r="L102" s="155" t="s">
        <v>684</v>
      </c>
      <c r="M102" s="155" t="s">
        <v>684</v>
      </c>
      <c r="N102" s="155" t="s">
        <v>684</v>
      </c>
      <c r="O102" s="155" t="s">
        <v>684</v>
      </c>
      <c r="P102" s="155" t="s">
        <v>684</v>
      </c>
      <c r="Q102" s="182">
        <v>28</v>
      </c>
      <c r="R102" s="182">
        <v>656</v>
      </c>
      <c r="S102" s="155">
        <v>319</v>
      </c>
      <c r="T102" s="155">
        <v>624</v>
      </c>
      <c r="U102" s="155" t="s">
        <v>684</v>
      </c>
      <c r="V102" s="155">
        <v>61</v>
      </c>
      <c r="W102" s="151"/>
      <c r="X102" s="151"/>
    </row>
    <row r="103" spans="1:24" ht="18" customHeight="1">
      <c r="A103" s="172">
        <v>2008</v>
      </c>
      <c r="B103" s="155" t="s">
        <v>75</v>
      </c>
      <c r="C103" s="152" t="s">
        <v>768</v>
      </c>
      <c r="D103" s="155" t="s">
        <v>68</v>
      </c>
      <c r="E103" s="182">
        <v>385</v>
      </c>
      <c r="F103" s="182">
        <v>233</v>
      </c>
      <c r="G103" s="182">
        <v>192</v>
      </c>
      <c r="H103" s="182">
        <v>41</v>
      </c>
      <c r="I103" s="155" t="s">
        <v>684</v>
      </c>
      <c r="J103" s="155" t="s">
        <v>684</v>
      </c>
      <c r="K103" s="155" t="s">
        <v>684</v>
      </c>
      <c r="L103" s="155" t="s">
        <v>684</v>
      </c>
      <c r="M103" s="155" t="s">
        <v>684</v>
      </c>
      <c r="N103" s="155" t="s">
        <v>684</v>
      </c>
      <c r="O103" s="155" t="s">
        <v>684</v>
      </c>
      <c r="P103" s="155" t="s">
        <v>684</v>
      </c>
      <c r="Q103" s="182">
        <v>42</v>
      </c>
      <c r="R103" s="182">
        <v>99</v>
      </c>
      <c r="S103" s="155">
        <v>412</v>
      </c>
      <c r="T103" s="155">
        <v>261</v>
      </c>
      <c r="U103" s="155" t="s">
        <v>684</v>
      </c>
      <c r="V103" s="155">
        <v>158</v>
      </c>
      <c r="W103" s="151"/>
      <c r="X103" s="151"/>
    </row>
    <row r="104" spans="1:24" ht="18" customHeight="1">
      <c r="A104" s="172">
        <v>2008</v>
      </c>
      <c r="B104" s="155" t="s">
        <v>81</v>
      </c>
      <c r="C104" s="152" t="s">
        <v>769</v>
      </c>
      <c r="D104" s="155" t="s">
        <v>68</v>
      </c>
      <c r="E104" s="182">
        <v>274</v>
      </c>
      <c r="F104" s="182">
        <v>256</v>
      </c>
      <c r="G104" s="182">
        <v>53</v>
      </c>
      <c r="H104" s="182">
        <v>203</v>
      </c>
      <c r="I104" s="155" t="s">
        <v>684</v>
      </c>
      <c r="J104" s="155" t="s">
        <v>684</v>
      </c>
      <c r="K104" s="155" t="s">
        <v>684</v>
      </c>
      <c r="L104" s="155" t="s">
        <v>684</v>
      </c>
      <c r="M104" s="155" t="s">
        <v>684</v>
      </c>
      <c r="N104" s="155" t="s">
        <v>684</v>
      </c>
      <c r="O104" s="155" t="s">
        <v>684</v>
      </c>
      <c r="P104" s="155" t="s">
        <v>684</v>
      </c>
      <c r="Q104" s="182">
        <v>7</v>
      </c>
      <c r="R104" s="182">
        <v>122</v>
      </c>
      <c r="S104" s="155">
        <v>132</v>
      </c>
      <c r="T104" s="155">
        <v>40</v>
      </c>
      <c r="U104" s="155" t="s">
        <v>684</v>
      </c>
      <c r="V104" s="155">
        <v>37</v>
      </c>
      <c r="W104" s="151"/>
      <c r="X104" s="151"/>
    </row>
    <row r="105" spans="1:24" ht="18" customHeight="1">
      <c r="A105" s="172">
        <v>2007</v>
      </c>
      <c r="B105" s="155" t="s">
        <v>46</v>
      </c>
      <c r="C105" s="152" t="s">
        <v>764</v>
      </c>
      <c r="D105" s="155" t="s">
        <v>45</v>
      </c>
      <c r="E105" s="182">
        <v>857</v>
      </c>
      <c r="F105" s="182">
        <v>504</v>
      </c>
      <c r="G105" s="182">
        <v>441</v>
      </c>
      <c r="H105" s="182">
        <v>63</v>
      </c>
      <c r="I105" s="155" t="s">
        <v>684</v>
      </c>
      <c r="J105" s="155" t="s">
        <v>684</v>
      </c>
      <c r="K105" s="155" t="s">
        <v>684</v>
      </c>
      <c r="L105" s="155" t="s">
        <v>684</v>
      </c>
      <c r="M105" s="155" t="s">
        <v>684</v>
      </c>
      <c r="N105" s="155" t="s">
        <v>684</v>
      </c>
      <c r="O105" s="155" t="s">
        <v>684</v>
      </c>
      <c r="P105" s="155" t="s">
        <v>684</v>
      </c>
      <c r="Q105" s="182">
        <v>118</v>
      </c>
      <c r="R105" s="182">
        <v>78</v>
      </c>
      <c r="S105" s="155">
        <v>272</v>
      </c>
      <c r="T105" s="155">
        <v>693</v>
      </c>
      <c r="U105" s="155" t="s">
        <v>684</v>
      </c>
      <c r="V105" s="155">
        <v>168</v>
      </c>
      <c r="W105" s="151"/>
      <c r="X105" s="151"/>
    </row>
    <row r="106" spans="1:24" ht="18" customHeight="1">
      <c r="A106" s="172">
        <v>2007</v>
      </c>
      <c r="B106" s="155" t="s">
        <v>53</v>
      </c>
      <c r="C106" s="152" t="s">
        <v>765</v>
      </c>
      <c r="D106" s="155" t="s">
        <v>45</v>
      </c>
      <c r="E106" s="182">
        <v>188</v>
      </c>
      <c r="F106" s="182">
        <v>109</v>
      </c>
      <c r="G106" s="182">
        <v>72</v>
      </c>
      <c r="H106" s="182">
        <v>37</v>
      </c>
      <c r="I106" s="155" t="s">
        <v>684</v>
      </c>
      <c r="J106" s="155" t="s">
        <v>684</v>
      </c>
      <c r="K106" s="155" t="s">
        <v>684</v>
      </c>
      <c r="L106" s="155" t="s">
        <v>684</v>
      </c>
      <c r="M106" s="155" t="s">
        <v>684</v>
      </c>
      <c r="N106" s="155" t="s">
        <v>684</v>
      </c>
      <c r="O106" s="155" t="s">
        <v>684</v>
      </c>
      <c r="P106" s="155" t="s">
        <v>684</v>
      </c>
      <c r="Q106" s="182">
        <v>28</v>
      </c>
      <c r="R106" s="182">
        <v>26</v>
      </c>
      <c r="S106" s="155">
        <v>116</v>
      </c>
      <c r="T106" s="155">
        <v>141</v>
      </c>
      <c r="U106" s="155" t="s">
        <v>684</v>
      </c>
      <c r="V106" s="155">
        <v>218</v>
      </c>
      <c r="W106" s="151"/>
      <c r="X106" s="151"/>
    </row>
    <row r="107" spans="1:24" ht="18" customHeight="1">
      <c r="A107" s="172">
        <v>2007</v>
      </c>
      <c r="B107" s="155" t="s">
        <v>60</v>
      </c>
      <c r="C107" s="152" t="s">
        <v>766</v>
      </c>
      <c r="D107" s="155" t="s">
        <v>45</v>
      </c>
      <c r="E107" s="182">
        <v>1452</v>
      </c>
      <c r="F107" s="182">
        <v>963</v>
      </c>
      <c r="G107" s="182">
        <v>752</v>
      </c>
      <c r="H107" s="182">
        <v>211</v>
      </c>
      <c r="I107" s="155" t="s">
        <v>684</v>
      </c>
      <c r="J107" s="155" t="s">
        <v>684</v>
      </c>
      <c r="K107" s="155" t="s">
        <v>684</v>
      </c>
      <c r="L107" s="155" t="s">
        <v>684</v>
      </c>
      <c r="M107" s="155" t="s">
        <v>684</v>
      </c>
      <c r="N107" s="155" t="s">
        <v>684</v>
      </c>
      <c r="O107" s="155" t="s">
        <v>684</v>
      </c>
      <c r="P107" s="155" t="s">
        <v>684</v>
      </c>
      <c r="Q107" s="182">
        <v>178</v>
      </c>
      <c r="R107" s="182">
        <v>134</v>
      </c>
      <c r="S107" s="155" t="s">
        <v>684</v>
      </c>
      <c r="T107" s="155" t="s">
        <v>684</v>
      </c>
      <c r="U107" s="155" t="s">
        <v>684</v>
      </c>
      <c r="V107" s="155" t="s">
        <v>684</v>
      </c>
      <c r="W107" s="151"/>
      <c r="X107" s="151"/>
    </row>
    <row r="108" spans="1:24" ht="18" customHeight="1">
      <c r="A108" s="172">
        <v>2007</v>
      </c>
      <c r="B108" s="155" t="s">
        <v>69</v>
      </c>
      <c r="C108" s="152" t="s">
        <v>767</v>
      </c>
      <c r="D108" s="155" t="s">
        <v>68</v>
      </c>
      <c r="E108" s="182">
        <v>718</v>
      </c>
      <c r="F108" s="182">
        <v>626</v>
      </c>
      <c r="G108" s="182">
        <v>348</v>
      </c>
      <c r="H108" s="182">
        <v>278</v>
      </c>
      <c r="I108" s="155" t="s">
        <v>684</v>
      </c>
      <c r="J108" s="155" t="s">
        <v>684</v>
      </c>
      <c r="K108" s="155" t="s">
        <v>684</v>
      </c>
      <c r="L108" s="155" t="s">
        <v>684</v>
      </c>
      <c r="M108" s="155" t="s">
        <v>684</v>
      </c>
      <c r="N108" s="155" t="s">
        <v>684</v>
      </c>
      <c r="O108" s="155" t="s">
        <v>684</v>
      </c>
      <c r="P108" s="155" t="s">
        <v>684</v>
      </c>
      <c r="Q108" s="182">
        <v>27</v>
      </c>
      <c r="R108" s="182">
        <v>372</v>
      </c>
      <c r="S108" s="155">
        <v>302</v>
      </c>
      <c r="T108" s="155">
        <v>603</v>
      </c>
      <c r="U108" s="155" t="s">
        <v>684</v>
      </c>
      <c r="V108" s="155">
        <v>61</v>
      </c>
      <c r="W108" s="151"/>
      <c r="X108" s="151"/>
    </row>
    <row r="109" spans="1:24" ht="18" customHeight="1">
      <c r="A109" s="172">
        <v>2007</v>
      </c>
      <c r="B109" s="155" t="s">
        <v>75</v>
      </c>
      <c r="C109" s="152" t="s">
        <v>768</v>
      </c>
      <c r="D109" s="155" t="s">
        <v>68</v>
      </c>
      <c r="E109" s="182">
        <v>385</v>
      </c>
      <c r="F109" s="182">
        <v>233</v>
      </c>
      <c r="G109" s="182">
        <v>192</v>
      </c>
      <c r="H109" s="182">
        <v>41</v>
      </c>
      <c r="I109" s="155" t="s">
        <v>684</v>
      </c>
      <c r="J109" s="155" t="s">
        <v>684</v>
      </c>
      <c r="K109" s="155" t="s">
        <v>684</v>
      </c>
      <c r="L109" s="155" t="s">
        <v>684</v>
      </c>
      <c r="M109" s="155" t="s">
        <v>684</v>
      </c>
      <c r="N109" s="155" t="s">
        <v>684</v>
      </c>
      <c r="O109" s="155" t="s">
        <v>684</v>
      </c>
      <c r="P109" s="155" t="s">
        <v>684</v>
      </c>
      <c r="Q109" s="182">
        <v>42</v>
      </c>
      <c r="R109" s="182">
        <v>99</v>
      </c>
      <c r="S109" s="155">
        <v>383</v>
      </c>
      <c r="T109" s="155">
        <v>255</v>
      </c>
      <c r="U109" s="155" t="s">
        <v>684</v>
      </c>
      <c r="V109" s="155">
        <v>167</v>
      </c>
      <c r="W109" s="151"/>
      <c r="X109" s="151"/>
    </row>
    <row r="110" spans="1:24" ht="18" customHeight="1">
      <c r="A110" s="172">
        <v>2007</v>
      </c>
      <c r="B110" s="155" t="s">
        <v>81</v>
      </c>
      <c r="C110" s="152" t="s">
        <v>769</v>
      </c>
      <c r="D110" s="155" t="s">
        <v>68</v>
      </c>
      <c r="E110" s="182">
        <v>274</v>
      </c>
      <c r="F110" s="182">
        <v>256</v>
      </c>
      <c r="G110" s="182">
        <v>53</v>
      </c>
      <c r="H110" s="182">
        <v>203</v>
      </c>
      <c r="I110" s="155" t="s">
        <v>684</v>
      </c>
      <c r="J110" s="155" t="s">
        <v>684</v>
      </c>
      <c r="K110" s="155" t="s">
        <v>684</v>
      </c>
      <c r="L110" s="155" t="s">
        <v>684</v>
      </c>
      <c r="M110" s="155" t="s">
        <v>684</v>
      </c>
      <c r="N110" s="155" t="s">
        <v>684</v>
      </c>
      <c r="O110" s="155" t="s">
        <v>684</v>
      </c>
      <c r="P110" s="155" t="s">
        <v>684</v>
      </c>
      <c r="Q110" s="182">
        <v>7</v>
      </c>
      <c r="R110" s="182">
        <v>122</v>
      </c>
      <c r="S110" s="155">
        <v>38</v>
      </c>
      <c r="T110" s="155">
        <v>28</v>
      </c>
      <c r="U110" s="155" t="s">
        <v>684</v>
      </c>
      <c r="V110" s="155">
        <v>40</v>
      </c>
      <c r="W110" s="151"/>
      <c r="X110" s="151"/>
    </row>
    <row r="111" spans="1:24" ht="18" customHeight="1">
      <c r="A111" s="151"/>
      <c r="B111" s="172"/>
      <c r="C111" s="172"/>
      <c r="D111" s="151"/>
      <c r="E111" s="151"/>
      <c r="F111" s="151"/>
      <c r="G111" s="151"/>
      <c r="H111" s="151"/>
      <c r="I111" s="151"/>
      <c r="J111" s="151"/>
      <c r="K111" s="151"/>
      <c r="L111" s="151"/>
      <c r="M111" s="151"/>
      <c r="N111" s="151"/>
      <c r="O111" s="151"/>
      <c r="P111" s="151"/>
      <c r="Q111" s="151"/>
      <c r="R111" s="151"/>
      <c r="S111" s="151"/>
      <c r="T111" s="151"/>
      <c r="U111" s="151"/>
      <c r="V111" s="151"/>
      <c r="W111" s="151"/>
      <c r="X111" s="151"/>
    </row>
    <row r="112" spans="1:24" ht="18" customHeight="1">
      <c r="A112" s="151"/>
      <c r="B112" s="152"/>
      <c r="C112" s="152"/>
      <c r="D112" s="151"/>
      <c r="E112" s="151"/>
      <c r="F112" s="151"/>
      <c r="G112" s="151"/>
      <c r="H112" s="151"/>
      <c r="I112" s="151"/>
      <c r="J112" s="151"/>
      <c r="K112" s="151"/>
      <c r="L112" s="151"/>
      <c r="M112" s="151"/>
      <c r="N112" s="151"/>
      <c r="O112" s="151"/>
      <c r="P112" s="151"/>
      <c r="Q112" s="151"/>
      <c r="R112" s="151"/>
      <c r="S112" s="151"/>
      <c r="T112" s="151"/>
      <c r="U112" s="151"/>
      <c r="V112" s="151"/>
      <c r="W112" s="151"/>
      <c r="X112" s="151"/>
    </row>
    <row r="113" spans="1:24" ht="18" customHeight="1">
      <c r="A113" s="151"/>
      <c r="B113" s="152"/>
      <c r="C113" s="152"/>
      <c r="D113" s="151"/>
      <c r="E113" s="151"/>
      <c r="F113" s="151"/>
      <c r="G113" s="151"/>
      <c r="H113" s="151"/>
      <c r="I113" s="151"/>
      <c r="J113" s="151"/>
      <c r="K113" s="151"/>
      <c r="L113" s="151"/>
      <c r="M113" s="151"/>
      <c r="N113" s="151"/>
      <c r="O113" s="151"/>
      <c r="P113" s="151"/>
      <c r="Q113" s="151"/>
      <c r="R113" s="151"/>
      <c r="S113" s="151"/>
      <c r="T113" s="151"/>
      <c r="U113" s="151"/>
      <c r="V113" s="151"/>
      <c r="W113" s="151"/>
      <c r="X113" s="151"/>
    </row>
  </sheetData>
  <conditionalFormatting sqref="A2:X113">
    <cfRule type="expression" dxfId="1" priority="1">
      <formula>MOD(ROW(),2)=0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F3A56"/>
  </sheetPr>
  <dimension ref="A1:Z165"/>
  <sheetViews>
    <sheetView showGridLines="0" topLeftCell="B1" zoomScaleNormal="100" workbookViewId="0">
      <selection activeCell="B1" sqref="B1"/>
    </sheetView>
  </sheetViews>
  <sheetFormatPr defaultColWidth="35.625" defaultRowHeight="15.75"/>
  <cols>
    <col min="1" max="2" width="38" style="196" customWidth="1"/>
    <col min="3" max="3" width="28" style="196" customWidth="1"/>
    <col min="4" max="6" width="16" style="196" customWidth="1"/>
    <col min="7" max="7" width="16" style="197" customWidth="1"/>
    <col min="8" max="10" width="16" style="196" customWidth="1"/>
    <col min="11" max="12" width="31" style="196" customWidth="1"/>
    <col min="13" max="14" width="12" style="197" customWidth="1"/>
    <col min="15" max="15" width="35.625" style="196"/>
    <col min="16" max="26" width="35.625" style="171"/>
    <col min="27" max="16384" width="35.625" style="196"/>
  </cols>
  <sheetData>
    <row r="1" spans="1:26" s="189" customFormat="1" ht="30.75" customHeight="1">
      <c r="F1" s="52" t="s">
        <v>4340</v>
      </c>
      <c r="M1" s="190"/>
      <c r="N1" s="190"/>
      <c r="P1" s="191"/>
      <c r="Q1" s="191"/>
      <c r="R1" s="191"/>
      <c r="S1" s="191"/>
      <c r="T1" s="191"/>
      <c r="U1" s="191"/>
      <c r="V1" s="191"/>
      <c r="W1" s="191"/>
      <c r="X1" s="191"/>
      <c r="Y1" s="191"/>
      <c r="Z1" s="191"/>
    </row>
    <row r="2" spans="1:26" s="194" customFormat="1" ht="33.950000000000003" customHeight="1">
      <c r="A2" s="192" t="s">
        <v>770</v>
      </c>
      <c r="B2" s="192" t="s">
        <v>771</v>
      </c>
      <c r="C2" s="192" t="s">
        <v>772</v>
      </c>
      <c r="D2" s="192" t="s">
        <v>773</v>
      </c>
      <c r="E2" s="192" t="s">
        <v>774</v>
      </c>
      <c r="F2" s="192" t="s">
        <v>775</v>
      </c>
      <c r="G2" s="192" t="s">
        <v>35</v>
      </c>
      <c r="H2" s="192" t="s">
        <v>776</v>
      </c>
      <c r="I2" s="192" t="s">
        <v>94</v>
      </c>
      <c r="J2" s="192" t="s">
        <v>95</v>
      </c>
      <c r="K2" s="192" t="s">
        <v>777</v>
      </c>
      <c r="L2" s="192" t="s">
        <v>778</v>
      </c>
      <c r="M2" s="193" t="s">
        <v>40</v>
      </c>
      <c r="N2" s="193" t="s">
        <v>41</v>
      </c>
    </row>
    <row r="3" spans="1:26" ht="18" customHeight="1">
      <c r="A3" s="195" t="s">
        <v>779</v>
      </c>
      <c r="B3" s="195" t="s">
        <v>780</v>
      </c>
      <c r="C3" s="195" t="s">
        <v>781</v>
      </c>
      <c r="D3" s="195" t="s">
        <v>782</v>
      </c>
      <c r="E3" s="195" t="s">
        <v>56</v>
      </c>
      <c r="F3" s="195" t="s">
        <v>122</v>
      </c>
      <c r="G3" s="195" t="s">
        <v>99</v>
      </c>
      <c r="H3" s="195">
        <v>71302</v>
      </c>
      <c r="I3" s="195" t="s">
        <v>53</v>
      </c>
      <c r="J3" s="195">
        <v>22079</v>
      </c>
      <c r="K3" s="195" t="s">
        <v>783</v>
      </c>
      <c r="L3" s="195" t="s">
        <v>784</v>
      </c>
      <c r="M3" s="195">
        <v>31.311299999999999</v>
      </c>
      <c r="N3" s="195">
        <v>-92.445099999999996</v>
      </c>
      <c r="P3" s="196"/>
      <c r="Q3" s="196"/>
      <c r="R3" s="196"/>
      <c r="S3" s="196"/>
      <c r="T3" s="196"/>
      <c r="U3" s="196"/>
      <c r="V3" s="196"/>
      <c r="W3" s="196"/>
      <c r="X3" s="196"/>
      <c r="Y3" s="196"/>
      <c r="Z3" s="196"/>
    </row>
    <row r="4" spans="1:26" ht="18" customHeight="1">
      <c r="A4" s="195" t="s">
        <v>785</v>
      </c>
      <c r="B4" s="195" t="s">
        <v>786</v>
      </c>
      <c r="C4" s="195" t="s">
        <v>781</v>
      </c>
      <c r="D4" s="195" t="s">
        <v>782</v>
      </c>
      <c r="E4" s="195" t="s">
        <v>56</v>
      </c>
      <c r="F4" s="195" t="s">
        <v>122</v>
      </c>
      <c r="G4" s="195" t="s">
        <v>99</v>
      </c>
      <c r="H4" s="195">
        <v>71302</v>
      </c>
      <c r="I4" s="195" t="s">
        <v>53</v>
      </c>
      <c r="J4" s="195">
        <v>22079</v>
      </c>
      <c r="K4" s="195" t="s">
        <v>787</v>
      </c>
      <c r="L4" s="195" t="s">
        <v>784</v>
      </c>
      <c r="M4" s="195">
        <v>31.311299999999999</v>
      </c>
      <c r="N4" s="195">
        <v>-92.445099999999996</v>
      </c>
      <c r="P4" s="196"/>
      <c r="Q4" s="196"/>
      <c r="R4" s="196"/>
      <c r="S4" s="196"/>
      <c r="T4" s="196"/>
      <c r="U4" s="196"/>
      <c r="V4" s="196"/>
      <c r="W4" s="196"/>
      <c r="X4" s="196"/>
      <c r="Y4" s="196"/>
      <c r="Z4" s="196"/>
    </row>
    <row r="5" spans="1:26" ht="18" customHeight="1">
      <c r="A5" s="195" t="s">
        <v>788</v>
      </c>
      <c r="B5" s="195" t="s">
        <v>789</v>
      </c>
      <c r="C5" s="195" t="s">
        <v>790</v>
      </c>
      <c r="D5" s="195" t="s">
        <v>791</v>
      </c>
      <c r="E5" s="195" t="s">
        <v>56</v>
      </c>
      <c r="F5" s="195" t="s">
        <v>122</v>
      </c>
      <c r="G5" s="195" t="s">
        <v>99</v>
      </c>
      <c r="H5" s="195">
        <v>71302</v>
      </c>
      <c r="I5" s="195" t="s">
        <v>53</v>
      </c>
      <c r="J5" s="195">
        <v>22079</v>
      </c>
      <c r="K5" s="195" t="s">
        <v>792</v>
      </c>
      <c r="L5" s="195" t="s">
        <v>784</v>
      </c>
      <c r="M5" s="195">
        <v>31.311299999999999</v>
      </c>
      <c r="N5" s="195">
        <v>-92.445099999999996</v>
      </c>
      <c r="P5" s="196"/>
      <c r="Q5" s="196"/>
      <c r="R5" s="196"/>
      <c r="S5" s="196"/>
      <c r="T5" s="196"/>
      <c r="U5" s="196"/>
      <c r="V5" s="196"/>
      <c r="W5" s="196"/>
      <c r="X5" s="196"/>
      <c r="Y5" s="196"/>
      <c r="Z5" s="196"/>
    </row>
    <row r="6" spans="1:26" ht="18" customHeight="1">
      <c r="A6" s="195" t="s">
        <v>793</v>
      </c>
      <c r="B6" s="195" t="s">
        <v>794</v>
      </c>
      <c r="C6" s="195" t="s">
        <v>795</v>
      </c>
      <c r="D6" s="195" t="s">
        <v>796</v>
      </c>
      <c r="E6" s="195" t="s">
        <v>56</v>
      </c>
      <c r="F6" s="195" t="s">
        <v>122</v>
      </c>
      <c r="G6" s="195" t="s">
        <v>99</v>
      </c>
      <c r="H6" s="195">
        <v>71301</v>
      </c>
      <c r="I6" s="195" t="s">
        <v>53</v>
      </c>
      <c r="J6" s="195">
        <v>22079</v>
      </c>
      <c r="K6" s="195" t="s">
        <v>797</v>
      </c>
      <c r="L6" s="195" t="s">
        <v>798</v>
      </c>
      <c r="M6" s="195">
        <v>31.311299999999999</v>
      </c>
      <c r="N6" s="195">
        <v>-92.445099999999996</v>
      </c>
      <c r="P6" s="196"/>
      <c r="Q6" s="196"/>
      <c r="R6" s="196"/>
      <c r="S6" s="196"/>
      <c r="T6" s="196"/>
      <c r="U6" s="196"/>
      <c r="V6" s="196"/>
      <c r="W6" s="196"/>
      <c r="X6" s="196"/>
      <c r="Y6" s="196"/>
      <c r="Z6" s="196"/>
    </row>
    <row r="7" spans="1:26" ht="18" customHeight="1">
      <c r="A7" s="195" t="s">
        <v>799</v>
      </c>
      <c r="B7" s="195" t="s">
        <v>800</v>
      </c>
      <c r="C7" s="195" t="s">
        <v>795</v>
      </c>
      <c r="D7" s="195" t="s">
        <v>796</v>
      </c>
      <c r="E7" s="195" t="s">
        <v>56</v>
      </c>
      <c r="F7" s="195" t="s">
        <v>122</v>
      </c>
      <c r="G7" s="195" t="s">
        <v>99</v>
      </c>
      <c r="H7" s="195">
        <v>71301</v>
      </c>
      <c r="I7" s="195" t="s">
        <v>53</v>
      </c>
      <c r="J7" s="195">
        <v>22079</v>
      </c>
      <c r="K7" s="195" t="s">
        <v>801</v>
      </c>
      <c r="L7" s="195" t="s">
        <v>802</v>
      </c>
      <c r="M7" s="195">
        <v>31.311299999999999</v>
      </c>
      <c r="N7" s="195">
        <v>-92.445099999999996</v>
      </c>
      <c r="P7" s="196"/>
      <c r="Q7" s="196"/>
      <c r="R7" s="196"/>
      <c r="S7" s="196"/>
      <c r="T7" s="196"/>
      <c r="U7" s="196"/>
      <c r="V7" s="196"/>
      <c r="W7" s="196"/>
      <c r="X7" s="196"/>
      <c r="Y7" s="196"/>
      <c r="Z7" s="196"/>
    </row>
    <row r="8" spans="1:26" ht="18" customHeight="1">
      <c r="A8" s="195" t="s">
        <v>803</v>
      </c>
      <c r="B8" s="195" t="s">
        <v>804</v>
      </c>
      <c r="C8" s="195" t="s">
        <v>795</v>
      </c>
      <c r="D8" s="195" t="s">
        <v>796</v>
      </c>
      <c r="E8" s="195" t="s">
        <v>56</v>
      </c>
      <c r="F8" s="195" t="s">
        <v>122</v>
      </c>
      <c r="G8" s="195" t="s">
        <v>99</v>
      </c>
      <c r="H8" s="195">
        <v>71301</v>
      </c>
      <c r="I8" s="195" t="s">
        <v>53</v>
      </c>
      <c r="J8" s="195">
        <v>22079</v>
      </c>
      <c r="K8" s="195" t="s">
        <v>805</v>
      </c>
      <c r="L8" s="195" t="s">
        <v>806</v>
      </c>
      <c r="M8" s="195">
        <v>31.311299999999999</v>
      </c>
      <c r="N8" s="195">
        <v>-92.445099999999996</v>
      </c>
      <c r="P8" s="196"/>
      <c r="Q8" s="196"/>
      <c r="R8" s="196"/>
      <c r="S8" s="196"/>
      <c r="T8" s="196"/>
      <c r="U8" s="196"/>
      <c r="V8" s="196"/>
      <c r="W8" s="196"/>
      <c r="X8" s="196"/>
      <c r="Y8" s="196"/>
      <c r="Z8" s="196"/>
    </row>
    <row r="9" spans="1:26" ht="18" customHeight="1">
      <c r="A9" s="195" t="s">
        <v>807</v>
      </c>
      <c r="B9" s="195" t="s">
        <v>808</v>
      </c>
      <c r="C9" s="195" t="s">
        <v>795</v>
      </c>
      <c r="D9" s="195" t="s">
        <v>796</v>
      </c>
      <c r="E9" s="195" t="s">
        <v>56</v>
      </c>
      <c r="F9" s="195" t="s">
        <v>122</v>
      </c>
      <c r="G9" s="195" t="s">
        <v>99</v>
      </c>
      <c r="H9" s="195">
        <v>71301</v>
      </c>
      <c r="I9" s="195" t="s">
        <v>53</v>
      </c>
      <c r="J9" s="195">
        <v>22079</v>
      </c>
      <c r="K9" s="195" t="s">
        <v>809</v>
      </c>
      <c r="L9" s="195" t="s">
        <v>806</v>
      </c>
      <c r="M9" s="195">
        <v>31.311299999999999</v>
      </c>
      <c r="N9" s="195">
        <v>-92.445099999999996</v>
      </c>
      <c r="P9" s="196"/>
      <c r="Q9" s="196"/>
      <c r="R9" s="196"/>
      <c r="S9" s="196"/>
      <c r="T9" s="196"/>
      <c r="U9" s="196"/>
      <c r="V9" s="196"/>
      <c r="W9" s="196"/>
      <c r="X9" s="196"/>
      <c r="Y9" s="196"/>
      <c r="Z9" s="196"/>
    </row>
    <row r="10" spans="1:26" ht="18" customHeight="1">
      <c r="A10" s="195" t="s">
        <v>810</v>
      </c>
      <c r="B10" s="195" t="s">
        <v>811</v>
      </c>
      <c r="C10" s="195" t="s">
        <v>812</v>
      </c>
      <c r="D10" s="195" t="s">
        <v>813</v>
      </c>
      <c r="E10" s="195" t="s">
        <v>56</v>
      </c>
      <c r="F10" s="195" t="s">
        <v>122</v>
      </c>
      <c r="G10" s="195" t="s">
        <v>99</v>
      </c>
      <c r="H10" s="195">
        <v>71301</v>
      </c>
      <c r="I10" s="195" t="s">
        <v>53</v>
      </c>
      <c r="J10" s="195">
        <v>22079</v>
      </c>
      <c r="K10" s="195" t="s">
        <v>814</v>
      </c>
      <c r="L10" s="195" t="s">
        <v>815</v>
      </c>
      <c r="M10" s="195">
        <v>31.311299999999999</v>
      </c>
      <c r="N10" s="195">
        <v>-92.445099999999996</v>
      </c>
      <c r="P10" s="196"/>
      <c r="Q10" s="196"/>
      <c r="R10" s="196"/>
      <c r="S10" s="196"/>
      <c r="T10" s="196"/>
      <c r="U10" s="196"/>
      <c r="V10" s="196"/>
      <c r="W10" s="196"/>
      <c r="X10" s="196"/>
      <c r="Y10" s="196"/>
      <c r="Z10" s="196"/>
    </row>
    <row r="11" spans="1:26" ht="18" customHeight="1">
      <c r="A11" s="195" t="s">
        <v>816</v>
      </c>
      <c r="B11" s="195" t="s">
        <v>817</v>
      </c>
      <c r="C11" s="195" t="s">
        <v>818</v>
      </c>
      <c r="D11" s="195" t="s">
        <v>819</v>
      </c>
      <c r="E11" s="195" t="s">
        <v>63</v>
      </c>
      <c r="F11" s="195" t="s">
        <v>143</v>
      </c>
      <c r="G11" s="195" t="s">
        <v>99</v>
      </c>
      <c r="H11" s="195">
        <v>70806</v>
      </c>
      <c r="I11" s="195" t="s">
        <v>60</v>
      </c>
      <c r="J11" s="195">
        <v>22033</v>
      </c>
      <c r="K11" s="195" t="s">
        <v>820</v>
      </c>
      <c r="L11" s="195" t="s">
        <v>821</v>
      </c>
      <c r="M11" s="195">
        <v>30.451499999999999</v>
      </c>
      <c r="N11" s="195">
        <v>-91.187100000000001</v>
      </c>
      <c r="P11" s="196"/>
      <c r="Q11" s="196"/>
      <c r="R11" s="196"/>
      <c r="S11" s="196"/>
      <c r="T11" s="196"/>
      <c r="U11" s="196"/>
      <c r="V11" s="196"/>
      <c r="W11" s="196"/>
      <c r="X11" s="196"/>
      <c r="Y11" s="196"/>
      <c r="Z11" s="196"/>
    </row>
    <row r="12" spans="1:26" ht="18" customHeight="1">
      <c r="A12" s="195" t="s">
        <v>822</v>
      </c>
      <c r="B12" s="195" t="s">
        <v>823</v>
      </c>
      <c r="C12" s="195" t="s">
        <v>818</v>
      </c>
      <c r="D12" s="195" t="s">
        <v>819</v>
      </c>
      <c r="E12" s="195" t="s">
        <v>63</v>
      </c>
      <c r="F12" s="195" t="s">
        <v>143</v>
      </c>
      <c r="G12" s="195" t="s">
        <v>99</v>
      </c>
      <c r="H12" s="195">
        <v>70806</v>
      </c>
      <c r="I12" s="195" t="s">
        <v>60</v>
      </c>
      <c r="J12" s="195">
        <v>22033</v>
      </c>
      <c r="K12" s="195" t="s">
        <v>824</v>
      </c>
      <c r="L12" s="195" t="s">
        <v>821</v>
      </c>
      <c r="M12" s="195">
        <v>30.451499999999999</v>
      </c>
      <c r="N12" s="195">
        <v>-91.187100000000001</v>
      </c>
      <c r="P12" s="196"/>
      <c r="Q12" s="196"/>
      <c r="R12" s="196"/>
      <c r="S12" s="196"/>
      <c r="T12" s="196"/>
      <c r="U12" s="196"/>
      <c r="V12" s="196"/>
      <c r="W12" s="196"/>
      <c r="X12" s="196"/>
      <c r="Y12" s="196"/>
      <c r="Z12" s="196"/>
    </row>
    <row r="13" spans="1:26" ht="18" customHeight="1">
      <c r="A13" s="195" t="s">
        <v>825</v>
      </c>
      <c r="B13" s="195" t="s">
        <v>826</v>
      </c>
      <c r="C13" s="195" t="s">
        <v>827</v>
      </c>
      <c r="D13" s="195" t="s">
        <v>828</v>
      </c>
      <c r="E13" s="195" t="s">
        <v>63</v>
      </c>
      <c r="F13" s="195" t="s">
        <v>143</v>
      </c>
      <c r="G13" s="195" t="s">
        <v>99</v>
      </c>
      <c r="H13" s="195">
        <v>70802</v>
      </c>
      <c r="I13" s="195" t="s">
        <v>60</v>
      </c>
      <c r="J13" s="195">
        <v>22033</v>
      </c>
      <c r="K13" s="195" t="s">
        <v>829</v>
      </c>
      <c r="L13" s="195" t="s">
        <v>830</v>
      </c>
      <c r="M13" s="195">
        <v>30.451499999999999</v>
      </c>
      <c r="N13" s="195">
        <v>-91.187100000000001</v>
      </c>
      <c r="P13" s="196"/>
      <c r="Q13" s="196"/>
      <c r="R13" s="196"/>
      <c r="S13" s="196"/>
      <c r="T13" s="196"/>
      <c r="U13" s="196"/>
      <c r="V13" s="196"/>
      <c r="W13" s="196"/>
      <c r="X13" s="196"/>
      <c r="Y13" s="196"/>
      <c r="Z13" s="196"/>
    </row>
    <row r="14" spans="1:26" ht="18" customHeight="1">
      <c r="A14" s="195" t="s">
        <v>831</v>
      </c>
      <c r="B14" s="195" t="s">
        <v>832</v>
      </c>
      <c r="C14" s="195" t="s">
        <v>833</v>
      </c>
      <c r="D14" s="195" t="s">
        <v>834</v>
      </c>
      <c r="E14" s="195" t="s">
        <v>63</v>
      </c>
      <c r="F14" s="195" t="s">
        <v>143</v>
      </c>
      <c r="G14" s="195" t="s">
        <v>99</v>
      </c>
      <c r="H14" s="195">
        <v>70810</v>
      </c>
      <c r="I14" s="195" t="s">
        <v>60</v>
      </c>
      <c r="J14" s="195">
        <v>22033</v>
      </c>
      <c r="K14" s="195" t="s">
        <v>835</v>
      </c>
      <c r="L14" s="195" t="s">
        <v>836</v>
      </c>
      <c r="M14" s="195">
        <v>30.451499999999999</v>
      </c>
      <c r="N14" s="195">
        <v>-91.187100000000001</v>
      </c>
      <c r="P14" s="196"/>
      <c r="Q14" s="196"/>
      <c r="R14" s="196"/>
      <c r="S14" s="196"/>
      <c r="T14" s="196"/>
      <c r="U14" s="196"/>
      <c r="V14" s="196"/>
      <c r="W14" s="196"/>
      <c r="X14" s="196"/>
      <c r="Y14" s="196"/>
      <c r="Z14" s="196"/>
    </row>
    <row r="15" spans="1:26" ht="18" customHeight="1">
      <c r="A15" s="195" t="s">
        <v>837</v>
      </c>
      <c r="B15" s="195" t="s">
        <v>838</v>
      </c>
      <c r="C15" s="195" t="s">
        <v>839</v>
      </c>
      <c r="D15" s="195" t="s">
        <v>840</v>
      </c>
      <c r="E15" s="195" t="s">
        <v>63</v>
      </c>
      <c r="F15" s="195" t="s">
        <v>143</v>
      </c>
      <c r="G15" s="195" t="s">
        <v>99</v>
      </c>
      <c r="H15" s="195"/>
      <c r="I15" s="195" t="s">
        <v>60</v>
      </c>
      <c r="J15" s="195">
        <v>22033</v>
      </c>
      <c r="K15" s="195" t="s">
        <v>841</v>
      </c>
      <c r="L15" s="195" t="s">
        <v>842</v>
      </c>
      <c r="M15" s="195">
        <v>30.451499999999999</v>
      </c>
      <c r="N15" s="195">
        <v>-91.187100000000001</v>
      </c>
      <c r="P15" s="196"/>
      <c r="Q15" s="196"/>
      <c r="R15" s="196"/>
      <c r="S15" s="196"/>
      <c r="T15" s="196"/>
      <c r="U15" s="196"/>
      <c r="V15" s="196"/>
      <c r="W15" s="196"/>
      <c r="X15" s="196"/>
      <c r="Y15" s="196"/>
      <c r="Z15" s="196"/>
    </row>
    <row r="16" spans="1:26" ht="18" customHeight="1">
      <c r="A16" s="195" t="s">
        <v>843</v>
      </c>
      <c r="B16" s="195" t="s">
        <v>844</v>
      </c>
      <c r="C16" s="195" t="s">
        <v>845</v>
      </c>
      <c r="D16" s="195" t="s">
        <v>828</v>
      </c>
      <c r="E16" s="195" t="s">
        <v>63</v>
      </c>
      <c r="F16" s="195" t="s">
        <v>143</v>
      </c>
      <c r="G16" s="195" t="s">
        <v>99</v>
      </c>
      <c r="H16" s="195">
        <v>70802</v>
      </c>
      <c r="I16" s="195" t="s">
        <v>60</v>
      </c>
      <c r="J16" s="195">
        <v>22033</v>
      </c>
      <c r="K16" s="195" t="s">
        <v>846</v>
      </c>
      <c r="L16" s="195" t="s">
        <v>847</v>
      </c>
      <c r="M16" s="195">
        <v>30.451499999999999</v>
      </c>
      <c r="N16" s="195">
        <v>-91.187100000000001</v>
      </c>
      <c r="P16" s="196"/>
      <c r="Q16" s="196"/>
      <c r="R16" s="196"/>
      <c r="S16" s="196"/>
      <c r="T16" s="196"/>
      <c r="U16" s="196"/>
      <c r="V16" s="196"/>
      <c r="W16" s="196"/>
      <c r="X16" s="196"/>
      <c r="Y16" s="196"/>
      <c r="Z16" s="196"/>
    </row>
    <row r="17" spans="1:26" ht="18" customHeight="1">
      <c r="A17" s="195" t="s">
        <v>848</v>
      </c>
      <c r="B17" s="195" t="s">
        <v>849</v>
      </c>
      <c r="C17" s="195" t="s">
        <v>850</v>
      </c>
      <c r="D17" s="195" t="s">
        <v>851</v>
      </c>
      <c r="E17" s="195" t="s">
        <v>63</v>
      </c>
      <c r="F17" s="195" t="s">
        <v>143</v>
      </c>
      <c r="G17" s="195" t="s">
        <v>99</v>
      </c>
      <c r="H17" s="195">
        <v>70805</v>
      </c>
      <c r="I17" s="195" t="s">
        <v>60</v>
      </c>
      <c r="J17" s="195">
        <v>22033</v>
      </c>
      <c r="K17" s="195" t="s">
        <v>852</v>
      </c>
      <c r="L17" s="195" t="s">
        <v>853</v>
      </c>
      <c r="M17" s="195">
        <v>30.451499999999999</v>
      </c>
      <c r="N17" s="195">
        <v>-91.187100000000001</v>
      </c>
      <c r="P17" s="196"/>
      <c r="Q17" s="196"/>
      <c r="R17" s="196"/>
      <c r="S17" s="196"/>
      <c r="T17" s="196"/>
      <c r="U17" s="196"/>
      <c r="V17" s="196"/>
      <c r="W17" s="196"/>
      <c r="X17" s="196"/>
      <c r="Y17" s="196"/>
      <c r="Z17" s="196"/>
    </row>
    <row r="18" spans="1:26" ht="18" customHeight="1">
      <c r="A18" s="195" t="s">
        <v>854</v>
      </c>
      <c r="B18" s="195" t="s">
        <v>855</v>
      </c>
      <c r="C18" s="195" t="s">
        <v>856</v>
      </c>
      <c r="D18" s="195" t="s">
        <v>857</v>
      </c>
      <c r="E18" s="195" t="s">
        <v>63</v>
      </c>
      <c r="F18" s="195" t="s">
        <v>143</v>
      </c>
      <c r="G18" s="195" t="s">
        <v>99</v>
      </c>
      <c r="H18" s="195">
        <v>70802</v>
      </c>
      <c r="I18" s="195" t="s">
        <v>60</v>
      </c>
      <c r="J18" s="195">
        <v>22033</v>
      </c>
      <c r="K18" s="195" t="s">
        <v>858</v>
      </c>
      <c r="L18" s="195" t="s">
        <v>859</v>
      </c>
      <c r="M18" s="195">
        <v>30.451499999999999</v>
      </c>
      <c r="N18" s="195">
        <v>-91.187100000000001</v>
      </c>
      <c r="P18" s="196"/>
      <c r="Q18" s="196"/>
      <c r="R18" s="196"/>
      <c r="S18" s="196"/>
      <c r="T18" s="196"/>
      <c r="U18" s="196"/>
      <c r="V18" s="196"/>
      <c r="W18" s="196"/>
      <c r="X18" s="196"/>
      <c r="Y18" s="196"/>
      <c r="Z18" s="196"/>
    </row>
    <row r="19" spans="1:26" ht="18" customHeight="1">
      <c r="A19" s="195" t="s">
        <v>860</v>
      </c>
      <c r="B19" s="195" t="s">
        <v>861</v>
      </c>
      <c r="C19" s="195" t="s">
        <v>862</v>
      </c>
      <c r="D19" s="195" t="s">
        <v>863</v>
      </c>
      <c r="E19" s="195" t="s">
        <v>63</v>
      </c>
      <c r="F19" s="195" t="s">
        <v>143</v>
      </c>
      <c r="G19" s="195" t="s">
        <v>99</v>
      </c>
      <c r="H19" s="195">
        <v>70811</v>
      </c>
      <c r="I19" s="195" t="s">
        <v>60</v>
      </c>
      <c r="J19" s="195">
        <v>22033</v>
      </c>
      <c r="K19" s="195" t="s">
        <v>864</v>
      </c>
      <c r="L19" s="195" t="s">
        <v>821</v>
      </c>
      <c r="M19" s="195">
        <v>30.451499999999999</v>
      </c>
      <c r="N19" s="195">
        <v>-91.187100000000001</v>
      </c>
      <c r="P19" s="196"/>
      <c r="Q19" s="196"/>
      <c r="R19" s="196"/>
      <c r="S19" s="196"/>
      <c r="T19" s="196"/>
      <c r="U19" s="196"/>
      <c r="V19" s="196"/>
      <c r="W19" s="196"/>
      <c r="X19" s="196"/>
      <c r="Y19" s="196"/>
      <c r="Z19" s="196"/>
    </row>
    <row r="20" spans="1:26" ht="18" customHeight="1">
      <c r="A20" s="195" t="s">
        <v>865</v>
      </c>
      <c r="B20" s="195" t="s">
        <v>866</v>
      </c>
      <c r="C20" s="195" t="s">
        <v>867</v>
      </c>
      <c r="D20" s="195" t="s">
        <v>868</v>
      </c>
      <c r="E20" s="195" t="s">
        <v>63</v>
      </c>
      <c r="F20" s="195" t="s">
        <v>143</v>
      </c>
      <c r="G20" s="195" t="s">
        <v>99</v>
      </c>
      <c r="H20" s="195">
        <v>70809</v>
      </c>
      <c r="I20" s="195" t="s">
        <v>60</v>
      </c>
      <c r="J20" s="195">
        <v>22033</v>
      </c>
      <c r="K20" s="195" t="s">
        <v>869</v>
      </c>
      <c r="L20" s="195" t="s">
        <v>870</v>
      </c>
      <c r="M20" s="195">
        <v>30.451499999999999</v>
      </c>
      <c r="N20" s="195">
        <v>-91.187100000000001</v>
      </c>
      <c r="P20" s="196"/>
      <c r="Q20" s="196"/>
      <c r="R20" s="196"/>
      <c r="S20" s="196"/>
      <c r="T20" s="196"/>
      <c r="U20" s="196"/>
      <c r="V20" s="196"/>
      <c r="W20" s="196"/>
      <c r="X20" s="196"/>
      <c r="Y20" s="196"/>
      <c r="Z20" s="196"/>
    </row>
    <row r="21" spans="1:26" ht="18" customHeight="1">
      <c r="A21" s="195" t="s">
        <v>871</v>
      </c>
      <c r="B21" s="195" t="s">
        <v>872</v>
      </c>
      <c r="C21" s="195" t="s">
        <v>873</v>
      </c>
      <c r="D21" s="195" t="s">
        <v>874</v>
      </c>
      <c r="E21" s="195" t="s">
        <v>63</v>
      </c>
      <c r="F21" s="195" t="s">
        <v>143</v>
      </c>
      <c r="G21" s="195" t="s">
        <v>99</v>
      </c>
      <c r="H21" s="195">
        <v>70801</v>
      </c>
      <c r="I21" s="195" t="s">
        <v>60</v>
      </c>
      <c r="J21" s="195">
        <v>22033</v>
      </c>
      <c r="K21" s="195" t="s">
        <v>875</v>
      </c>
      <c r="L21" s="195" t="s">
        <v>876</v>
      </c>
      <c r="M21" s="195">
        <v>30.451499999999999</v>
      </c>
      <c r="N21" s="195">
        <v>-91.187100000000001</v>
      </c>
      <c r="P21" s="196"/>
      <c r="Q21" s="196"/>
      <c r="R21" s="196"/>
      <c r="S21" s="196"/>
      <c r="T21" s="196"/>
      <c r="U21" s="196"/>
      <c r="V21" s="196"/>
      <c r="W21" s="196"/>
      <c r="X21" s="196"/>
      <c r="Y21" s="196"/>
      <c r="Z21" s="196"/>
    </row>
    <row r="22" spans="1:26" ht="18" customHeight="1">
      <c r="A22" s="195" t="s">
        <v>877</v>
      </c>
      <c r="B22" s="195" t="s">
        <v>878</v>
      </c>
      <c r="C22" s="195" t="s">
        <v>879</v>
      </c>
      <c r="D22" s="195" t="s">
        <v>880</v>
      </c>
      <c r="E22" s="195" t="s">
        <v>63</v>
      </c>
      <c r="F22" s="195" t="s">
        <v>143</v>
      </c>
      <c r="G22" s="195" t="s">
        <v>99</v>
      </c>
      <c r="H22" s="195">
        <v>70815</v>
      </c>
      <c r="I22" s="195" t="s">
        <v>60</v>
      </c>
      <c r="J22" s="195">
        <v>22033</v>
      </c>
      <c r="K22" s="195" t="s">
        <v>881</v>
      </c>
      <c r="L22" s="195" t="s">
        <v>882</v>
      </c>
      <c r="M22" s="195">
        <v>30.451499999999999</v>
      </c>
      <c r="N22" s="195">
        <v>-91.187100000000001</v>
      </c>
      <c r="P22" s="196"/>
      <c r="Q22" s="196"/>
      <c r="R22" s="196"/>
      <c r="S22" s="196"/>
      <c r="T22" s="196"/>
      <c r="U22" s="196"/>
      <c r="V22" s="196"/>
      <c r="W22" s="196"/>
      <c r="X22" s="196"/>
      <c r="Y22" s="196"/>
      <c r="Z22" s="196"/>
    </row>
    <row r="23" spans="1:26" ht="18" customHeight="1">
      <c r="A23" s="195" t="s">
        <v>883</v>
      </c>
      <c r="B23" s="195" t="s">
        <v>884</v>
      </c>
      <c r="C23" s="195" t="s">
        <v>845</v>
      </c>
      <c r="D23" s="195" t="s">
        <v>828</v>
      </c>
      <c r="E23" s="195" t="s">
        <v>63</v>
      </c>
      <c r="F23" s="195" t="s">
        <v>143</v>
      </c>
      <c r="G23" s="195" t="s">
        <v>99</v>
      </c>
      <c r="H23" s="195">
        <v>70802</v>
      </c>
      <c r="I23" s="195" t="s">
        <v>60</v>
      </c>
      <c r="J23" s="195">
        <v>22033</v>
      </c>
      <c r="K23" s="195" t="s">
        <v>885</v>
      </c>
      <c r="L23" s="195" t="s">
        <v>886</v>
      </c>
      <c r="M23" s="195">
        <v>30.451499999999999</v>
      </c>
      <c r="N23" s="195">
        <v>-91.187100000000001</v>
      </c>
      <c r="P23" s="196"/>
      <c r="Q23" s="196"/>
      <c r="R23" s="196"/>
      <c r="S23" s="196"/>
      <c r="T23" s="196"/>
      <c r="U23" s="196"/>
      <c r="V23" s="196"/>
      <c r="W23" s="196"/>
      <c r="X23" s="196"/>
      <c r="Y23" s="196"/>
      <c r="Z23" s="196"/>
    </row>
    <row r="24" spans="1:26" ht="18" customHeight="1">
      <c r="A24" s="195" t="s">
        <v>887</v>
      </c>
      <c r="B24" s="195" t="s">
        <v>888</v>
      </c>
      <c r="C24" s="195" t="s">
        <v>889</v>
      </c>
      <c r="D24" s="195" t="s">
        <v>890</v>
      </c>
      <c r="E24" s="195" t="s">
        <v>63</v>
      </c>
      <c r="F24" s="195" t="s">
        <v>143</v>
      </c>
      <c r="G24" s="195" t="s">
        <v>99</v>
      </c>
      <c r="H24" s="195">
        <v>70810</v>
      </c>
      <c r="I24" s="195" t="s">
        <v>60</v>
      </c>
      <c r="J24" s="195">
        <v>22033</v>
      </c>
      <c r="K24" s="195" t="s">
        <v>891</v>
      </c>
      <c r="L24" s="195" t="s">
        <v>892</v>
      </c>
      <c r="M24" s="195">
        <v>30.451499999999999</v>
      </c>
      <c r="N24" s="195">
        <v>-91.187100000000001</v>
      </c>
      <c r="P24" s="196"/>
      <c r="Q24" s="196"/>
      <c r="R24" s="196"/>
      <c r="S24" s="196"/>
      <c r="T24" s="196"/>
      <c r="U24" s="196"/>
      <c r="V24" s="196"/>
      <c r="W24" s="196"/>
      <c r="X24" s="196"/>
      <c r="Y24" s="196"/>
      <c r="Z24" s="196"/>
    </row>
    <row r="25" spans="1:26" ht="18" customHeight="1">
      <c r="A25" s="195" t="s">
        <v>893</v>
      </c>
      <c r="B25" s="195" t="s">
        <v>894</v>
      </c>
      <c r="C25" s="195" t="s">
        <v>845</v>
      </c>
      <c r="D25" s="195" t="s">
        <v>828</v>
      </c>
      <c r="E25" s="195" t="s">
        <v>63</v>
      </c>
      <c r="F25" s="195" t="s">
        <v>143</v>
      </c>
      <c r="G25" s="195" t="s">
        <v>99</v>
      </c>
      <c r="H25" s="195">
        <v>70802</v>
      </c>
      <c r="I25" s="195" t="s">
        <v>60</v>
      </c>
      <c r="J25" s="195">
        <v>22033</v>
      </c>
      <c r="K25" s="195" t="s">
        <v>895</v>
      </c>
      <c r="L25" s="195" t="s">
        <v>896</v>
      </c>
      <c r="M25" s="195">
        <v>30.451499999999999</v>
      </c>
      <c r="N25" s="195">
        <v>-91.187100000000001</v>
      </c>
      <c r="P25" s="196"/>
      <c r="Q25" s="196"/>
      <c r="R25" s="196"/>
      <c r="S25" s="196"/>
      <c r="T25" s="196"/>
      <c r="U25" s="196"/>
      <c r="V25" s="196"/>
      <c r="W25" s="196"/>
      <c r="X25" s="196"/>
      <c r="Y25" s="196"/>
      <c r="Z25" s="196"/>
    </row>
    <row r="26" spans="1:26" ht="18" customHeight="1">
      <c r="A26" s="195" t="s">
        <v>897</v>
      </c>
      <c r="B26" s="195" t="s">
        <v>898</v>
      </c>
      <c r="C26" s="195" t="s">
        <v>839</v>
      </c>
      <c r="D26" s="195" t="s">
        <v>840</v>
      </c>
      <c r="E26" s="195" t="s">
        <v>63</v>
      </c>
      <c r="F26" s="195" t="s">
        <v>143</v>
      </c>
      <c r="G26" s="195" t="s">
        <v>99</v>
      </c>
      <c r="H26" s="195"/>
      <c r="I26" s="195" t="s">
        <v>60</v>
      </c>
      <c r="J26" s="195">
        <v>22033</v>
      </c>
      <c r="K26" s="195" t="s">
        <v>899</v>
      </c>
      <c r="L26" s="195" t="s">
        <v>900</v>
      </c>
      <c r="M26" s="195">
        <v>30.451499999999999</v>
      </c>
      <c r="N26" s="195">
        <v>-91.187100000000001</v>
      </c>
      <c r="P26" s="196"/>
      <c r="Q26" s="196"/>
      <c r="R26" s="196"/>
      <c r="S26" s="196"/>
      <c r="T26" s="196"/>
      <c r="U26" s="196"/>
      <c r="V26" s="196"/>
      <c r="W26" s="196"/>
      <c r="X26" s="196"/>
      <c r="Y26" s="196"/>
      <c r="Z26" s="196"/>
    </row>
    <row r="27" spans="1:26" ht="18" customHeight="1">
      <c r="A27" s="195" t="s">
        <v>901</v>
      </c>
      <c r="B27" s="195" t="s">
        <v>902</v>
      </c>
      <c r="C27" s="195" t="s">
        <v>856</v>
      </c>
      <c r="D27" s="195" t="s">
        <v>857</v>
      </c>
      <c r="E27" s="195" t="s">
        <v>63</v>
      </c>
      <c r="F27" s="195" t="s">
        <v>143</v>
      </c>
      <c r="G27" s="195" t="s">
        <v>99</v>
      </c>
      <c r="H27" s="195">
        <v>70802</v>
      </c>
      <c r="I27" s="195" t="s">
        <v>60</v>
      </c>
      <c r="J27" s="195">
        <v>22033</v>
      </c>
      <c r="K27" s="195" t="s">
        <v>903</v>
      </c>
      <c r="L27" s="195" t="s">
        <v>859</v>
      </c>
      <c r="M27" s="195">
        <v>30.451499999999999</v>
      </c>
      <c r="N27" s="195">
        <v>-91.187100000000001</v>
      </c>
      <c r="P27" s="196"/>
      <c r="Q27" s="196"/>
      <c r="R27" s="196"/>
      <c r="S27" s="196"/>
      <c r="T27" s="196"/>
      <c r="U27" s="196"/>
      <c r="V27" s="196"/>
      <c r="W27" s="196"/>
      <c r="X27" s="196"/>
      <c r="Y27" s="196"/>
      <c r="Z27" s="196"/>
    </row>
    <row r="28" spans="1:26" ht="18" customHeight="1">
      <c r="A28" s="195" t="s">
        <v>904</v>
      </c>
      <c r="B28" s="195" t="s">
        <v>888</v>
      </c>
      <c r="C28" s="195" t="s">
        <v>856</v>
      </c>
      <c r="D28" s="195" t="s">
        <v>857</v>
      </c>
      <c r="E28" s="195" t="s">
        <v>63</v>
      </c>
      <c r="F28" s="195" t="s">
        <v>143</v>
      </c>
      <c r="G28" s="195" t="s">
        <v>99</v>
      </c>
      <c r="H28" s="195">
        <v>70802</v>
      </c>
      <c r="I28" s="195" t="s">
        <v>60</v>
      </c>
      <c r="J28" s="195">
        <v>22033</v>
      </c>
      <c r="K28" s="195" t="s">
        <v>905</v>
      </c>
      <c r="L28" s="195" t="s">
        <v>859</v>
      </c>
      <c r="M28" s="195">
        <v>30.451499999999999</v>
      </c>
      <c r="N28" s="195">
        <v>-91.187100000000001</v>
      </c>
      <c r="P28" s="196"/>
      <c r="Q28" s="196"/>
      <c r="R28" s="196"/>
      <c r="S28" s="196"/>
      <c r="T28" s="196"/>
      <c r="U28" s="196"/>
      <c r="V28" s="196"/>
      <c r="W28" s="196"/>
      <c r="X28" s="196"/>
      <c r="Y28" s="196"/>
      <c r="Z28" s="196"/>
    </row>
    <row r="29" spans="1:26" ht="18" customHeight="1">
      <c r="A29" s="195" t="s">
        <v>906</v>
      </c>
      <c r="B29" s="195" t="s">
        <v>907</v>
      </c>
      <c r="C29" s="195" t="s">
        <v>818</v>
      </c>
      <c r="D29" s="195" t="s">
        <v>819</v>
      </c>
      <c r="E29" s="195" t="s">
        <v>63</v>
      </c>
      <c r="F29" s="195" t="s">
        <v>143</v>
      </c>
      <c r="G29" s="195" t="s">
        <v>99</v>
      </c>
      <c r="H29" s="195">
        <v>70806</v>
      </c>
      <c r="I29" s="195" t="s">
        <v>60</v>
      </c>
      <c r="J29" s="195">
        <v>22033</v>
      </c>
      <c r="K29" s="195" t="s">
        <v>908</v>
      </c>
      <c r="L29" s="195" t="s">
        <v>909</v>
      </c>
      <c r="M29" s="195">
        <v>30.451499999999999</v>
      </c>
      <c r="N29" s="195">
        <v>-91.187100000000001</v>
      </c>
      <c r="P29" s="196"/>
      <c r="Q29" s="196"/>
      <c r="R29" s="196"/>
      <c r="S29" s="196"/>
      <c r="T29" s="196"/>
      <c r="U29" s="196"/>
      <c r="V29" s="196"/>
      <c r="W29" s="196"/>
      <c r="X29" s="196"/>
      <c r="Y29" s="196"/>
      <c r="Z29" s="196"/>
    </row>
    <row r="30" spans="1:26" ht="18" customHeight="1">
      <c r="A30" s="195" t="s">
        <v>910</v>
      </c>
      <c r="B30" s="195" t="s">
        <v>911</v>
      </c>
      <c r="C30" s="195" t="s">
        <v>818</v>
      </c>
      <c r="D30" s="195" t="s">
        <v>819</v>
      </c>
      <c r="E30" s="195" t="s">
        <v>63</v>
      </c>
      <c r="F30" s="195" t="s">
        <v>143</v>
      </c>
      <c r="G30" s="195" t="s">
        <v>99</v>
      </c>
      <c r="H30" s="195">
        <v>70806</v>
      </c>
      <c r="I30" s="195" t="s">
        <v>60</v>
      </c>
      <c r="J30" s="195">
        <v>22033</v>
      </c>
      <c r="K30" s="195" t="s">
        <v>912</v>
      </c>
      <c r="L30" s="195" t="s">
        <v>909</v>
      </c>
      <c r="M30" s="195">
        <v>30.451499999999999</v>
      </c>
      <c r="N30" s="195">
        <v>-91.187100000000001</v>
      </c>
      <c r="P30" s="196"/>
      <c r="Q30" s="196"/>
      <c r="R30" s="196"/>
      <c r="S30" s="196"/>
      <c r="T30" s="196"/>
      <c r="U30" s="196"/>
      <c r="V30" s="196"/>
      <c r="W30" s="196"/>
      <c r="X30" s="196"/>
      <c r="Y30" s="196"/>
      <c r="Z30" s="196"/>
    </row>
    <row r="31" spans="1:26" ht="18" customHeight="1">
      <c r="A31" s="195" t="s">
        <v>913</v>
      </c>
      <c r="B31" s="195" t="s">
        <v>914</v>
      </c>
      <c r="C31" s="195" t="s">
        <v>915</v>
      </c>
      <c r="D31" s="195" t="s">
        <v>916</v>
      </c>
      <c r="E31" s="195" t="s">
        <v>63</v>
      </c>
      <c r="F31" s="195" t="s">
        <v>143</v>
      </c>
      <c r="G31" s="195" t="s">
        <v>99</v>
      </c>
      <c r="H31" s="195">
        <v>70808</v>
      </c>
      <c r="I31" s="195" t="s">
        <v>60</v>
      </c>
      <c r="J31" s="195">
        <v>22033</v>
      </c>
      <c r="K31" s="195" t="s">
        <v>917</v>
      </c>
      <c r="L31" s="195" t="s">
        <v>918</v>
      </c>
      <c r="M31" s="195">
        <v>30.451499999999999</v>
      </c>
      <c r="N31" s="195">
        <v>-91.187100000000001</v>
      </c>
      <c r="P31" s="196"/>
      <c r="Q31" s="196"/>
      <c r="R31" s="196"/>
      <c r="S31" s="196"/>
      <c r="T31" s="196"/>
      <c r="U31" s="196"/>
      <c r="V31" s="196"/>
      <c r="W31" s="196"/>
      <c r="X31" s="196"/>
      <c r="Y31" s="196"/>
      <c r="Z31" s="196"/>
    </row>
    <row r="32" spans="1:26" ht="18" customHeight="1">
      <c r="A32" s="195" t="s">
        <v>919</v>
      </c>
      <c r="B32" s="195" t="s">
        <v>920</v>
      </c>
      <c r="C32" s="195" t="s">
        <v>921</v>
      </c>
      <c r="D32" s="195" t="s">
        <v>922</v>
      </c>
      <c r="E32" s="195" t="s">
        <v>63</v>
      </c>
      <c r="F32" s="195" t="s">
        <v>143</v>
      </c>
      <c r="G32" s="195" t="s">
        <v>99</v>
      </c>
      <c r="H32" s="195">
        <v>70806</v>
      </c>
      <c r="I32" s="195" t="s">
        <v>60</v>
      </c>
      <c r="J32" s="195">
        <v>22033</v>
      </c>
      <c r="K32" s="195" t="s">
        <v>923</v>
      </c>
      <c r="L32" s="195" t="s">
        <v>924</v>
      </c>
      <c r="M32" s="195">
        <v>30.451499999999999</v>
      </c>
      <c r="N32" s="195">
        <v>-91.187100000000001</v>
      </c>
      <c r="P32" s="196"/>
      <c r="Q32" s="196"/>
      <c r="R32" s="196"/>
      <c r="S32" s="196"/>
      <c r="T32" s="196"/>
      <c r="U32" s="196"/>
      <c r="V32" s="196"/>
      <c r="W32" s="196"/>
      <c r="X32" s="196"/>
      <c r="Y32" s="196"/>
      <c r="Z32" s="196"/>
    </row>
    <row r="33" spans="1:26" ht="18" customHeight="1">
      <c r="A33" s="195" t="s">
        <v>925</v>
      </c>
      <c r="B33" s="195" t="s">
        <v>926</v>
      </c>
      <c r="C33" s="195" t="s">
        <v>921</v>
      </c>
      <c r="D33" s="195" t="s">
        <v>922</v>
      </c>
      <c r="E33" s="195" t="s">
        <v>63</v>
      </c>
      <c r="F33" s="195" t="s">
        <v>143</v>
      </c>
      <c r="G33" s="195" t="s">
        <v>99</v>
      </c>
      <c r="H33" s="195">
        <v>70806</v>
      </c>
      <c r="I33" s="195" t="s">
        <v>60</v>
      </c>
      <c r="J33" s="195">
        <v>22033</v>
      </c>
      <c r="K33" s="195" t="s">
        <v>927</v>
      </c>
      <c r="L33" s="195" t="s">
        <v>924</v>
      </c>
      <c r="M33" s="195">
        <v>30.451499999999999</v>
      </c>
      <c r="N33" s="195">
        <v>-91.187100000000001</v>
      </c>
      <c r="P33" s="196"/>
      <c r="Q33" s="196"/>
      <c r="R33" s="196"/>
      <c r="S33" s="196"/>
      <c r="T33" s="196"/>
      <c r="U33" s="196"/>
      <c r="V33" s="196"/>
      <c r="W33" s="196"/>
      <c r="X33" s="196"/>
      <c r="Y33" s="196"/>
      <c r="Z33" s="196"/>
    </row>
    <row r="34" spans="1:26" ht="18" customHeight="1">
      <c r="A34" s="195" t="s">
        <v>928</v>
      </c>
      <c r="B34" s="195" t="s">
        <v>929</v>
      </c>
      <c r="C34" s="195" t="s">
        <v>930</v>
      </c>
      <c r="D34" s="195" t="s">
        <v>931</v>
      </c>
      <c r="E34" s="195" t="s">
        <v>63</v>
      </c>
      <c r="F34" s="195" t="s">
        <v>143</v>
      </c>
      <c r="G34" s="195" t="s">
        <v>99</v>
      </c>
      <c r="H34" s="195">
        <v>70806</v>
      </c>
      <c r="I34" s="195" t="s">
        <v>60</v>
      </c>
      <c r="J34" s="195">
        <v>22033</v>
      </c>
      <c r="K34" s="195" t="s">
        <v>932</v>
      </c>
      <c r="L34" s="195" t="s">
        <v>933</v>
      </c>
      <c r="M34" s="195">
        <v>30.451499999999999</v>
      </c>
      <c r="N34" s="195">
        <v>-91.187100000000001</v>
      </c>
      <c r="P34" s="196"/>
      <c r="Q34" s="196"/>
      <c r="R34" s="196"/>
      <c r="S34" s="196"/>
      <c r="T34" s="196"/>
      <c r="U34" s="196"/>
      <c r="V34" s="196"/>
      <c r="W34" s="196"/>
      <c r="X34" s="196"/>
      <c r="Y34" s="196"/>
      <c r="Z34" s="196"/>
    </row>
    <row r="35" spans="1:26" ht="18" customHeight="1">
      <c r="A35" s="195" t="s">
        <v>934</v>
      </c>
      <c r="B35" s="195" t="s">
        <v>935</v>
      </c>
      <c r="C35" s="195" t="s">
        <v>856</v>
      </c>
      <c r="D35" s="195" t="s">
        <v>857</v>
      </c>
      <c r="E35" s="195" t="s">
        <v>63</v>
      </c>
      <c r="F35" s="195" t="s">
        <v>143</v>
      </c>
      <c r="G35" s="195" t="s">
        <v>99</v>
      </c>
      <c r="H35" s="195">
        <v>70802</v>
      </c>
      <c r="I35" s="195" t="s">
        <v>60</v>
      </c>
      <c r="J35" s="195">
        <v>22033</v>
      </c>
      <c r="K35" s="195" t="s">
        <v>936</v>
      </c>
      <c r="L35" s="195" t="s">
        <v>859</v>
      </c>
      <c r="M35" s="195">
        <v>30.451499999999999</v>
      </c>
      <c r="N35" s="195">
        <v>-91.187100000000001</v>
      </c>
      <c r="P35" s="196"/>
      <c r="Q35" s="196"/>
      <c r="R35" s="196"/>
      <c r="S35" s="196"/>
      <c r="T35" s="196"/>
      <c r="U35" s="196"/>
      <c r="V35" s="196"/>
      <c r="W35" s="196"/>
      <c r="X35" s="196"/>
      <c r="Y35" s="196"/>
      <c r="Z35" s="196"/>
    </row>
    <row r="36" spans="1:26" ht="18" customHeight="1">
      <c r="A36" s="195" t="s">
        <v>937</v>
      </c>
      <c r="B36" s="195" t="s">
        <v>938</v>
      </c>
      <c r="C36" s="195" t="s">
        <v>839</v>
      </c>
      <c r="D36" s="195" t="s">
        <v>939</v>
      </c>
      <c r="E36" s="195" t="s">
        <v>940</v>
      </c>
      <c r="F36" s="195" t="s">
        <v>168</v>
      </c>
      <c r="G36" s="195" t="s">
        <v>99</v>
      </c>
      <c r="H36" s="195"/>
      <c r="I36" s="195" t="s">
        <v>60</v>
      </c>
      <c r="J36" s="195">
        <v>22087</v>
      </c>
      <c r="K36" s="195" t="s">
        <v>941</v>
      </c>
      <c r="L36" s="195" t="s">
        <v>942</v>
      </c>
      <c r="M36" s="195">
        <v>29.942699999999999</v>
      </c>
      <c r="N36" s="195">
        <v>-89.963399999999993</v>
      </c>
      <c r="P36" s="196"/>
      <c r="Q36" s="196"/>
      <c r="R36" s="196"/>
      <c r="S36" s="196"/>
      <c r="T36" s="196"/>
      <c r="U36" s="196"/>
      <c r="V36" s="196"/>
      <c r="W36" s="196"/>
      <c r="X36" s="196"/>
      <c r="Y36" s="196"/>
      <c r="Z36" s="196"/>
    </row>
    <row r="37" spans="1:26" ht="18" customHeight="1">
      <c r="A37" s="195" t="s">
        <v>943</v>
      </c>
      <c r="B37" s="195" t="s">
        <v>944</v>
      </c>
      <c r="C37" s="195" t="s">
        <v>945</v>
      </c>
      <c r="D37" s="195" t="s">
        <v>946</v>
      </c>
      <c r="E37" s="195" t="s">
        <v>947</v>
      </c>
      <c r="F37" s="195" t="s">
        <v>119</v>
      </c>
      <c r="G37" s="195" t="s">
        <v>99</v>
      </c>
      <c r="H37" s="195">
        <v>70634</v>
      </c>
      <c r="I37" s="195" t="s">
        <v>60</v>
      </c>
      <c r="J37" s="195">
        <v>22011</v>
      </c>
      <c r="K37" s="195" t="s">
        <v>948</v>
      </c>
      <c r="L37" s="195" t="s">
        <v>949</v>
      </c>
      <c r="M37" s="195">
        <v>30.846599999999999</v>
      </c>
      <c r="N37" s="195">
        <v>-93.289000000000001</v>
      </c>
      <c r="P37" s="196"/>
      <c r="Q37" s="196"/>
      <c r="R37" s="196"/>
      <c r="S37" s="196"/>
      <c r="T37" s="196"/>
      <c r="U37" s="196"/>
      <c r="V37" s="196"/>
      <c r="W37" s="196"/>
      <c r="X37" s="196"/>
      <c r="Y37" s="196"/>
      <c r="Z37" s="196"/>
    </row>
    <row r="38" spans="1:26" ht="18" customHeight="1">
      <c r="A38" s="195" t="s">
        <v>950</v>
      </c>
      <c r="B38" s="195" t="s">
        <v>951</v>
      </c>
      <c r="C38" s="195" t="s">
        <v>952</v>
      </c>
      <c r="D38" s="195" t="s">
        <v>953</v>
      </c>
      <c r="E38" s="195" t="s">
        <v>954</v>
      </c>
      <c r="F38" s="195" t="s">
        <v>176</v>
      </c>
      <c r="G38" s="195" t="s">
        <v>99</v>
      </c>
      <c r="H38" s="195">
        <v>70360</v>
      </c>
      <c r="I38" s="195" t="s">
        <v>60</v>
      </c>
      <c r="J38" s="195">
        <v>22109</v>
      </c>
      <c r="K38" s="195" t="s">
        <v>955</v>
      </c>
      <c r="L38" s="195" t="s">
        <v>784</v>
      </c>
      <c r="M38" s="195">
        <v>29.595800000000001</v>
      </c>
      <c r="N38" s="195">
        <v>-90.719499999999996</v>
      </c>
      <c r="P38" s="196"/>
      <c r="Q38" s="196"/>
      <c r="R38" s="196"/>
      <c r="S38" s="196"/>
      <c r="T38" s="196"/>
      <c r="U38" s="196"/>
      <c r="V38" s="196"/>
      <c r="W38" s="196"/>
      <c r="X38" s="196"/>
      <c r="Y38" s="196"/>
      <c r="Z38" s="196"/>
    </row>
    <row r="39" spans="1:26" ht="18" customHeight="1">
      <c r="A39" s="195" t="s">
        <v>956</v>
      </c>
      <c r="B39" s="195" t="s">
        <v>957</v>
      </c>
      <c r="C39" s="195" t="s">
        <v>839</v>
      </c>
      <c r="D39" s="195" t="s">
        <v>958</v>
      </c>
      <c r="E39" s="195" t="s">
        <v>954</v>
      </c>
      <c r="F39" s="195" t="s">
        <v>176</v>
      </c>
      <c r="G39" s="195" t="s">
        <v>99</v>
      </c>
      <c r="H39" s="195"/>
      <c r="I39" s="195" t="s">
        <v>60</v>
      </c>
      <c r="J39" s="195">
        <v>22109</v>
      </c>
      <c r="K39" s="195" t="s">
        <v>959</v>
      </c>
      <c r="L39" s="195" t="s">
        <v>960</v>
      </c>
      <c r="M39" s="195">
        <v>29.595800000000001</v>
      </c>
      <c r="N39" s="195">
        <v>-90.719499999999996</v>
      </c>
      <c r="P39" s="196"/>
      <c r="Q39" s="196"/>
      <c r="R39" s="196"/>
      <c r="S39" s="196"/>
      <c r="T39" s="196"/>
      <c r="U39" s="196"/>
      <c r="V39" s="196"/>
      <c r="W39" s="196"/>
      <c r="X39" s="196"/>
      <c r="Y39" s="196"/>
      <c r="Z39" s="196"/>
    </row>
    <row r="40" spans="1:26" ht="18" customHeight="1">
      <c r="A40" s="195" t="s">
        <v>961</v>
      </c>
      <c r="B40" s="195" t="s">
        <v>962</v>
      </c>
      <c r="C40" s="195" t="s">
        <v>963</v>
      </c>
      <c r="D40" s="195" t="s">
        <v>964</v>
      </c>
      <c r="E40" s="195" t="s">
        <v>954</v>
      </c>
      <c r="F40" s="195" t="s">
        <v>176</v>
      </c>
      <c r="G40" s="195" t="s">
        <v>99</v>
      </c>
      <c r="H40" s="195">
        <v>70360</v>
      </c>
      <c r="I40" s="195" t="s">
        <v>60</v>
      </c>
      <c r="J40" s="195">
        <v>22109</v>
      </c>
      <c r="K40" s="195" t="s">
        <v>869</v>
      </c>
      <c r="L40" s="195" t="s">
        <v>965</v>
      </c>
      <c r="M40" s="195">
        <v>29.595800000000001</v>
      </c>
      <c r="N40" s="195">
        <v>-90.719499999999996</v>
      </c>
      <c r="P40" s="196"/>
      <c r="Q40" s="196"/>
      <c r="R40" s="196"/>
      <c r="S40" s="196"/>
      <c r="T40" s="196"/>
      <c r="U40" s="196"/>
      <c r="V40" s="196"/>
      <c r="W40" s="196"/>
      <c r="X40" s="196"/>
      <c r="Y40" s="196"/>
      <c r="Z40" s="196"/>
    </row>
    <row r="41" spans="1:26" ht="18" customHeight="1">
      <c r="A41" s="195" t="s">
        <v>966</v>
      </c>
      <c r="B41" s="195" t="s">
        <v>967</v>
      </c>
      <c r="C41" s="195" t="s">
        <v>968</v>
      </c>
      <c r="D41" s="195" t="s">
        <v>969</v>
      </c>
      <c r="E41" s="195" t="s">
        <v>954</v>
      </c>
      <c r="F41" s="195" t="s">
        <v>176</v>
      </c>
      <c r="G41" s="195" t="s">
        <v>99</v>
      </c>
      <c r="H41" s="195">
        <v>70360</v>
      </c>
      <c r="I41" s="195" t="s">
        <v>60</v>
      </c>
      <c r="J41" s="195">
        <v>22109</v>
      </c>
      <c r="K41" s="195" t="s">
        <v>970</v>
      </c>
      <c r="L41" s="195" t="s">
        <v>971</v>
      </c>
      <c r="M41" s="195">
        <v>29.595800000000001</v>
      </c>
      <c r="N41" s="195">
        <v>-90.719499999999996</v>
      </c>
      <c r="P41" s="196"/>
      <c r="Q41" s="196"/>
      <c r="R41" s="196"/>
      <c r="S41" s="196"/>
      <c r="T41" s="196"/>
      <c r="U41" s="196"/>
      <c r="V41" s="196"/>
      <c r="W41" s="196"/>
      <c r="X41" s="196"/>
      <c r="Y41" s="196"/>
      <c r="Z41" s="196"/>
    </row>
    <row r="42" spans="1:26" ht="18" customHeight="1">
      <c r="A42" s="195" t="s">
        <v>972</v>
      </c>
      <c r="B42" s="195" t="s">
        <v>973</v>
      </c>
      <c r="C42" s="195" t="s">
        <v>974</v>
      </c>
      <c r="D42" s="195" t="s">
        <v>975</v>
      </c>
      <c r="E42" s="195" t="s">
        <v>954</v>
      </c>
      <c r="F42" s="195" t="s">
        <v>176</v>
      </c>
      <c r="G42" s="195" t="s">
        <v>99</v>
      </c>
      <c r="H42" s="195">
        <v>70360</v>
      </c>
      <c r="I42" s="195" t="s">
        <v>60</v>
      </c>
      <c r="J42" s="195">
        <v>22109</v>
      </c>
      <c r="K42" s="195" t="s">
        <v>976</v>
      </c>
      <c r="L42" s="195" t="s">
        <v>977</v>
      </c>
      <c r="M42" s="195">
        <v>29.595800000000001</v>
      </c>
      <c r="N42" s="195">
        <v>-90.719499999999996</v>
      </c>
      <c r="P42" s="196"/>
      <c r="Q42" s="196"/>
      <c r="R42" s="196"/>
      <c r="S42" s="196"/>
      <c r="T42" s="196"/>
      <c r="U42" s="196"/>
      <c r="V42" s="196"/>
      <c r="W42" s="196"/>
      <c r="X42" s="196"/>
      <c r="Y42" s="196"/>
      <c r="Z42" s="196"/>
    </row>
    <row r="43" spans="1:26" ht="18" customHeight="1">
      <c r="A43" s="195" t="s">
        <v>978</v>
      </c>
      <c r="B43" s="195" t="s">
        <v>979</v>
      </c>
      <c r="C43" s="195" t="s">
        <v>974</v>
      </c>
      <c r="D43" s="195" t="s">
        <v>975</v>
      </c>
      <c r="E43" s="195" t="s">
        <v>954</v>
      </c>
      <c r="F43" s="195" t="s">
        <v>176</v>
      </c>
      <c r="G43" s="195" t="s">
        <v>99</v>
      </c>
      <c r="H43" s="195">
        <v>70360</v>
      </c>
      <c r="I43" s="195" t="s">
        <v>60</v>
      </c>
      <c r="J43" s="195">
        <v>22109</v>
      </c>
      <c r="K43" s="195" t="s">
        <v>980</v>
      </c>
      <c r="L43" s="195" t="s">
        <v>977</v>
      </c>
      <c r="M43" s="195">
        <v>29.595800000000001</v>
      </c>
      <c r="N43" s="195">
        <v>-90.719499999999996</v>
      </c>
      <c r="P43" s="196"/>
      <c r="Q43" s="196"/>
      <c r="R43" s="196"/>
      <c r="S43" s="196"/>
      <c r="T43" s="196"/>
      <c r="U43" s="196"/>
      <c r="V43" s="196"/>
      <c r="W43" s="196"/>
      <c r="X43" s="196"/>
      <c r="Y43" s="196"/>
      <c r="Z43" s="196"/>
    </row>
    <row r="44" spans="1:26" ht="18" customHeight="1">
      <c r="A44" s="195" t="s">
        <v>981</v>
      </c>
      <c r="B44" s="195" t="s">
        <v>982</v>
      </c>
      <c r="C44" s="195" t="s">
        <v>974</v>
      </c>
      <c r="D44" s="195" t="s">
        <v>975</v>
      </c>
      <c r="E44" s="195" t="s">
        <v>954</v>
      </c>
      <c r="F44" s="195" t="s">
        <v>176</v>
      </c>
      <c r="G44" s="195" t="s">
        <v>99</v>
      </c>
      <c r="H44" s="195">
        <v>70360</v>
      </c>
      <c r="I44" s="195" t="s">
        <v>60</v>
      </c>
      <c r="J44" s="195">
        <v>22109</v>
      </c>
      <c r="K44" s="195" t="s">
        <v>983</v>
      </c>
      <c r="L44" s="195" t="s">
        <v>977</v>
      </c>
      <c r="M44" s="195">
        <v>29.595800000000001</v>
      </c>
      <c r="N44" s="195">
        <v>-90.719499999999996</v>
      </c>
      <c r="P44" s="196"/>
      <c r="Q44" s="196"/>
      <c r="R44" s="196"/>
      <c r="S44" s="196"/>
      <c r="T44" s="196"/>
      <c r="U44" s="196"/>
      <c r="V44" s="196"/>
      <c r="W44" s="196"/>
      <c r="X44" s="196"/>
      <c r="Y44" s="196"/>
      <c r="Z44" s="196"/>
    </row>
    <row r="45" spans="1:26" ht="18" customHeight="1">
      <c r="A45" s="195" t="s">
        <v>984</v>
      </c>
      <c r="B45" s="195" t="s">
        <v>985</v>
      </c>
      <c r="C45" s="195" t="s">
        <v>974</v>
      </c>
      <c r="D45" s="195" t="s">
        <v>975</v>
      </c>
      <c r="E45" s="195" t="s">
        <v>954</v>
      </c>
      <c r="F45" s="195" t="s">
        <v>176</v>
      </c>
      <c r="G45" s="195" t="s">
        <v>99</v>
      </c>
      <c r="H45" s="195">
        <v>70360</v>
      </c>
      <c r="I45" s="195" t="s">
        <v>60</v>
      </c>
      <c r="J45" s="195">
        <v>22109</v>
      </c>
      <c r="K45" s="195" t="s">
        <v>986</v>
      </c>
      <c r="L45" s="195" t="s">
        <v>977</v>
      </c>
      <c r="M45" s="195">
        <v>29.595800000000001</v>
      </c>
      <c r="N45" s="195">
        <v>-90.719499999999996</v>
      </c>
      <c r="P45" s="196"/>
      <c r="Q45" s="196"/>
      <c r="R45" s="196"/>
      <c r="S45" s="196"/>
      <c r="T45" s="196"/>
      <c r="U45" s="196"/>
      <c r="V45" s="196"/>
      <c r="W45" s="196"/>
      <c r="X45" s="196"/>
      <c r="Y45" s="196"/>
      <c r="Z45" s="196"/>
    </row>
    <row r="46" spans="1:26" ht="18" customHeight="1">
      <c r="A46" s="195" t="s">
        <v>987</v>
      </c>
      <c r="B46" s="195" t="s">
        <v>988</v>
      </c>
      <c r="C46" s="195" t="s">
        <v>974</v>
      </c>
      <c r="D46" s="195" t="s">
        <v>975</v>
      </c>
      <c r="E46" s="195" t="s">
        <v>954</v>
      </c>
      <c r="F46" s="195" t="s">
        <v>176</v>
      </c>
      <c r="G46" s="195" t="s">
        <v>99</v>
      </c>
      <c r="H46" s="195">
        <v>70360</v>
      </c>
      <c r="I46" s="195" t="s">
        <v>60</v>
      </c>
      <c r="J46" s="195">
        <v>22109</v>
      </c>
      <c r="K46" s="195" t="s">
        <v>989</v>
      </c>
      <c r="L46" s="195" t="s">
        <v>798</v>
      </c>
      <c r="M46" s="195">
        <v>29.595800000000001</v>
      </c>
      <c r="N46" s="195">
        <v>-90.719499999999996</v>
      </c>
      <c r="P46" s="196"/>
      <c r="Q46" s="196"/>
      <c r="R46" s="196"/>
      <c r="S46" s="196"/>
      <c r="T46" s="196"/>
      <c r="U46" s="196"/>
      <c r="V46" s="196"/>
      <c r="W46" s="196"/>
      <c r="X46" s="196"/>
      <c r="Y46" s="196"/>
      <c r="Z46" s="196"/>
    </row>
    <row r="47" spans="1:26" ht="18" customHeight="1">
      <c r="A47" s="195" t="s">
        <v>990</v>
      </c>
      <c r="B47" s="195" t="s">
        <v>991</v>
      </c>
      <c r="C47" s="195" t="s">
        <v>974</v>
      </c>
      <c r="D47" s="195" t="s">
        <v>975</v>
      </c>
      <c r="E47" s="195" t="s">
        <v>954</v>
      </c>
      <c r="F47" s="195" t="s">
        <v>176</v>
      </c>
      <c r="G47" s="195" t="s">
        <v>99</v>
      </c>
      <c r="H47" s="195">
        <v>70360</v>
      </c>
      <c r="I47" s="195" t="s">
        <v>60</v>
      </c>
      <c r="J47" s="195">
        <v>22109</v>
      </c>
      <c r="K47" s="195" t="s">
        <v>869</v>
      </c>
      <c r="L47" s="195" t="s">
        <v>992</v>
      </c>
      <c r="M47" s="195">
        <v>29.595800000000001</v>
      </c>
      <c r="N47" s="195">
        <v>-90.719499999999996</v>
      </c>
      <c r="P47" s="196"/>
      <c r="Q47" s="196"/>
      <c r="R47" s="196"/>
      <c r="S47" s="196"/>
      <c r="T47" s="196"/>
      <c r="U47" s="196"/>
      <c r="V47" s="196"/>
      <c r="W47" s="196"/>
      <c r="X47" s="196"/>
      <c r="Y47" s="196"/>
      <c r="Z47" s="196"/>
    </row>
    <row r="48" spans="1:26" ht="18" customHeight="1">
      <c r="A48" s="195" t="s">
        <v>993</v>
      </c>
      <c r="B48" s="195" t="s">
        <v>994</v>
      </c>
      <c r="C48" s="195" t="s">
        <v>952</v>
      </c>
      <c r="D48" s="195" t="s">
        <v>953</v>
      </c>
      <c r="E48" s="195" t="s">
        <v>954</v>
      </c>
      <c r="F48" s="195" t="s">
        <v>176</v>
      </c>
      <c r="G48" s="195" t="s">
        <v>99</v>
      </c>
      <c r="H48" s="195">
        <v>70360</v>
      </c>
      <c r="I48" s="195" t="s">
        <v>60</v>
      </c>
      <c r="J48" s="195">
        <v>22109</v>
      </c>
      <c r="K48" s="195" t="s">
        <v>995</v>
      </c>
      <c r="L48" s="195" t="s">
        <v>784</v>
      </c>
      <c r="M48" s="195">
        <v>29.595800000000001</v>
      </c>
      <c r="N48" s="195">
        <v>-90.719499999999996</v>
      </c>
      <c r="P48" s="196"/>
      <c r="Q48" s="196"/>
      <c r="R48" s="196"/>
      <c r="S48" s="196"/>
      <c r="T48" s="196"/>
      <c r="U48" s="196"/>
      <c r="V48" s="196"/>
      <c r="W48" s="196"/>
      <c r="X48" s="196"/>
      <c r="Y48" s="196"/>
      <c r="Z48" s="196"/>
    </row>
    <row r="49" spans="1:26" ht="18" customHeight="1">
      <c r="A49" s="195" t="s">
        <v>996</v>
      </c>
      <c r="B49" s="195" t="s">
        <v>997</v>
      </c>
      <c r="C49" s="195" t="s">
        <v>974</v>
      </c>
      <c r="D49" s="195" t="s">
        <v>975</v>
      </c>
      <c r="E49" s="195" t="s">
        <v>954</v>
      </c>
      <c r="F49" s="195" t="s">
        <v>176</v>
      </c>
      <c r="G49" s="195" t="s">
        <v>99</v>
      </c>
      <c r="H49" s="195">
        <v>70360</v>
      </c>
      <c r="I49" s="195" t="s">
        <v>60</v>
      </c>
      <c r="J49" s="195">
        <v>22109</v>
      </c>
      <c r="K49" s="195" t="s">
        <v>998</v>
      </c>
      <c r="L49" s="195" t="s">
        <v>999</v>
      </c>
      <c r="M49" s="195">
        <v>29.595800000000001</v>
      </c>
      <c r="N49" s="195">
        <v>-90.719499999999996</v>
      </c>
      <c r="P49" s="196"/>
      <c r="Q49" s="196"/>
      <c r="R49" s="196"/>
      <c r="S49" s="196"/>
      <c r="T49" s="196"/>
      <c r="U49" s="196"/>
      <c r="V49" s="196"/>
      <c r="W49" s="196"/>
      <c r="X49" s="196"/>
      <c r="Y49" s="196"/>
      <c r="Z49" s="196"/>
    </row>
    <row r="50" spans="1:26" ht="18" customHeight="1">
      <c r="A50" s="195" t="s">
        <v>1000</v>
      </c>
      <c r="B50" s="195" t="s">
        <v>888</v>
      </c>
      <c r="C50" s="195" t="s">
        <v>974</v>
      </c>
      <c r="D50" s="195" t="s">
        <v>975</v>
      </c>
      <c r="E50" s="195" t="s">
        <v>954</v>
      </c>
      <c r="F50" s="195" t="s">
        <v>176</v>
      </c>
      <c r="G50" s="195" t="s">
        <v>99</v>
      </c>
      <c r="H50" s="195">
        <v>70360</v>
      </c>
      <c r="I50" s="195" t="s">
        <v>60</v>
      </c>
      <c r="J50" s="195">
        <v>22109</v>
      </c>
      <c r="K50" s="195" t="s">
        <v>1001</v>
      </c>
      <c r="L50" s="195" t="s">
        <v>1002</v>
      </c>
      <c r="M50" s="195">
        <v>29.595800000000001</v>
      </c>
      <c r="N50" s="195">
        <v>-90.719499999999996</v>
      </c>
      <c r="P50" s="196"/>
      <c r="Q50" s="196"/>
      <c r="R50" s="196"/>
      <c r="S50" s="196"/>
      <c r="T50" s="196"/>
      <c r="U50" s="196"/>
      <c r="V50" s="196"/>
      <c r="W50" s="196"/>
      <c r="X50" s="196"/>
      <c r="Y50" s="196"/>
      <c r="Z50" s="196"/>
    </row>
    <row r="51" spans="1:26" ht="18" customHeight="1">
      <c r="A51" s="195" t="s">
        <v>1003</v>
      </c>
      <c r="B51" s="195" t="s">
        <v>1004</v>
      </c>
      <c r="C51" s="195" t="s">
        <v>839</v>
      </c>
      <c r="D51" s="195" t="s">
        <v>958</v>
      </c>
      <c r="E51" s="195" t="s">
        <v>954</v>
      </c>
      <c r="F51" s="195" t="s">
        <v>176</v>
      </c>
      <c r="G51" s="195" t="s">
        <v>99</v>
      </c>
      <c r="H51" s="195"/>
      <c r="I51" s="195" t="s">
        <v>60</v>
      </c>
      <c r="J51" s="195">
        <v>22109</v>
      </c>
      <c r="K51" s="195" t="s">
        <v>1005</v>
      </c>
      <c r="L51" s="195" t="s">
        <v>1006</v>
      </c>
      <c r="M51" s="195">
        <v>29.595800000000001</v>
      </c>
      <c r="N51" s="195">
        <v>-90.719499999999996</v>
      </c>
      <c r="P51" s="196"/>
      <c r="Q51" s="196"/>
      <c r="R51" s="196"/>
      <c r="S51" s="196"/>
      <c r="T51" s="196"/>
      <c r="U51" s="196"/>
      <c r="V51" s="196"/>
      <c r="W51" s="196"/>
      <c r="X51" s="196"/>
      <c r="Y51" s="196"/>
      <c r="Z51" s="196"/>
    </row>
    <row r="52" spans="1:26" ht="18" customHeight="1">
      <c r="A52" s="195" t="s">
        <v>1007</v>
      </c>
      <c r="B52" s="195" t="s">
        <v>1008</v>
      </c>
      <c r="C52" s="195" t="s">
        <v>974</v>
      </c>
      <c r="D52" s="195" t="s">
        <v>975</v>
      </c>
      <c r="E52" s="195" t="s">
        <v>954</v>
      </c>
      <c r="F52" s="195" t="s">
        <v>176</v>
      </c>
      <c r="G52" s="195" t="s">
        <v>99</v>
      </c>
      <c r="H52" s="195">
        <v>70360</v>
      </c>
      <c r="I52" s="195" t="s">
        <v>60</v>
      </c>
      <c r="J52" s="195">
        <v>22109</v>
      </c>
      <c r="K52" s="195" t="s">
        <v>1009</v>
      </c>
      <c r="L52" s="195" t="s">
        <v>1010</v>
      </c>
      <c r="M52" s="195">
        <v>29.595800000000001</v>
      </c>
      <c r="N52" s="195">
        <v>-90.719499999999996</v>
      </c>
      <c r="P52" s="196"/>
      <c r="Q52" s="196"/>
      <c r="R52" s="196"/>
      <c r="S52" s="196"/>
      <c r="T52" s="196"/>
      <c r="U52" s="196"/>
      <c r="V52" s="196"/>
      <c r="W52" s="196"/>
      <c r="X52" s="196"/>
      <c r="Y52" s="196"/>
      <c r="Z52" s="196"/>
    </row>
    <row r="53" spans="1:26" ht="18" customHeight="1">
      <c r="A53" s="195" t="s">
        <v>1011</v>
      </c>
      <c r="B53" s="195" t="s">
        <v>1012</v>
      </c>
      <c r="C53" s="195" t="s">
        <v>974</v>
      </c>
      <c r="D53" s="195" t="s">
        <v>975</v>
      </c>
      <c r="E53" s="195" t="s">
        <v>954</v>
      </c>
      <c r="F53" s="195" t="s">
        <v>176</v>
      </c>
      <c r="G53" s="195" t="s">
        <v>99</v>
      </c>
      <c r="H53" s="195">
        <v>70360</v>
      </c>
      <c r="I53" s="195" t="s">
        <v>60</v>
      </c>
      <c r="J53" s="195">
        <v>22109</v>
      </c>
      <c r="K53" s="195" t="s">
        <v>899</v>
      </c>
      <c r="L53" s="195" t="s">
        <v>977</v>
      </c>
      <c r="M53" s="195">
        <v>29.595800000000001</v>
      </c>
      <c r="N53" s="195">
        <v>-90.719499999999996</v>
      </c>
      <c r="P53" s="196"/>
      <c r="Q53" s="196"/>
      <c r="R53" s="196"/>
      <c r="S53" s="196"/>
      <c r="T53" s="196"/>
      <c r="U53" s="196"/>
      <c r="V53" s="196"/>
      <c r="W53" s="196"/>
      <c r="X53" s="196"/>
      <c r="Y53" s="196"/>
      <c r="Z53" s="196"/>
    </row>
    <row r="54" spans="1:26" ht="18" customHeight="1">
      <c r="A54" s="195" t="s">
        <v>1013</v>
      </c>
      <c r="B54" s="195" t="s">
        <v>1014</v>
      </c>
      <c r="C54" s="195" t="s">
        <v>839</v>
      </c>
      <c r="D54" s="195" t="s">
        <v>1015</v>
      </c>
      <c r="E54" s="195" t="s">
        <v>1016</v>
      </c>
      <c r="F54" s="195" t="s">
        <v>150</v>
      </c>
      <c r="G54" s="195" t="s">
        <v>99</v>
      </c>
      <c r="H54" s="195"/>
      <c r="I54" s="195" t="s">
        <v>60</v>
      </c>
      <c r="J54" s="195">
        <v>22053</v>
      </c>
      <c r="K54" s="195" t="s">
        <v>1017</v>
      </c>
      <c r="L54" s="195" t="s">
        <v>942</v>
      </c>
      <c r="M54" s="195">
        <v>30.2224</v>
      </c>
      <c r="N54" s="195">
        <v>-92.656800000000004</v>
      </c>
      <c r="P54" s="196"/>
      <c r="Q54" s="196"/>
      <c r="R54" s="196"/>
      <c r="S54" s="196"/>
      <c r="T54" s="196"/>
      <c r="U54" s="196"/>
      <c r="V54" s="196"/>
      <c r="W54" s="196"/>
      <c r="X54" s="196"/>
      <c r="Y54" s="196"/>
      <c r="Z54" s="196"/>
    </row>
    <row r="55" spans="1:26" ht="18" customHeight="1">
      <c r="A55" s="195" t="s">
        <v>1018</v>
      </c>
      <c r="B55" s="195" t="s">
        <v>1019</v>
      </c>
      <c r="C55" s="195" t="s">
        <v>1020</v>
      </c>
      <c r="D55" s="195" t="s">
        <v>1021</v>
      </c>
      <c r="E55" s="195" t="s">
        <v>1020</v>
      </c>
      <c r="F55" s="195" t="s">
        <v>100</v>
      </c>
      <c r="G55" s="195" t="s">
        <v>99</v>
      </c>
      <c r="H55" s="195">
        <v>71047</v>
      </c>
      <c r="I55" s="195" t="s">
        <v>46</v>
      </c>
      <c r="J55" s="195">
        <v>22017</v>
      </c>
      <c r="K55" s="195" t="s">
        <v>1022</v>
      </c>
      <c r="L55" s="195" t="s">
        <v>1023</v>
      </c>
      <c r="M55" s="195">
        <v>32.349800000000002</v>
      </c>
      <c r="N55" s="195">
        <v>-93.973600000000005</v>
      </c>
      <c r="P55" s="196"/>
      <c r="Q55" s="196"/>
      <c r="R55" s="196"/>
      <c r="S55" s="196"/>
      <c r="T55" s="196"/>
      <c r="U55" s="196"/>
      <c r="V55" s="196"/>
      <c r="W55" s="196"/>
      <c r="X55" s="196"/>
      <c r="Y55" s="196"/>
      <c r="Z55" s="196"/>
    </row>
    <row r="56" spans="1:26" ht="18" customHeight="1">
      <c r="A56" s="195" t="s">
        <v>1024</v>
      </c>
      <c r="B56" s="195" t="s">
        <v>1025</v>
      </c>
      <c r="C56" s="195" t="s">
        <v>1026</v>
      </c>
      <c r="D56" s="195" t="s">
        <v>1027</v>
      </c>
      <c r="E56" s="195" t="s">
        <v>1028</v>
      </c>
      <c r="F56" s="195" t="s">
        <v>127</v>
      </c>
      <c r="G56" s="195" t="s">
        <v>99</v>
      </c>
      <c r="H56" s="195">
        <v>70601</v>
      </c>
      <c r="I56" s="195" t="s">
        <v>60</v>
      </c>
      <c r="J56" s="195">
        <v>22019</v>
      </c>
      <c r="K56" s="195" t="s">
        <v>1029</v>
      </c>
      <c r="L56" s="195" t="s">
        <v>1030</v>
      </c>
      <c r="M56" s="195">
        <v>30.226600000000001</v>
      </c>
      <c r="N56" s="195">
        <v>-93.217399999999998</v>
      </c>
      <c r="P56" s="196"/>
      <c r="Q56" s="196"/>
      <c r="R56" s="196"/>
      <c r="S56" s="196"/>
      <c r="T56" s="196"/>
      <c r="U56" s="196"/>
      <c r="V56" s="196"/>
      <c r="W56" s="196"/>
      <c r="X56" s="196"/>
      <c r="Y56" s="196"/>
      <c r="Z56" s="196"/>
    </row>
    <row r="57" spans="1:26" ht="18" customHeight="1">
      <c r="A57" s="195" t="s">
        <v>1031</v>
      </c>
      <c r="B57" s="195" t="s">
        <v>1032</v>
      </c>
      <c r="C57" s="195" t="s">
        <v>839</v>
      </c>
      <c r="D57" s="195" t="s">
        <v>1033</v>
      </c>
      <c r="E57" s="195" t="s">
        <v>1028</v>
      </c>
      <c r="F57" s="195" t="s">
        <v>127</v>
      </c>
      <c r="G57" s="195" t="s">
        <v>99</v>
      </c>
      <c r="H57" s="195"/>
      <c r="I57" s="195" t="s">
        <v>60</v>
      </c>
      <c r="J57" s="195">
        <v>22019</v>
      </c>
      <c r="K57" s="195" t="s">
        <v>899</v>
      </c>
      <c r="L57" s="195" t="s">
        <v>1034</v>
      </c>
      <c r="M57" s="195">
        <v>30.226600000000001</v>
      </c>
      <c r="N57" s="195">
        <v>-93.217399999999998</v>
      </c>
      <c r="P57" s="196"/>
      <c r="Q57" s="196"/>
      <c r="R57" s="196"/>
      <c r="S57" s="196"/>
      <c r="T57" s="196"/>
      <c r="U57" s="196"/>
      <c r="V57" s="196"/>
      <c r="W57" s="196"/>
      <c r="X57" s="196"/>
      <c r="Y57" s="196"/>
      <c r="Z57" s="196"/>
    </row>
    <row r="58" spans="1:26" ht="18" customHeight="1">
      <c r="A58" s="195" t="s">
        <v>1035</v>
      </c>
      <c r="B58" s="195" t="s">
        <v>1036</v>
      </c>
      <c r="C58" s="195" t="s">
        <v>1037</v>
      </c>
      <c r="D58" s="195" t="s">
        <v>1038</v>
      </c>
      <c r="E58" s="195" t="s">
        <v>1028</v>
      </c>
      <c r="F58" s="195" t="s">
        <v>127</v>
      </c>
      <c r="G58" s="195" t="s">
        <v>99</v>
      </c>
      <c r="H58" s="195">
        <v>70601</v>
      </c>
      <c r="I58" s="195" t="s">
        <v>60</v>
      </c>
      <c r="J58" s="195">
        <v>22019</v>
      </c>
      <c r="K58" s="195" t="s">
        <v>1039</v>
      </c>
      <c r="L58" s="195" t="s">
        <v>1040</v>
      </c>
      <c r="M58" s="195">
        <v>30.226600000000001</v>
      </c>
      <c r="N58" s="195">
        <v>-93.217399999999998</v>
      </c>
      <c r="P58" s="196"/>
      <c r="Q58" s="196"/>
      <c r="R58" s="196"/>
      <c r="S58" s="196"/>
      <c r="T58" s="196"/>
      <c r="U58" s="196"/>
      <c r="V58" s="196"/>
      <c r="W58" s="196"/>
      <c r="X58" s="196"/>
      <c r="Y58" s="196"/>
      <c r="Z58" s="196"/>
    </row>
    <row r="59" spans="1:26" ht="18" customHeight="1">
      <c r="A59" s="195" t="s">
        <v>1041</v>
      </c>
      <c r="B59" s="195" t="s">
        <v>1042</v>
      </c>
      <c r="C59" s="195" t="s">
        <v>839</v>
      </c>
      <c r="D59" s="195" t="s">
        <v>1043</v>
      </c>
      <c r="E59" s="195" t="s">
        <v>1044</v>
      </c>
      <c r="F59" s="195" t="s">
        <v>166</v>
      </c>
      <c r="G59" s="195" t="s">
        <v>99</v>
      </c>
      <c r="H59" s="195"/>
      <c r="I59" s="195" t="s">
        <v>60</v>
      </c>
      <c r="J59" s="195">
        <v>22085</v>
      </c>
      <c r="K59" s="195" t="s">
        <v>1045</v>
      </c>
      <c r="L59" s="195" t="s">
        <v>1046</v>
      </c>
      <c r="M59" s="195">
        <v>31.567399999999999</v>
      </c>
      <c r="N59" s="195">
        <v>-93.4816</v>
      </c>
      <c r="P59" s="196"/>
      <c r="Q59" s="196"/>
      <c r="R59" s="196"/>
      <c r="S59" s="196"/>
      <c r="T59" s="196"/>
      <c r="U59" s="196"/>
      <c r="V59" s="196"/>
      <c r="W59" s="196"/>
      <c r="X59" s="196"/>
      <c r="Y59" s="196"/>
      <c r="Z59" s="196"/>
    </row>
    <row r="60" spans="1:26" ht="18" customHeight="1">
      <c r="A60" s="195" t="s">
        <v>1047</v>
      </c>
      <c r="B60" s="195" t="s">
        <v>1048</v>
      </c>
      <c r="C60" s="195" t="s">
        <v>1049</v>
      </c>
      <c r="D60" s="195" t="s">
        <v>1050</v>
      </c>
      <c r="E60" s="195" t="s">
        <v>1044</v>
      </c>
      <c r="F60" s="195" t="s">
        <v>166</v>
      </c>
      <c r="G60" s="195" t="s">
        <v>99</v>
      </c>
      <c r="H60" s="195">
        <v>71449</v>
      </c>
      <c r="I60" s="195" t="s">
        <v>60</v>
      </c>
      <c r="J60" s="195">
        <v>22085</v>
      </c>
      <c r="K60" s="195" t="s">
        <v>1051</v>
      </c>
      <c r="L60" s="195" t="s">
        <v>1052</v>
      </c>
      <c r="M60" s="195">
        <v>31.567399999999999</v>
      </c>
      <c r="N60" s="195">
        <v>-93.4816</v>
      </c>
      <c r="P60" s="196"/>
      <c r="Q60" s="196"/>
      <c r="R60" s="196"/>
      <c r="S60" s="196"/>
      <c r="T60" s="196"/>
      <c r="U60" s="196"/>
      <c r="V60" s="196"/>
      <c r="W60" s="196"/>
      <c r="X60" s="196"/>
      <c r="Y60" s="196"/>
      <c r="Z60" s="196"/>
    </row>
    <row r="61" spans="1:26" ht="18" customHeight="1">
      <c r="A61" s="195" t="s">
        <v>1053</v>
      </c>
      <c r="B61" s="195" t="s">
        <v>1054</v>
      </c>
      <c r="C61" s="195" t="s">
        <v>1055</v>
      </c>
      <c r="D61" s="195" t="s">
        <v>1043</v>
      </c>
      <c r="E61" s="195" t="s">
        <v>1044</v>
      </c>
      <c r="F61" s="195" t="s">
        <v>166</v>
      </c>
      <c r="G61" s="195" t="s">
        <v>99</v>
      </c>
      <c r="H61" s="195">
        <v>71449</v>
      </c>
      <c r="I61" s="195" t="s">
        <v>60</v>
      </c>
      <c r="J61" s="195">
        <v>22085</v>
      </c>
      <c r="K61" s="195" t="s">
        <v>899</v>
      </c>
      <c r="L61" s="195" t="s">
        <v>1056</v>
      </c>
      <c r="M61" s="195">
        <v>31.567399999999999</v>
      </c>
      <c r="N61" s="195">
        <v>-93.4816</v>
      </c>
      <c r="P61" s="196"/>
      <c r="Q61" s="196"/>
      <c r="R61" s="196"/>
      <c r="S61" s="196"/>
      <c r="T61" s="196"/>
      <c r="U61" s="196"/>
      <c r="V61" s="196"/>
      <c r="W61" s="196"/>
      <c r="X61" s="196"/>
      <c r="Y61" s="196"/>
      <c r="Z61" s="196"/>
    </row>
    <row r="62" spans="1:26" ht="18" customHeight="1">
      <c r="A62" s="195" t="s">
        <v>1057</v>
      </c>
      <c r="B62" s="195" t="s">
        <v>1058</v>
      </c>
      <c r="C62" s="195" t="s">
        <v>1059</v>
      </c>
      <c r="D62" s="195" t="s">
        <v>1060</v>
      </c>
      <c r="E62" s="195" t="s">
        <v>1061</v>
      </c>
      <c r="F62" s="195" t="s">
        <v>1062</v>
      </c>
      <c r="G62" s="195" t="s">
        <v>99</v>
      </c>
      <c r="H62" s="195">
        <v>71201</v>
      </c>
      <c r="I62" s="195" t="s">
        <v>1063</v>
      </c>
      <c r="J62" s="195">
        <v>22073</v>
      </c>
      <c r="K62" s="195" t="s">
        <v>869</v>
      </c>
      <c r="L62" s="195" t="s">
        <v>1064</v>
      </c>
      <c r="M62" s="195">
        <v>32.509300000000003</v>
      </c>
      <c r="N62" s="195">
        <v>-92.119299999999996</v>
      </c>
      <c r="P62" s="196"/>
      <c r="Q62" s="196"/>
      <c r="R62" s="196"/>
      <c r="S62" s="196"/>
      <c r="T62" s="196"/>
      <c r="U62" s="196"/>
      <c r="V62" s="196"/>
      <c r="W62" s="196"/>
      <c r="X62" s="196"/>
      <c r="Y62" s="196"/>
      <c r="Z62" s="196"/>
    </row>
    <row r="63" spans="1:26" ht="18" customHeight="1">
      <c r="A63" s="195" t="s">
        <v>1065</v>
      </c>
      <c r="B63" s="195" t="s">
        <v>1066</v>
      </c>
      <c r="C63" s="195" t="s">
        <v>1067</v>
      </c>
      <c r="D63" s="195" t="s">
        <v>1068</v>
      </c>
      <c r="E63" s="195" t="s">
        <v>1069</v>
      </c>
      <c r="F63" s="195" t="s">
        <v>1070</v>
      </c>
      <c r="G63" s="195" t="s">
        <v>99</v>
      </c>
      <c r="H63" s="195">
        <v>70112</v>
      </c>
      <c r="I63" s="195" t="s">
        <v>1071</v>
      </c>
      <c r="J63" s="195">
        <v>22071</v>
      </c>
      <c r="K63" s="195" t="s">
        <v>1072</v>
      </c>
      <c r="L63" s="195" t="s">
        <v>1073</v>
      </c>
      <c r="M63" s="195">
        <v>29.9511</v>
      </c>
      <c r="N63" s="195">
        <v>-90.0715</v>
      </c>
      <c r="P63" s="196"/>
      <c r="Q63" s="196"/>
      <c r="R63" s="196"/>
      <c r="S63" s="196"/>
      <c r="T63" s="196"/>
      <c r="U63" s="196"/>
      <c r="V63" s="196"/>
      <c r="W63" s="196"/>
      <c r="X63" s="196"/>
      <c r="Y63" s="196"/>
      <c r="Z63" s="196"/>
    </row>
    <row r="64" spans="1:26" ht="18" customHeight="1">
      <c r="A64" s="195" t="s">
        <v>1074</v>
      </c>
      <c r="B64" s="195" t="s">
        <v>1075</v>
      </c>
      <c r="C64" s="195" t="s">
        <v>1076</v>
      </c>
      <c r="D64" s="195" t="s">
        <v>1077</v>
      </c>
      <c r="E64" s="195" t="s">
        <v>1078</v>
      </c>
      <c r="F64" s="195" t="s">
        <v>122</v>
      </c>
      <c r="G64" s="195" t="s">
        <v>99</v>
      </c>
      <c r="H64" s="195">
        <v>71360</v>
      </c>
      <c r="I64" s="195" t="s">
        <v>53</v>
      </c>
      <c r="J64" s="195">
        <v>22079</v>
      </c>
      <c r="K64" s="195" t="s">
        <v>1079</v>
      </c>
      <c r="L64" s="195" t="s">
        <v>1080</v>
      </c>
      <c r="M64" s="195">
        <v>31.331</v>
      </c>
      <c r="N64" s="195">
        <v>-92.415099999999995</v>
      </c>
      <c r="P64" s="196"/>
      <c r="Q64" s="196"/>
      <c r="R64" s="196"/>
      <c r="S64" s="196"/>
      <c r="T64" s="196"/>
      <c r="U64" s="196"/>
      <c r="V64" s="196"/>
      <c r="W64" s="196"/>
      <c r="X64" s="196"/>
      <c r="Y64" s="196"/>
      <c r="Z64" s="196"/>
    </row>
    <row r="65" spans="1:26" ht="18" customHeight="1">
      <c r="A65" s="195" t="s">
        <v>1081</v>
      </c>
      <c r="B65" s="195" t="s">
        <v>1082</v>
      </c>
      <c r="C65" s="195" t="s">
        <v>1083</v>
      </c>
      <c r="D65" s="195" t="s">
        <v>1084</v>
      </c>
      <c r="E65" s="195" t="s">
        <v>1085</v>
      </c>
      <c r="F65" s="195" t="s">
        <v>1086</v>
      </c>
      <c r="G65" s="195" t="s">
        <v>99</v>
      </c>
      <c r="H65" s="195">
        <v>71270</v>
      </c>
      <c r="I65" s="195" t="s">
        <v>1063</v>
      </c>
      <c r="J65" s="195">
        <v>22061</v>
      </c>
      <c r="K65" s="195" t="s">
        <v>1087</v>
      </c>
      <c r="L65" s="195" t="s">
        <v>1088</v>
      </c>
      <c r="M65" s="195">
        <v>32.523200000000003</v>
      </c>
      <c r="N65" s="195">
        <v>-92.637900000000002</v>
      </c>
      <c r="P65" s="196"/>
      <c r="Q65" s="196"/>
      <c r="R65" s="196"/>
      <c r="S65" s="196"/>
      <c r="T65" s="196"/>
      <c r="U65" s="196"/>
      <c r="V65" s="196"/>
      <c r="W65" s="196"/>
      <c r="X65" s="196"/>
      <c r="Y65" s="196"/>
      <c r="Z65" s="196"/>
    </row>
    <row r="66" spans="1:26" ht="18" customHeight="1">
      <c r="A66" s="195" t="s">
        <v>1089</v>
      </c>
      <c r="B66" s="195" t="s">
        <v>1090</v>
      </c>
      <c r="C66" s="195" t="s">
        <v>1091</v>
      </c>
      <c r="D66" s="195" t="s">
        <v>1092</v>
      </c>
      <c r="E66" s="195" t="s">
        <v>49</v>
      </c>
      <c r="F66" s="195" t="s">
        <v>100</v>
      </c>
      <c r="G66" s="195" t="s">
        <v>99</v>
      </c>
      <c r="H66" s="195">
        <v>71101</v>
      </c>
      <c r="I66" s="195" t="s">
        <v>46</v>
      </c>
      <c r="J66" s="195">
        <v>22017</v>
      </c>
      <c r="K66" s="195" t="s">
        <v>1093</v>
      </c>
      <c r="L66" s="195" t="s">
        <v>1094</v>
      </c>
      <c r="M66" s="195">
        <v>32.511899999999997</v>
      </c>
      <c r="N66" s="195">
        <v>-93.747500000000002</v>
      </c>
      <c r="P66" s="196"/>
      <c r="Q66" s="196"/>
      <c r="R66" s="196"/>
      <c r="S66" s="196"/>
      <c r="T66" s="196"/>
      <c r="U66" s="196"/>
      <c r="V66" s="196"/>
      <c r="W66" s="196"/>
      <c r="X66" s="196"/>
      <c r="Y66" s="196"/>
      <c r="Z66" s="196"/>
    </row>
    <row r="67" spans="1:26" ht="18" customHeight="1">
      <c r="A67" s="195" t="s">
        <v>1095</v>
      </c>
      <c r="B67" s="195" t="s">
        <v>1096</v>
      </c>
      <c r="C67" s="195" t="s">
        <v>1097</v>
      </c>
      <c r="D67" s="195" t="s">
        <v>1098</v>
      </c>
      <c r="E67" s="195" t="s">
        <v>49</v>
      </c>
      <c r="F67" s="195" t="s">
        <v>100</v>
      </c>
      <c r="G67" s="195" t="s">
        <v>99</v>
      </c>
      <c r="H67" s="195">
        <v>71101</v>
      </c>
      <c r="I67" s="195" t="s">
        <v>46</v>
      </c>
      <c r="J67" s="195">
        <v>22017</v>
      </c>
      <c r="K67" s="195" t="s">
        <v>1099</v>
      </c>
      <c r="L67" s="195" t="s">
        <v>1023</v>
      </c>
      <c r="M67" s="195">
        <v>32.509700000000002</v>
      </c>
      <c r="N67" s="195">
        <v>-93.751800000000003</v>
      </c>
      <c r="P67" s="196"/>
      <c r="Q67" s="196"/>
      <c r="R67" s="196"/>
      <c r="S67" s="196"/>
      <c r="T67" s="196"/>
      <c r="U67" s="196"/>
      <c r="V67" s="196"/>
      <c r="W67" s="196"/>
      <c r="X67" s="196"/>
      <c r="Y67" s="196"/>
      <c r="Z67" s="196"/>
    </row>
    <row r="68" spans="1:26" ht="18" customHeight="1">
      <c r="A68" s="195" t="s">
        <v>1100</v>
      </c>
      <c r="B68" s="195" t="s">
        <v>1101</v>
      </c>
      <c r="C68" s="195" t="s">
        <v>1102</v>
      </c>
      <c r="D68" s="195" t="s">
        <v>1103</v>
      </c>
      <c r="E68" s="195" t="s">
        <v>49</v>
      </c>
      <c r="F68" s="195" t="s">
        <v>100</v>
      </c>
      <c r="G68" s="195" t="s">
        <v>99</v>
      </c>
      <c r="H68" s="195">
        <v>71101</v>
      </c>
      <c r="I68" s="195" t="s">
        <v>46</v>
      </c>
      <c r="J68" s="195">
        <v>22017</v>
      </c>
      <c r="K68" s="195" t="s">
        <v>976</v>
      </c>
      <c r="L68" s="195" t="s">
        <v>1023</v>
      </c>
      <c r="M68" s="195">
        <v>32.508699999999997</v>
      </c>
      <c r="N68" s="195">
        <v>-93.751000000000005</v>
      </c>
      <c r="P68" s="196"/>
      <c r="Q68" s="196"/>
      <c r="R68" s="196"/>
      <c r="S68" s="196"/>
      <c r="T68" s="196"/>
      <c r="U68" s="196"/>
      <c r="V68" s="196"/>
      <c r="W68" s="196"/>
      <c r="X68" s="196"/>
      <c r="Y68" s="196"/>
      <c r="Z68" s="196"/>
    </row>
    <row r="69" spans="1:26" ht="18" customHeight="1">
      <c r="A69" s="195" t="s">
        <v>1104</v>
      </c>
      <c r="B69" s="195" t="s">
        <v>1105</v>
      </c>
      <c r="C69" s="195" t="s">
        <v>1106</v>
      </c>
      <c r="D69" s="195" t="s">
        <v>1107</v>
      </c>
      <c r="E69" s="195" t="s">
        <v>49</v>
      </c>
      <c r="F69" s="195" t="s">
        <v>100</v>
      </c>
      <c r="G69" s="195" t="s">
        <v>99</v>
      </c>
      <c r="H69" s="195">
        <v>71103</v>
      </c>
      <c r="I69" s="195" t="s">
        <v>46</v>
      </c>
      <c r="J69" s="195">
        <v>22017</v>
      </c>
      <c r="K69" s="195" t="s">
        <v>1108</v>
      </c>
      <c r="L69" s="195" t="s">
        <v>1109</v>
      </c>
      <c r="M69" s="195">
        <v>32.492199999999997</v>
      </c>
      <c r="N69" s="195">
        <v>-93.773799999999994</v>
      </c>
      <c r="P69" s="196"/>
      <c r="Q69" s="196"/>
      <c r="R69" s="196"/>
      <c r="S69" s="196"/>
      <c r="T69" s="196"/>
      <c r="U69" s="196"/>
      <c r="V69" s="196"/>
      <c r="W69" s="196"/>
      <c r="X69" s="196"/>
      <c r="Y69" s="196"/>
      <c r="Z69" s="196"/>
    </row>
    <row r="70" spans="1:26" ht="18" customHeight="1">
      <c r="A70" s="195" t="s">
        <v>1110</v>
      </c>
      <c r="B70" s="195" t="s">
        <v>1111</v>
      </c>
      <c r="C70" s="195" t="s">
        <v>1112</v>
      </c>
      <c r="D70" s="195" t="s">
        <v>1113</v>
      </c>
      <c r="E70" s="195" t="s">
        <v>49</v>
      </c>
      <c r="F70" s="195" t="s">
        <v>100</v>
      </c>
      <c r="G70" s="195" t="s">
        <v>99</v>
      </c>
      <c r="H70" s="195">
        <v>71101</v>
      </c>
      <c r="I70" s="195" t="s">
        <v>46</v>
      </c>
      <c r="J70" s="195">
        <v>22017</v>
      </c>
      <c r="K70" s="195" t="s">
        <v>1114</v>
      </c>
      <c r="L70" s="195" t="s">
        <v>1023</v>
      </c>
      <c r="M70" s="195">
        <v>32.510300000000001</v>
      </c>
      <c r="N70" s="195">
        <v>-93.752700000000004</v>
      </c>
      <c r="P70" s="196"/>
      <c r="Q70" s="196"/>
      <c r="R70" s="196"/>
      <c r="S70" s="196"/>
      <c r="T70" s="196"/>
      <c r="U70" s="196"/>
      <c r="V70" s="196"/>
      <c r="W70" s="196"/>
      <c r="X70" s="196"/>
      <c r="Y70" s="196"/>
      <c r="Z70" s="196"/>
    </row>
    <row r="71" spans="1:26" ht="18" customHeight="1">
      <c r="A71" s="195" t="s">
        <v>1115</v>
      </c>
      <c r="B71" s="195" t="s">
        <v>1116</v>
      </c>
      <c r="C71" s="195" t="s">
        <v>1117</v>
      </c>
      <c r="D71" s="195" t="s">
        <v>1118</v>
      </c>
      <c r="E71" s="195" t="s">
        <v>49</v>
      </c>
      <c r="F71" s="195" t="s">
        <v>100</v>
      </c>
      <c r="G71" s="195" t="s">
        <v>99</v>
      </c>
      <c r="H71" s="195">
        <v>71101</v>
      </c>
      <c r="I71" s="195" t="s">
        <v>46</v>
      </c>
      <c r="J71" s="195">
        <v>22017</v>
      </c>
      <c r="K71" s="195" t="s">
        <v>1108</v>
      </c>
      <c r="L71" s="195" t="s">
        <v>1023</v>
      </c>
      <c r="M71" s="195">
        <v>32.524799999999999</v>
      </c>
      <c r="N71" s="195">
        <v>-93.750399999999999</v>
      </c>
      <c r="P71" s="196"/>
      <c r="Q71" s="196"/>
      <c r="R71" s="196"/>
      <c r="S71" s="196"/>
      <c r="T71" s="196"/>
      <c r="U71" s="196"/>
      <c r="V71" s="196"/>
      <c r="W71" s="196"/>
      <c r="X71" s="196"/>
      <c r="Y71" s="196"/>
      <c r="Z71" s="196"/>
    </row>
    <row r="72" spans="1:26" ht="18" customHeight="1">
      <c r="A72" s="195" t="s">
        <v>1119</v>
      </c>
      <c r="B72" s="195" t="s">
        <v>1120</v>
      </c>
      <c r="C72" s="195" t="s">
        <v>1121</v>
      </c>
      <c r="D72" s="195" t="s">
        <v>1122</v>
      </c>
      <c r="E72" s="195" t="s">
        <v>49</v>
      </c>
      <c r="F72" s="195" t="s">
        <v>100</v>
      </c>
      <c r="G72" s="195" t="s">
        <v>99</v>
      </c>
      <c r="H72" s="195">
        <v>71105</v>
      </c>
      <c r="I72" s="195" t="s">
        <v>46</v>
      </c>
      <c r="J72" s="195">
        <v>22017</v>
      </c>
      <c r="K72" s="195" t="s">
        <v>1123</v>
      </c>
      <c r="L72" s="195" t="s">
        <v>1023</v>
      </c>
      <c r="M72" s="195">
        <v>32.481299999999997</v>
      </c>
      <c r="N72" s="195">
        <v>-93.714699999999993</v>
      </c>
      <c r="P72" s="196"/>
      <c r="Q72" s="196"/>
      <c r="R72" s="196"/>
      <c r="S72" s="196"/>
      <c r="T72" s="196"/>
      <c r="U72" s="196"/>
      <c r="V72" s="196"/>
      <c r="W72" s="196"/>
      <c r="X72" s="196"/>
      <c r="Y72" s="196"/>
      <c r="Z72" s="196"/>
    </row>
    <row r="73" spans="1:26" ht="18" customHeight="1">
      <c r="A73" s="195" t="s">
        <v>1124</v>
      </c>
      <c r="B73" s="195" t="s">
        <v>1125</v>
      </c>
      <c r="C73" s="195" t="s">
        <v>1126</v>
      </c>
      <c r="D73" s="195" t="s">
        <v>1127</v>
      </c>
      <c r="E73" s="195" t="s">
        <v>49</v>
      </c>
      <c r="F73" s="195" t="s">
        <v>100</v>
      </c>
      <c r="G73" s="195" t="s">
        <v>99</v>
      </c>
      <c r="H73" s="195">
        <v>71101</v>
      </c>
      <c r="I73" s="195" t="s">
        <v>46</v>
      </c>
      <c r="J73" s="195">
        <v>22017</v>
      </c>
      <c r="K73" s="195" t="s">
        <v>976</v>
      </c>
      <c r="L73" s="195" t="s">
        <v>1128</v>
      </c>
      <c r="M73" s="195">
        <v>32.490200000000002</v>
      </c>
      <c r="N73" s="195">
        <v>-93.750600000000006</v>
      </c>
      <c r="P73" s="196"/>
      <c r="Q73" s="196"/>
      <c r="R73" s="196"/>
      <c r="S73" s="196"/>
      <c r="T73" s="196"/>
      <c r="U73" s="196"/>
      <c r="V73" s="196"/>
      <c r="W73" s="196"/>
      <c r="X73" s="196"/>
      <c r="Y73" s="196"/>
      <c r="Z73" s="196"/>
    </row>
    <row r="74" spans="1:26" ht="18" customHeight="1">
      <c r="A74" s="195" t="s">
        <v>1129</v>
      </c>
      <c r="B74" s="195" t="s">
        <v>1130</v>
      </c>
      <c r="C74" s="195" t="s">
        <v>1131</v>
      </c>
      <c r="D74" s="195" t="s">
        <v>1132</v>
      </c>
      <c r="E74" s="195" t="s">
        <v>49</v>
      </c>
      <c r="F74" s="195" t="s">
        <v>100</v>
      </c>
      <c r="G74" s="195" t="s">
        <v>99</v>
      </c>
      <c r="H74" s="195">
        <v>71103</v>
      </c>
      <c r="I74" s="195" t="s">
        <v>46</v>
      </c>
      <c r="J74" s="195">
        <v>22017</v>
      </c>
      <c r="K74" s="195" t="s">
        <v>1133</v>
      </c>
      <c r="L74" s="195" t="s">
        <v>1023</v>
      </c>
      <c r="M74" s="195">
        <v>32.492699999999999</v>
      </c>
      <c r="N74" s="195">
        <v>-93.773099999999999</v>
      </c>
      <c r="P74" s="196"/>
      <c r="Q74" s="196"/>
      <c r="R74" s="196"/>
      <c r="S74" s="196"/>
      <c r="T74" s="196"/>
      <c r="U74" s="196"/>
      <c r="V74" s="196"/>
      <c r="W74" s="196"/>
      <c r="X74" s="196"/>
      <c r="Y74" s="196"/>
      <c r="Z74" s="196"/>
    </row>
    <row r="75" spans="1:26" ht="18" customHeight="1">
      <c r="A75" s="195" t="s">
        <v>1134</v>
      </c>
      <c r="B75" s="195" t="s">
        <v>1135</v>
      </c>
      <c r="C75" s="195" t="s">
        <v>1136</v>
      </c>
      <c r="D75" s="195" t="s">
        <v>1137</v>
      </c>
      <c r="E75" s="195" t="s">
        <v>49</v>
      </c>
      <c r="F75" s="195" t="s">
        <v>100</v>
      </c>
      <c r="G75" s="195" t="s">
        <v>99</v>
      </c>
      <c r="H75" s="195">
        <v>71104</v>
      </c>
      <c r="I75" s="195" t="s">
        <v>46</v>
      </c>
      <c r="J75" s="195">
        <v>22017</v>
      </c>
      <c r="K75" s="195" t="s">
        <v>1114</v>
      </c>
      <c r="L75" s="195" t="s">
        <v>1023</v>
      </c>
      <c r="M75" s="195">
        <v>32.501600000000003</v>
      </c>
      <c r="N75" s="195">
        <v>-93.749799999999993</v>
      </c>
      <c r="P75" s="196"/>
      <c r="Q75" s="196"/>
      <c r="R75" s="196"/>
      <c r="S75" s="196"/>
      <c r="T75" s="196"/>
      <c r="U75" s="196"/>
      <c r="V75" s="196"/>
      <c r="W75" s="196"/>
      <c r="X75" s="196"/>
      <c r="Y75" s="196"/>
      <c r="Z75" s="196"/>
    </row>
    <row r="76" spans="1:26" ht="18" customHeight="1">
      <c r="A76" s="195" t="s">
        <v>1138</v>
      </c>
      <c r="B76" s="195" t="s">
        <v>1139</v>
      </c>
      <c r="C76" s="195" t="s">
        <v>1140</v>
      </c>
      <c r="D76" s="195" t="s">
        <v>1141</v>
      </c>
      <c r="E76" s="195" t="s">
        <v>49</v>
      </c>
      <c r="F76" s="195" t="s">
        <v>100</v>
      </c>
      <c r="G76" s="195" t="s">
        <v>99</v>
      </c>
      <c r="H76" s="195">
        <v>71108</v>
      </c>
      <c r="I76" s="195" t="s">
        <v>46</v>
      </c>
      <c r="J76" s="195">
        <v>22017</v>
      </c>
      <c r="K76" s="195" t="s">
        <v>976</v>
      </c>
      <c r="L76" s="195" t="s">
        <v>1142</v>
      </c>
      <c r="M76" s="195">
        <v>32.4255</v>
      </c>
      <c r="N76" s="195">
        <v>-93.801400000000001</v>
      </c>
      <c r="P76" s="196"/>
      <c r="Q76" s="196"/>
      <c r="R76" s="196"/>
      <c r="S76" s="196"/>
      <c r="T76" s="196"/>
      <c r="U76" s="196"/>
      <c r="V76" s="196"/>
      <c r="W76" s="196"/>
      <c r="X76" s="196"/>
      <c r="Y76" s="196"/>
      <c r="Z76" s="196"/>
    </row>
    <row r="77" spans="1:26" ht="18" customHeight="1">
      <c r="A77" s="195" t="s">
        <v>1143</v>
      </c>
      <c r="B77" s="195" t="s">
        <v>1144</v>
      </c>
      <c r="C77" s="195" t="s">
        <v>1145</v>
      </c>
      <c r="D77" s="195" t="s">
        <v>1146</v>
      </c>
      <c r="E77" s="195" t="s">
        <v>49</v>
      </c>
      <c r="F77" s="195" t="s">
        <v>100</v>
      </c>
      <c r="G77" s="195" t="s">
        <v>99</v>
      </c>
      <c r="H77" s="195">
        <v>71104</v>
      </c>
      <c r="I77" s="195" t="s">
        <v>46</v>
      </c>
      <c r="J77" s="195">
        <v>22017</v>
      </c>
      <c r="K77" s="195" t="s">
        <v>1147</v>
      </c>
      <c r="L77" s="195" t="s">
        <v>1023</v>
      </c>
      <c r="M77" s="195">
        <v>32.500799999999998</v>
      </c>
      <c r="N77" s="195">
        <v>-93.750299999999996</v>
      </c>
      <c r="P77" s="196"/>
      <c r="Q77" s="196"/>
      <c r="R77" s="196"/>
      <c r="S77" s="196"/>
      <c r="T77" s="196"/>
      <c r="U77" s="196"/>
      <c r="V77" s="196"/>
      <c r="W77" s="196"/>
      <c r="X77" s="196"/>
      <c r="Y77" s="196"/>
      <c r="Z77" s="196"/>
    </row>
    <row r="78" spans="1:26" ht="18" customHeight="1">
      <c r="A78" s="195" t="s">
        <v>1148</v>
      </c>
      <c r="B78" s="195" t="s">
        <v>1149</v>
      </c>
      <c r="C78" s="195" t="s">
        <v>1150</v>
      </c>
      <c r="D78" s="195" t="s">
        <v>1151</v>
      </c>
      <c r="E78" s="195" t="s">
        <v>49</v>
      </c>
      <c r="F78" s="195" t="s">
        <v>100</v>
      </c>
      <c r="G78" s="195" t="s">
        <v>99</v>
      </c>
      <c r="H78" s="195">
        <v>71101</v>
      </c>
      <c r="I78" s="195" t="s">
        <v>46</v>
      </c>
      <c r="J78" s="195">
        <v>22017</v>
      </c>
      <c r="K78" s="195" t="s">
        <v>797</v>
      </c>
      <c r="L78" s="195" t="s">
        <v>1023</v>
      </c>
      <c r="M78" s="195">
        <v>32.511400000000002</v>
      </c>
      <c r="N78" s="195">
        <v>-93.746200000000002</v>
      </c>
      <c r="P78" s="196"/>
      <c r="Q78" s="196"/>
      <c r="R78" s="196"/>
      <c r="S78" s="196"/>
      <c r="T78" s="196"/>
      <c r="U78" s="196"/>
      <c r="V78" s="196"/>
      <c r="W78" s="196"/>
      <c r="X78" s="196"/>
      <c r="Y78" s="196"/>
      <c r="Z78" s="196"/>
    </row>
    <row r="79" spans="1:26" ht="18" customHeight="1">
      <c r="A79" s="195" t="s">
        <v>1152</v>
      </c>
      <c r="B79" s="195" t="s">
        <v>1153</v>
      </c>
      <c r="C79" s="195" t="s">
        <v>1154</v>
      </c>
      <c r="D79" s="195" t="s">
        <v>1155</v>
      </c>
      <c r="E79" s="195" t="s">
        <v>1156</v>
      </c>
      <c r="F79" s="195" t="s">
        <v>152</v>
      </c>
      <c r="G79" s="195" t="s">
        <v>99</v>
      </c>
      <c r="H79" s="195">
        <v>70301</v>
      </c>
      <c r="I79" s="195" t="s">
        <v>60</v>
      </c>
      <c r="J79" s="195">
        <v>22057</v>
      </c>
      <c r="K79" s="195" t="s">
        <v>869</v>
      </c>
      <c r="L79" s="195" t="s">
        <v>1157</v>
      </c>
      <c r="M79" s="195">
        <v>29.7958</v>
      </c>
      <c r="N79" s="195">
        <v>-90.822900000000004</v>
      </c>
      <c r="P79" s="196"/>
      <c r="Q79" s="196"/>
      <c r="R79" s="196"/>
      <c r="S79" s="196"/>
      <c r="T79" s="196"/>
      <c r="U79" s="196"/>
      <c r="V79" s="196"/>
      <c r="W79" s="196"/>
      <c r="X79" s="196"/>
      <c r="Y79" s="196"/>
      <c r="Z79" s="196"/>
    </row>
    <row r="80" spans="1:26" ht="18" customHeight="1">
      <c r="A80" s="195" t="s">
        <v>1158</v>
      </c>
      <c r="B80" s="195" t="s">
        <v>1159</v>
      </c>
      <c r="C80" s="195" t="s">
        <v>1160</v>
      </c>
      <c r="D80" s="195" t="s">
        <v>1161</v>
      </c>
      <c r="E80" s="195" t="s">
        <v>1162</v>
      </c>
      <c r="F80" s="195" t="s">
        <v>203</v>
      </c>
      <c r="G80" s="195" t="s">
        <v>184</v>
      </c>
      <c r="H80" s="195">
        <v>39520</v>
      </c>
      <c r="I80" s="195" t="s">
        <v>81</v>
      </c>
      <c r="J80" s="195">
        <v>28045</v>
      </c>
      <c r="K80" s="195" t="s">
        <v>1163</v>
      </c>
      <c r="L80" s="195" t="s">
        <v>1164</v>
      </c>
      <c r="M80" s="195">
        <v>30.308800000000002</v>
      </c>
      <c r="N80" s="195">
        <v>-89.33</v>
      </c>
      <c r="P80" s="196"/>
      <c r="Q80" s="196"/>
      <c r="R80" s="196"/>
      <c r="S80" s="196"/>
      <c r="T80" s="196"/>
      <c r="U80" s="196"/>
      <c r="V80" s="196"/>
      <c r="W80" s="196"/>
      <c r="X80" s="196"/>
      <c r="Y80" s="196"/>
      <c r="Z80" s="196"/>
    </row>
    <row r="81" spans="1:26" ht="18" customHeight="1">
      <c r="A81" s="195" t="s">
        <v>1165</v>
      </c>
      <c r="B81" s="195" t="s">
        <v>1166</v>
      </c>
      <c r="C81" s="195" t="s">
        <v>1167</v>
      </c>
      <c r="D81" s="195" t="s">
        <v>1168</v>
      </c>
      <c r="E81" s="195" t="s">
        <v>1169</v>
      </c>
      <c r="F81" s="195" t="s">
        <v>200</v>
      </c>
      <c r="G81" s="195" t="s">
        <v>184</v>
      </c>
      <c r="H81" s="195">
        <v>39530</v>
      </c>
      <c r="I81" s="195" t="s">
        <v>81</v>
      </c>
      <c r="J81" s="195">
        <v>28047</v>
      </c>
      <c r="K81" s="195" t="s">
        <v>1170</v>
      </c>
      <c r="L81" s="195" t="s">
        <v>1171</v>
      </c>
      <c r="M81" s="195">
        <v>30.396000000000001</v>
      </c>
      <c r="N81" s="195">
        <v>-88.885300000000001</v>
      </c>
      <c r="P81" s="196"/>
      <c r="Q81" s="196"/>
      <c r="R81" s="196"/>
      <c r="S81" s="196"/>
      <c r="T81" s="196"/>
      <c r="U81" s="196"/>
      <c r="V81" s="196"/>
      <c r="W81" s="196"/>
      <c r="X81" s="196"/>
      <c r="Y81" s="196"/>
      <c r="Z81" s="196"/>
    </row>
    <row r="82" spans="1:26" ht="18" customHeight="1">
      <c r="A82" s="195" t="s">
        <v>1172</v>
      </c>
      <c r="B82" s="195" t="s">
        <v>1173</v>
      </c>
      <c r="C82" s="195" t="s">
        <v>1167</v>
      </c>
      <c r="D82" s="195" t="s">
        <v>1168</v>
      </c>
      <c r="E82" s="195" t="s">
        <v>1169</v>
      </c>
      <c r="F82" s="195" t="s">
        <v>200</v>
      </c>
      <c r="G82" s="195" t="s">
        <v>184</v>
      </c>
      <c r="H82" s="195">
        <v>39530</v>
      </c>
      <c r="I82" s="195" t="s">
        <v>81</v>
      </c>
      <c r="J82" s="195">
        <v>28047</v>
      </c>
      <c r="K82" s="195" t="s">
        <v>1174</v>
      </c>
      <c r="L82" s="195" t="s">
        <v>784</v>
      </c>
      <c r="M82" s="195">
        <v>30.396000000000001</v>
      </c>
      <c r="N82" s="195">
        <v>-88.885300000000001</v>
      </c>
      <c r="P82" s="196"/>
      <c r="Q82" s="196"/>
      <c r="R82" s="196"/>
      <c r="S82" s="196"/>
      <c r="T82" s="196"/>
      <c r="U82" s="196"/>
      <c r="V82" s="196"/>
      <c r="W82" s="196"/>
      <c r="X82" s="196"/>
      <c r="Y82" s="196"/>
      <c r="Z82" s="196"/>
    </row>
    <row r="83" spans="1:26" ht="18" customHeight="1">
      <c r="A83" s="195" t="s">
        <v>1175</v>
      </c>
      <c r="B83" s="195" t="s">
        <v>888</v>
      </c>
      <c r="C83" s="195" t="s">
        <v>1167</v>
      </c>
      <c r="D83" s="195" t="s">
        <v>1168</v>
      </c>
      <c r="E83" s="195" t="s">
        <v>1169</v>
      </c>
      <c r="F83" s="195" t="s">
        <v>200</v>
      </c>
      <c r="G83" s="195" t="s">
        <v>184</v>
      </c>
      <c r="H83" s="195">
        <v>39530</v>
      </c>
      <c r="I83" s="195" t="s">
        <v>81</v>
      </c>
      <c r="J83" s="195">
        <v>28047</v>
      </c>
      <c r="K83" s="195" t="s">
        <v>809</v>
      </c>
      <c r="L83" s="195" t="s">
        <v>784</v>
      </c>
      <c r="M83" s="195">
        <v>30.396000000000001</v>
      </c>
      <c r="N83" s="195">
        <v>-88.885300000000001</v>
      </c>
      <c r="P83" s="196"/>
      <c r="Q83" s="196"/>
      <c r="R83" s="196"/>
      <c r="S83" s="196"/>
      <c r="T83" s="196"/>
      <c r="U83" s="196"/>
      <c r="V83" s="196"/>
      <c r="W83" s="196"/>
      <c r="X83" s="196"/>
      <c r="Y83" s="196"/>
      <c r="Z83" s="196"/>
    </row>
    <row r="84" spans="1:26" ht="18" customHeight="1">
      <c r="A84" s="195" t="s">
        <v>1176</v>
      </c>
      <c r="B84" s="195" t="s">
        <v>888</v>
      </c>
      <c r="C84" s="195" t="s">
        <v>1167</v>
      </c>
      <c r="D84" s="195" t="s">
        <v>1168</v>
      </c>
      <c r="E84" s="195" t="s">
        <v>1169</v>
      </c>
      <c r="F84" s="195" t="s">
        <v>200</v>
      </c>
      <c r="G84" s="195" t="s">
        <v>184</v>
      </c>
      <c r="H84" s="195">
        <v>39530</v>
      </c>
      <c r="I84" s="195" t="s">
        <v>81</v>
      </c>
      <c r="J84" s="195">
        <v>28047</v>
      </c>
      <c r="K84" s="195" t="s">
        <v>1177</v>
      </c>
      <c r="L84" s="195" t="s">
        <v>784</v>
      </c>
      <c r="M84" s="195">
        <v>30.396000000000001</v>
      </c>
      <c r="N84" s="195">
        <v>-88.885300000000001</v>
      </c>
      <c r="P84" s="196"/>
      <c r="Q84" s="196"/>
      <c r="R84" s="196"/>
      <c r="S84" s="196"/>
      <c r="T84" s="196"/>
      <c r="U84" s="196"/>
      <c r="V84" s="196"/>
      <c r="W84" s="196"/>
      <c r="X84" s="196"/>
      <c r="Y84" s="196"/>
      <c r="Z84" s="196"/>
    </row>
    <row r="85" spans="1:26" ht="18" customHeight="1">
      <c r="A85" s="195" t="s">
        <v>1178</v>
      </c>
      <c r="B85" s="195" t="s">
        <v>888</v>
      </c>
      <c r="C85" s="195" t="s">
        <v>1179</v>
      </c>
      <c r="D85" s="195" t="s">
        <v>1180</v>
      </c>
      <c r="E85" s="195" t="s">
        <v>1181</v>
      </c>
      <c r="F85" s="195" t="s">
        <v>225</v>
      </c>
      <c r="G85" s="195" t="s">
        <v>184</v>
      </c>
      <c r="H85" s="195">
        <v>38614</v>
      </c>
      <c r="I85" s="195" t="s">
        <v>75</v>
      </c>
      <c r="J85" s="195">
        <v>28027</v>
      </c>
      <c r="K85" s="195" t="s">
        <v>1182</v>
      </c>
      <c r="L85" s="195" t="s">
        <v>1183</v>
      </c>
      <c r="M85" s="195">
        <v>34.200099999999999</v>
      </c>
      <c r="N85" s="195">
        <v>-90.570899999999995</v>
      </c>
      <c r="P85" s="196"/>
      <c r="Q85" s="196"/>
      <c r="R85" s="196"/>
      <c r="S85" s="196"/>
      <c r="T85" s="196"/>
      <c r="U85" s="196"/>
      <c r="V85" s="196"/>
      <c r="W85" s="196"/>
      <c r="X85" s="196"/>
      <c r="Y85" s="196"/>
      <c r="Z85" s="196"/>
    </row>
    <row r="86" spans="1:26" ht="18" customHeight="1">
      <c r="A86" s="195" t="s">
        <v>1184</v>
      </c>
      <c r="B86" s="195" t="s">
        <v>1185</v>
      </c>
      <c r="C86" s="195" t="s">
        <v>1186</v>
      </c>
      <c r="D86" s="195" t="s">
        <v>1187</v>
      </c>
      <c r="E86" s="195" t="s">
        <v>1181</v>
      </c>
      <c r="F86" s="195" t="s">
        <v>225</v>
      </c>
      <c r="G86" s="195" t="s">
        <v>184</v>
      </c>
      <c r="H86" s="195">
        <v>38614</v>
      </c>
      <c r="I86" s="195" t="s">
        <v>75</v>
      </c>
      <c r="J86" s="195">
        <v>28027</v>
      </c>
      <c r="K86" s="195" t="s">
        <v>1188</v>
      </c>
      <c r="L86" s="195" t="s">
        <v>1189</v>
      </c>
      <c r="M86" s="195">
        <v>34.200099999999999</v>
      </c>
      <c r="N86" s="195">
        <v>-90.570899999999995</v>
      </c>
      <c r="P86" s="196"/>
      <c r="Q86" s="196"/>
      <c r="R86" s="196"/>
      <c r="S86" s="196"/>
      <c r="T86" s="196"/>
      <c r="U86" s="196"/>
      <c r="V86" s="196"/>
      <c r="W86" s="196"/>
      <c r="X86" s="196"/>
      <c r="Y86" s="196"/>
      <c r="Z86" s="196"/>
    </row>
    <row r="87" spans="1:26" ht="18" customHeight="1">
      <c r="A87" s="195" t="s">
        <v>1190</v>
      </c>
      <c r="B87" s="195" t="s">
        <v>1191</v>
      </c>
      <c r="C87" s="195" t="s">
        <v>839</v>
      </c>
      <c r="D87" s="195" t="s">
        <v>1192</v>
      </c>
      <c r="E87" s="195" t="s">
        <v>1193</v>
      </c>
      <c r="F87" s="195" t="s">
        <v>277</v>
      </c>
      <c r="G87" s="195" t="s">
        <v>184</v>
      </c>
      <c r="H87" s="195"/>
      <c r="I87" s="195" t="s">
        <v>75</v>
      </c>
      <c r="J87" s="195">
        <v>28087</v>
      </c>
      <c r="K87" s="195" t="s">
        <v>1194</v>
      </c>
      <c r="L87" s="195" t="s">
        <v>900</v>
      </c>
      <c r="M87" s="195">
        <v>33.495699999999999</v>
      </c>
      <c r="N87" s="195">
        <v>-88.427300000000002</v>
      </c>
      <c r="P87" s="196"/>
      <c r="Q87" s="196"/>
      <c r="R87" s="196"/>
      <c r="S87" s="196"/>
      <c r="T87" s="196"/>
      <c r="U87" s="196"/>
      <c r="V87" s="196"/>
      <c r="W87" s="196"/>
      <c r="X87" s="196"/>
      <c r="Y87" s="196"/>
      <c r="Z87" s="196"/>
    </row>
    <row r="88" spans="1:26" ht="18" customHeight="1">
      <c r="A88" s="195" t="s">
        <v>1195</v>
      </c>
      <c r="B88" s="195" t="s">
        <v>1196</v>
      </c>
      <c r="C88" s="195" t="s">
        <v>1197</v>
      </c>
      <c r="D88" s="195" t="s">
        <v>1198</v>
      </c>
      <c r="E88" s="195" t="s">
        <v>1199</v>
      </c>
      <c r="F88" s="195" t="s">
        <v>200</v>
      </c>
      <c r="G88" s="195" t="s">
        <v>184</v>
      </c>
      <c r="H88" s="195">
        <v>39540</v>
      </c>
      <c r="I88" s="195" t="s">
        <v>81</v>
      </c>
      <c r="J88" s="195">
        <v>28047</v>
      </c>
      <c r="K88" s="195" t="s">
        <v>1200</v>
      </c>
      <c r="L88" s="195" t="s">
        <v>1201</v>
      </c>
      <c r="M88" s="195">
        <v>30.4344</v>
      </c>
      <c r="N88" s="195">
        <v>-88.892300000000006</v>
      </c>
      <c r="P88" s="196"/>
      <c r="Q88" s="196"/>
      <c r="R88" s="196"/>
      <c r="S88" s="196"/>
      <c r="T88" s="196"/>
      <c r="U88" s="196"/>
      <c r="V88" s="196"/>
      <c r="W88" s="196"/>
      <c r="X88" s="196"/>
      <c r="Y88" s="196"/>
      <c r="Z88" s="196"/>
    </row>
    <row r="89" spans="1:26" ht="18" customHeight="1">
      <c r="A89" s="195" t="s">
        <v>1202</v>
      </c>
      <c r="B89" s="195" t="s">
        <v>1203</v>
      </c>
      <c r="C89" s="195" t="s">
        <v>1204</v>
      </c>
      <c r="D89" s="195" t="s">
        <v>1205</v>
      </c>
      <c r="E89" s="195" t="s">
        <v>1206</v>
      </c>
      <c r="F89" s="195" t="s">
        <v>333</v>
      </c>
      <c r="G89" s="195" t="s">
        <v>184</v>
      </c>
      <c r="H89" s="195">
        <v>38701</v>
      </c>
      <c r="I89" s="195" t="s">
        <v>75</v>
      </c>
      <c r="J89" s="195">
        <v>28095</v>
      </c>
      <c r="K89" s="195" t="s">
        <v>1207</v>
      </c>
      <c r="L89" s="195" t="s">
        <v>1208</v>
      </c>
      <c r="M89" s="195">
        <v>33.4101</v>
      </c>
      <c r="N89" s="195">
        <v>-91.061800000000005</v>
      </c>
      <c r="P89" s="196"/>
      <c r="Q89" s="196"/>
      <c r="R89" s="196"/>
      <c r="S89" s="196"/>
      <c r="T89" s="196"/>
      <c r="U89" s="196"/>
      <c r="V89" s="196"/>
      <c r="W89" s="196"/>
      <c r="X89" s="196"/>
      <c r="Y89" s="196"/>
      <c r="Z89" s="196"/>
    </row>
    <row r="90" spans="1:26" ht="18" customHeight="1">
      <c r="A90" s="195" t="s">
        <v>1209</v>
      </c>
      <c r="B90" s="195" t="s">
        <v>1210</v>
      </c>
      <c r="C90" s="195" t="s">
        <v>1211</v>
      </c>
      <c r="D90" s="195" t="s">
        <v>1212</v>
      </c>
      <c r="E90" s="195" t="s">
        <v>1213</v>
      </c>
      <c r="F90" s="195" t="s">
        <v>273</v>
      </c>
      <c r="G90" s="195" t="s">
        <v>184</v>
      </c>
      <c r="H90" s="195">
        <v>38930</v>
      </c>
      <c r="I90" s="195" t="s">
        <v>75</v>
      </c>
      <c r="J90" s="195">
        <v>28083</v>
      </c>
      <c r="K90" s="195" t="s">
        <v>1214</v>
      </c>
      <c r="L90" s="195" t="s">
        <v>1215</v>
      </c>
      <c r="M90" s="195">
        <v>33.516199999999998</v>
      </c>
      <c r="N90" s="195">
        <v>-90.179500000000004</v>
      </c>
      <c r="P90" s="196"/>
      <c r="Q90" s="196"/>
      <c r="R90" s="196"/>
      <c r="S90" s="196"/>
      <c r="T90" s="196"/>
      <c r="U90" s="196"/>
      <c r="V90" s="196"/>
      <c r="W90" s="196"/>
      <c r="X90" s="196"/>
      <c r="Y90" s="196"/>
      <c r="Z90" s="196"/>
    </row>
    <row r="91" spans="1:26" ht="18" customHeight="1">
      <c r="A91" s="195" t="s">
        <v>1216</v>
      </c>
      <c r="B91" s="195" t="s">
        <v>1217</v>
      </c>
      <c r="C91" s="195" t="s">
        <v>1218</v>
      </c>
      <c r="D91" s="195" t="s">
        <v>1219</v>
      </c>
      <c r="E91" s="195" t="s">
        <v>84</v>
      </c>
      <c r="F91" s="195" t="s">
        <v>200</v>
      </c>
      <c r="G91" s="195" t="s">
        <v>184</v>
      </c>
      <c r="H91" s="195">
        <v>39507</v>
      </c>
      <c r="I91" s="195" t="s">
        <v>81</v>
      </c>
      <c r="J91" s="195">
        <v>28047</v>
      </c>
      <c r="K91" s="195" t="s">
        <v>1220</v>
      </c>
      <c r="L91" s="195" t="s">
        <v>1221</v>
      </c>
      <c r="M91" s="195">
        <v>30.3674</v>
      </c>
      <c r="N91" s="195">
        <v>-89.092799999999997</v>
      </c>
      <c r="P91" s="196"/>
      <c r="Q91" s="196"/>
      <c r="R91" s="196"/>
      <c r="S91" s="196"/>
      <c r="T91" s="196"/>
      <c r="U91" s="196"/>
      <c r="V91" s="196"/>
      <c r="W91" s="196"/>
      <c r="X91" s="196"/>
      <c r="Y91" s="196"/>
      <c r="Z91" s="196"/>
    </row>
    <row r="92" spans="1:26" ht="18" customHeight="1">
      <c r="A92" s="195" t="s">
        <v>1222</v>
      </c>
      <c r="B92" s="195" t="s">
        <v>1223</v>
      </c>
      <c r="C92" s="195" t="s">
        <v>1224</v>
      </c>
      <c r="D92" s="195" t="s">
        <v>1225</v>
      </c>
      <c r="E92" s="195" t="s">
        <v>84</v>
      </c>
      <c r="F92" s="195" t="s">
        <v>200</v>
      </c>
      <c r="G92" s="195" t="s">
        <v>184</v>
      </c>
      <c r="H92" s="195">
        <v>39501</v>
      </c>
      <c r="I92" s="195" t="s">
        <v>81</v>
      </c>
      <c r="J92" s="195">
        <v>28047</v>
      </c>
      <c r="K92" s="195" t="s">
        <v>1226</v>
      </c>
      <c r="L92" s="195" t="s">
        <v>1227</v>
      </c>
      <c r="M92" s="195">
        <v>30.3674</v>
      </c>
      <c r="N92" s="195">
        <v>-89.092799999999997</v>
      </c>
      <c r="P92" s="196"/>
      <c r="Q92" s="196"/>
      <c r="R92" s="196"/>
      <c r="S92" s="196"/>
      <c r="T92" s="196"/>
      <c r="U92" s="196"/>
      <c r="V92" s="196"/>
      <c r="W92" s="196"/>
      <c r="X92" s="196"/>
      <c r="Y92" s="196"/>
      <c r="Z92" s="196"/>
    </row>
    <row r="93" spans="1:26" ht="18" customHeight="1">
      <c r="A93" s="195" t="s">
        <v>1228</v>
      </c>
      <c r="B93" s="195" t="s">
        <v>1229</v>
      </c>
      <c r="C93" s="195" t="s">
        <v>1230</v>
      </c>
      <c r="D93" s="195" t="s">
        <v>1231</v>
      </c>
      <c r="E93" s="195" t="s">
        <v>84</v>
      </c>
      <c r="F93" s="195" t="s">
        <v>200</v>
      </c>
      <c r="G93" s="195" t="s">
        <v>184</v>
      </c>
      <c r="H93" s="195">
        <v>39501</v>
      </c>
      <c r="I93" s="195" t="s">
        <v>81</v>
      </c>
      <c r="J93" s="195">
        <v>28047</v>
      </c>
      <c r="K93" s="195" t="s">
        <v>1232</v>
      </c>
      <c r="L93" s="195" t="s">
        <v>1233</v>
      </c>
      <c r="M93" s="195">
        <v>30.3674</v>
      </c>
      <c r="N93" s="195">
        <v>-89.092799999999997</v>
      </c>
      <c r="P93" s="196"/>
      <c r="Q93" s="196"/>
      <c r="R93" s="196"/>
      <c r="S93" s="196"/>
      <c r="T93" s="196"/>
      <c r="U93" s="196"/>
      <c r="V93" s="196"/>
      <c r="W93" s="196"/>
      <c r="X93" s="196"/>
      <c r="Y93" s="196"/>
      <c r="Z93" s="196"/>
    </row>
    <row r="94" spans="1:26" ht="18" customHeight="1">
      <c r="A94" s="195" t="s">
        <v>1234</v>
      </c>
      <c r="B94" s="195" t="s">
        <v>1235</v>
      </c>
      <c r="C94" s="195" t="s">
        <v>1230</v>
      </c>
      <c r="D94" s="195" t="s">
        <v>1231</v>
      </c>
      <c r="E94" s="195" t="s">
        <v>84</v>
      </c>
      <c r="F94" s="195" t="s">
        <v>200</v>
      </c>
      <c r="G94" s="195" t="s">
        <v>184</v>
      </c>
      <c r="H94" s="195">
        <v>39501</v>
      </c>
      <c r="I94" s="195" t="s">
        <v>81</v>
      </c>
      <c r="J94" s="195">
        <v>28047</v>
      </c>
      <c r="K94" s="195" t="s">
        <v>1236</v>
      </c>
      <c r="L94" s="195" t="s">
        <v>1233</v>
      </c>
      <c r="M94" s="195">
        <v>30.3674</v>
      </c>
      <c r="N94" s="195">
        <v>-89.092799999999997</v>
      </c>
      <c r="P94" s="196"/>
      <c r="Q94" s="196"/>
      <c r="R94" s="196"/>
      <c r="S94" s="196"/>
      <c r="T94" s="196"/>
      <c r="U94" s="196"/>
      <c r="V94" s="196"/>
      <c r="W94" s="196"/>
      <c r="X94" s="196"/>
      <c r="Y94" s="196"/>
      <c r="Z94" s="196"/>
    </row>
    <row r="95" spans="1:26" ht="18" customHeight="1">
      <c r="A95" s="195" t="s">
        <v>1237</v>
      </c>
      <c r="B95" s="195" t="s">
        <v>1238</v>
      </c>
      <c r="C95" s="195" t="s">
        <v>1218</v>
      </c>
      <c r="D95" s="195" t="s">
        <v>1219</v>
      </c>
      <c r="E95" s="195" t="s">
        <v>84</v>
      </c>
      <c r="F95" s="195" t="s">
        <v>200</v>
      </c>
      <c r="G95" s="195" t="s">
        <v>184</v>
      </c>
      <c r="H95" s="195">
        <v>39507</v>
      </c>
      <c r="I95" s="195" t="s">
        <v>81</v>
      </c>
      <c r="J95" s="195">
        <v>28047</v>
      </c>
      <c r="K95" s="195" t="s">
        <v>783</v>
      </c>
      <c r="L95" s="195" t="s">
        <v>1239</v>
      </c>
      <c r="M95" s="195">
        <v>30.3674</v>
      </c>
      <c r="N95" s="195">
        <v>-89.092799999999997</v>
      </c>
      <c r="P95" s="196"/>
      <c r="Q95" s="196"/>
      <c r="R95" s="196"/>
      <c r="S95" s="196"/>
      <c r="T95" s="196"/>
      <c r="U95" s="196"/>
      <c r="V95" s="196"/>
      <c r="W95" s="196"/>
      <c r="X95" s="196"/>
      <c r="Y95" s="196"/>
      <c r="Z95" s="196"/>
    </row>
    <row r="96" spans="1:26" ht="18" customHeight="1">
      <c r="A96" s="195" t="s">
        <v>1240</v>
      </c>
      <c r="B96" s="195" t="s">
        <v>826</v>
      </c>
      <c r="C96" s="195" t="s">
        <v>1241</v>
      </c>
      <c r="D96" s="195" t="s">
        <v>1242</v>
      </c>
      <c r="E96" s="195" t="s">
        <v>84</v>
      </c>
      <c r="F96" s="195" t="s">
        <v>200</v>
      </c>
      <c r="G96" s="195" t="s">
        <v>184</v>
      </c>
      <c r="H96" s="195">
        <v>39503</v>
      </c>
      <c r="I96" s="195" t="s">
        <v>81</v>
      </c>
      <c r="J96" s="195">
        <v>28047</v>
      </c>
      <c r="K96" s="195" t="s">
        <v>829</v>
      </c>
      <c r="L96" s="195" t="s">
        <v>1243</v>
      </c>
      <c r="M96" s="195">
        <v>30.3674</v>
      </c>
      <c r="N96" s="195">
        <v>-89.092799999999997</v>
      </c>
      <c r="P96" s="196"/>
      <c r="Q96" s="196"/>
      <c r="R96" s="196"/>
      <c r="S96" s="196"/>
      <c r="T96" s="196"/>
      <c r="U96" s="196"/>
      <c r="V96" s="196"/>
      <c r="W96" s="196"/>
      <c r="X96" s="196"/>
      <c r="Y96" s="196"/>
      <c r="Z96" s="196"/>
    </row>
    <row r="97" spans="1:26" ht="18" customHeight="1">
      <c r="A97" s="195" t="s">
        <v>1244</v>
      </c>
      <c r="B97" s="195" t="s">
        <v>1245</v>
      </c>
      <c r="C97" s="195" t="s">
        <v>1246</v>
      </c>
      <c r="D97" s="195" t="s">
        <v>1247</v>
      </c>
      <c r="E97" s="195" t="s">
        <v>84</v>
      </c>
      <c r="F97" s="195" t="s">
        <v>200</v>
      </c>
      <c r="G97" s="195" t="s">
        <v>184</v>
      </c>
      <c r="H97" s="195">
        <v>39501</v>
      </c>
      <c r="I97" s="195" t="s">
        <v>81</v>
      </c>
      <c r="J97" s="195">
        <v>28047</v>
      </c>
      <c r="K97" s="195" t="s">
        <v>891</v>
      </c>
      <c r="L97" s="195" t="s">
        <v>1248</v>
      </c>
      <c r="M97" s="195">
        <v>30.3674</v>
      </c>
      <c r="N97" s="195">
        <v>-89.092799999999997</v>
      </c>
      <c r="P97" s="196"/>
      <c r="Q97" s="196"/>
      <c r="R97" s="196"/>
      <c r="S97" s="196"/>
      <c r="T97" s="196"/>
      <c r="U97" s="196"/>
      <c r="V97" s="196"/>
      <c r="W97" s="196"/>
      <c r="X97" s="196"/>
      <c r="Y97" s="196"/>
      <c r="Z97" s="196"/>
    </row>
    <row r="98" spans="1:26" ht="18" customHeight="1">
      <c r="A98" s="195" t="s">
        <v>1249</v>
      </c>
      <c r="B98" s="195" t="s">
        <v>888</v>
      </c>
      <c r="C98" s="195" t="s">
        <v>1224</v>
      </c>
      <c r="D98" s="195" t="s">
        <v>1225</v>
      </c>
      <c r="E98" s="195" t="s">
        <v>84</v>
      </c>
      <c r="F98" s="195" t="s">
        <v>200</v>
      </c>
      <c r="G98" s="195" t="s">
        <v>184</v>
      </c>
      <c r="H98" s="195">
        <v>39501</v>
      </c>
      <c r="I98" s="195" t="s">
        <v>81</v>
      </c>
      <c r="J98" s="195">
        <v>28047</v>
      </c>
      <c r="K98" s="195" t="s">
        <v>1250</v>
      </c>
      <c r="L98" s="195" t="s">
        <v>1227</v>
      </c>
      <c r="M98" s="195">
        <v>30.3674</v>
      </c>
      <c r="N98" s="195">
        <v>-89.092799999999997</v>
      </c>
      <c r="P98" s="196"/>
      <c r="Q98" s="196"/>
      <c r="R98" s="196"/>
      <c r="S98" s="196"/>
      <c r="T98" s="196"/>
      <c r="U98" s="196"/>
      <c r="V98" s="196"/>
      <c r="W98" s="196"/>
      <c r="X98" s="196"/>
      <c r="Y98" s="196"/>
      <c r="Z98" s="196"/>
    </row>
    <row r="99" spans="1:26" ht="18" customHeight="1">
      <c r="A99" s="195" t="s">
        <v>1251</v>
      </c>
      <c r="B99" s="195" t="s">
        <v>1252</v>
      </c>
      <c r="C99" s="195" t="s">
        <v>1241</v>
      </c>
      <c r="D99" s="195" t="s">
        <v>1242</v>
      </c>
      <c r="E99" s="195" t="s">
        <v>84</v>
      </c>
      <c r="F99" s="195" t="s">
        <v>200</v>
      </c>
      <c r="G99" s="195" t="s">
        <v>184</v>
      </c>
      <c r="H99" s="195">
        <v>39503</v>
      </c>
      <c r="I99" s="195" t="s">
        <v>81</v>
      </c>
      <c r="J99" s="195">
        <v>28047</v>
      </c>
      <c r="K99" s="195" t="s">
        <v>1253</v>
      </c>
      <c r="L99" s="195" t="s">
        <v>1243</v>
      </c>
      <c r="M99" s="195">
        <v>30.3674</v>
      </c>
      <c r="N99" s="195">
        <v>-89.092799999999997</v>
      </c>
      <c r="P99" s="196"/>
      <c r="Q99" s="196"/>
      <c r="R99" s="196"/>
      <c r="S99" s="196"/>
      <c r="T99" s="196"/>
      <c r="U99" s="196"/>
      <c r="V99" s="196"/>
      <c r="W99" s="196"/>
      <c r="X99" s="196"/>
      <c r="Y99" s="196"/>
      <c r="Z99" s="196"/>
    </row>
    <row r="100" spans="1:26" ht="18" customHeight="1">
      <c r="A100" s="195" t="s">
        <v>1254</v>
      </c>
      <c r="B100" s="195" t="s">
        <v>1255</v>
      </c>
      <c r="C100" s="195" t="s">
        <v>1218</v>
      </c>
      <c r="D100" s="195" t="s">
        <v>1219</v>
      </c>
      <c r="E100" s="195" t="s">
        <v>84</v>
      </c>
      <c r="F100" s="195" t="s">
        <v>200</v>
      </c>
      <c r="G100" s="195" t="s">
        <v>184</v>
      </c>
      <c r="H100" s="195">
        <v>39507</v>
      </c>
      <c r="I100" s="195" t="s">
        <v>81</v>
      </c>
      <c r="J100" s="195">
        <v>28047</v>
      </c>
      <c r="K100" s="195" t="s">
        <v>1256</v>
      </c>
      <c r="L100" s="195" t="s">
        <v>1239</v>
      </c>
      <c r="M100" s="195">
        <v>30.3674</v>
      </c>
      <c r="N100" s="195">
        <v>-89.092799999999997</v>
      </c>
      <c r="P100" s="196"/>
      <c r="Q100" s="196"/>
      <c r="R100" s="196"/>
      <c r="S100" s="196"/>
      <c r="T100" s="196"/>
      <c r="U100" s="196"/>
      <c r="V100" s="196"/>
      <c r="W100" s="196"/>
      <c r="X100" s="196"/>
      <c r="Y100" s="196"/>
      <c r="Z100" s="196"/>
    </row>
    <row r="101" spans="1:26" ht="18" customHeight="1">
      <c r="A101" s="195" t="s">
        <v>1257</v>
      </c>
      <c r="B101" s="195" t="s">
        <v>1258</v>
      </c>
      <c r="C101" s="195" t="s">
        <v>1218</v>
      </c>
      <c r="D101" s="195" t="s">
        <v>1219</v>
      </c>
      <c r="E101" s="195" t="s">
        <v>84</v>
      </c>
      <c r="F101" s="195" t="s">
        <v>200</v>
      </c>
      <c r="G101" s="195" t="s">
        <v>184</v>
      </c>
      <c r="H101" s="195">
        <v>39507</v>
      </c>
      <c r="I101" s="195" t="s">
        <v>81</v>
      </c>
      <c r="J101" s="195">
        <v>28047</v>
      </c>
      <c r="K101" s="195" t="s">
        <v>1259</v>
      </c>
      <c r="L101" s="195" t="s">
        <v>1239</v>
      </c>
      <c r="M101" s="195">
        <v>30.3674</v>
      </c>
      <c r="N101" s="195">
        <v>-89.092799999999997</v>
      </c>
      <c r="P101" s="196"/>
      <c r="Q101" s="196"/>
      <c r="R101" s="196"/>
      <c r="S101" s="196"/>
      <c r="T101" s="196"/>
      <c r="U101" s="196"/>
      <c r="V101" s="196"/>
      <c r="W101" s="196"/>
      <c r="X101" s="196"/>
      <c r="Y101" s="196"/>
      <c r="Z101" s="196"/>
    </row>
    <row r="102" spans="1:26" ht="18" customHeight="1">
      <c r="A102" s="195" t="s">
        <v>1260</v>
      </c>
      <c r="B102" s="195" t="s">
        <v>1261</v>
      </c>
      <c r="C102" s="195" t="s">
        <v>1241</v>
      </c>
      <c r="D102" s="195" t="s">
        <v>1242</v>
      </c>
      <c r="E102" s="195" t="s">
        <v>84</v>
      </c>
      <c r="F102" s="195" t="s">
        <v>200</v>
      </c>
      <c r="G102" s="195" t="s">
        <v>184</v>
      </c>
      <c r="H102" s="195">
        <v>39503</v>
      </c>
      <c r="I102" s="195" t="s">
        <v>81</v>
      </c>
      <c r="J102" s="195">
        <v>28047</v>
      </c>
      <c r="K102" s="195" t="s">
        <v>1262</v>
      </c>
      <c r="L102" s="195" t="s">
        <v>1243</v>
      </c>
      <c r="M102" s="195">
        <v>30.3674</v>
      </c>
      <c r="N102" s="195">
        <v>-89.092799999999997</v>
      </c>
      <c r="P102" s="196"/>
      <c r="Q102" s="196"/>
      <c r="R102" s="196"/>
      <c r="S102" s="196"/>
      <c r="T102" s="196"/>
      <c r="U102" s="196"/>
      <c r="V102" s="196"/>
      <c r="W102" s="196"/>
      <c r="X102" s="196"/>
      <c r="Y102" s="196"/>
      <c r="Z102" s="196"/>
    </row>
    <row r="103" spans="1:26" ht="18" customHeight="1">
      <c r="A103" s="195" t="s">
        <v>1263</v>
      </c>
      <c r="B103" s="195" t="s">
        <v>1264</v>
      </c>
      <c r="C103" s="195" t="s">
        <v>1218</v>
      </c>
      <c r="D103" s="195" t="s">
        <v>1219</v>
      </c>
      <c r="E103" s="195" t="s">
        <v>84</v>
      </c>
      <c r="F103" s="195" t="s">
        <v>200</v>
      </c>
      <c r="G103" s="195" t="s">
        <v>184</v>
      </c>
      <c r="H103" s="195">
        <v>39507</v>
      </c>
      <c r="I103" s="195" t="s">
        <v>81</v>
      </c>
      <c r="J103" s="195">
        <v>28047</v>
      </c>
      <c r="K103" s="195" t="s">
        <v>1265</v>
      </c>
      <c r="L103" s="195" t="s">
        <v>1239</v>
      </c>
      <c r="M103" s="195">
        <v>30.3674</v>
      </c>
      <c r="N103" s="195">
        <v>-89.092799999999997</v>
      </c>
      <c r="P103" s="196"/>
      <c r="Q103" s="196"/>
      <c r="R103" s="196"/>
      <c r="S103" s="196"/>
      <c r="T103" s="196"/>
      <c r="U103" s="196"/>
      <c r="V103" s="196"/>
      <c r="W103" s="196"/>
      <c r="X103" s="196"/>
      <c r="Y103" s="196"/>
      <c r="Z103" s="196"/>
    </row>
    <row r="104" spans="1:26" ht="18" customHeight="1">
      <c r="A104" s="195" t="s">
        <v>1266</v>
      </c>
      <c r="B104" s="195" t="s">
        <v>1267</v>
      </c>
      <c r="C104" s="195" t="s">
        <v>1268</v>
      </c>
      <c r="D104" s="195" t="s">
        <v>1269</v>
      </c>
      <c r="E104" s="195" t="s">
        <v>77</v>
      </c>
      <c r="F104" s="195" t="s">
        <v>230</v>
      </c>
      <c r="G104" s="195" t="s">
        <v>184</v>
      </c>
      <c r="H104" s="195">
        <v>39401</v>
      </c>
      <c r="I104" s="195" t="s">
        <v>81</v>
      </c>
      <c r="J104" s="195">
        <v>28035</v>
      </c>
      <c r="K104" s="195" t="s">
        <v>1270</v>
      </c>
      <c r="L104" s="195" t="s">
        <v>1271</v>
      </c>
      <c r="M104" s="195">
        <v>31.327100000000002</v>
      </c>
      <c r="N104" s="195">
        <v>-89.290300000000002</v>
      </c>
      <c r="P104" s="196"/>
      <c r="Q104" s="196"/>
      <c r="R104" s="196"/>
      <c r="S104" s="196"/>
      <c r="T104" s="196"/>
      <c r="U104" s="196"/>
      <c r="V104" s="196"/>
      <c r="W104" s="196"/>
      <c r="X104" s="196"/>
      <c r="Y104" s="196"/>
      <c r="Z104" s="196"/>
    </row>
    <row r="105" spans="1:26" ht="18" customHeight="1">
      <c r="A105" s="195" t="s">
        <v>1272</v>
      </c>
      <c r="B105" s="195" t="s">
        <v>1273</v>
      </c>
      <c r="C105" s="195" t="s">
        <v>1274</v>
      </c>
      <c r="D105" s="195" t="s">
        <v>1269</v>
      </c>
      <c r="E105" s="195" t="s">
        <v>77</v>
      </c>
      <c r="F105" s="195" t="s">
        <v>230</v>
      </c>
      <c r="G105" s="195" t="s">
        <v>184</v>
      </c>
      <c r="H105" s="195">
        <v>39401</v>
      </c>
      <c r="I105" s="195" t="s">
        <v>81</v>
      </c>
      <c r="J105" s="195">
        <v>28035</v>
      </c>
      <c r="K105" s="195" t="s">
        <v>1275</v>
      </c>
      <c r="L105" s="195" t="s">
        <v>1276</v>
      </c>
      <c r="M105" s="195">
        <v>31.327100000000002</v>
      </c>
      <c r="N105" s="195">
        <v>-89.290300000000002</v>
      </c>
      <c r="P105" s="196"/>
      <c r="Q105" s="196"/>
      <c r="R105" s="196"/>
      <c r="S105" s="196"/>
      <c r="T105" s="196"/>
      <c r="U105" s="196"/>
      <c r="V105" s="196"/>
      <c r="W105" s="196"/>
      <c r="X105" s="196"/>
      <c r="Y105" s="196"/>
      <c r="Z105" s="196"/>
    </row>
    <row r="106" spans="1:26" ht="18" customHeight="1">
      <c r="A106" s="195" t="s">
        <v>1277</v>
      </c>
      <c r="B106" s="195" t="s">
        <v>1278</v>
      </c>
      <c r="C106" s="195" t="s">
        <v>1279</v>
      </c>
      <c r="D106" s="195" t="s">
        <v>1280</v>
      </c>
      <c r="E106" s="195" t="s">
        <v>77</v>
      </c>
      <c r="F106" s="195" t="s">
        <v>230</v>
      </c>
      <c r="G106" s="195" t="s">
        <v>184</v>
      </c>
      <c r="H106" s="195">
        <v>39401</v>
      </c>
      <c r="I106" s="195" t="s">
        <v>81</v>
      </c>
      <c r="J106" s="195">
        <v>28035</v>
      </c>
      <c r="K106" s="195" t="s">
        <v>1281</v>
      </c>
      <c r="L106" s="195" t="s">
        <v>784</v>
      </c>
      <c r="M106" s="195">
        <v>31.327100000000002</v>
      </c>
      <c r="N106" s="195">
        <v>-89.290300000000002</v>
      </c>
      <c r="P106" s="196"/>
      <c r="Q106" s="196"/>
      <c r="R106" s="196"/>
      <c r="S106" s="196"/>
      <c r="T106" s="196"/>
      <c r="U106" s="196"/>
      <c r="V106" s="196"/>
      <c r="W106" s="196"/>
      <c r="X106" s="196"/>
      <c r="Y106" s="196"/>
      <c r="Z106" s="196"/>
    </row>
    <row r="107" spans="1:26" ht="18" customHeight="1">
      <c r="A107" s="195" t="s">
        <v>1282</v>
      </c>
      <c r="B107" s="195" t="s">
        <v>1283</v>
      </c>
      <c r="C107" s="195" t="s">
        <v>1274</v>
      </c>
      <c r="D107" s="195" t="s">
        <v>1269</v>
      </c>
      <c r="E107" s="195" t="s">
        <v>77</v>
      </c>
      <c r="F107" s="195" t="s">
        <v>230</v>
      </c>
      <c r="G107" s="195" t="s">
        <v>184</v>
      </c>
      <c r="H107" s="195">
        <v>39401</v>
      </c>
      <c r="I107" s="195" t="s">
        <v>81</v>
      </c>
      <c r="J107" s="195">
        <v>28035</v>
      </c>
      <c r="K107" s="195" t="s">
        <v>1284</v>
      </c>
      <c r="L107" s="195" t="s">
        <v>1276</v>
      </c>
      <c r="M107" s="195">
        <v>31.327100000000002</v>
      </c>
      <c r="N107" s="195">
        <v>-89.290300000000002</v>
      </c>
      <c r="P107" s="196"/>
      <c r="Q107" s="196"/>
      <c r="R107" s="196"/>
      <c r="S107" s="196"/>
      <c r="T107" s="196"/>
      <c r="U107" s="196"/>
      <c r="V107" s="196"/>
      <c r="W107" s="196"/>
      <c r="X107" s="196"/>
      <c r="Y107" s="196"/>
      <c r="Z107" s="196"/>
    </row>
    <row r="108" spans="1:26" ht="18" customHeight="1">
      <c r="A108" s="195" t="s">
        <v>1285</v>
      </c>
      <c r="B108" s="195" t="s">
        <v>1286</v>
      </c>
      <c r="C108" s="195" t="s">
        <v>1274</v>
      </c>
      <c r="D108" s="195" t="s">
        <v>1269</v>
      </c>
      <c r="E108" s="195" t="s">
        <v>77</v>
      </c>
      <c r="F108" s="195" t="s">
        <v>230</v>
      </c>
      <c r="G108" s="195" t="s">
        <v>184</v>
      </c>
      <c r="H108" s="195">
        <v>39401</v>
      </c>
      <c r="I108" s="195" t="s">
        <v>81</v>
      </c>
      <c r="J108" s="195">
        <v>28035</v>
      </c>
      <c r="K108" s="195" t="s">
        <v>1287</v>
      </c>
      <c r="L108" s="195" t="s">
        <v>1276</v>
      </c>
      <c r="M108" s="195">
        <v>31.327100000000002</v>
      </c>
      <c r="N108" s="195">
        <v>-89.290300000000002</v>
      </c>
      <c r="P108" s="196"/>
      <c r="Q108" s="196"/>
      <c r="R108" s="196"/>
      <c r="S108" s="196"/>
      <c r="T108" s="196"/>
      <c r="U108" s="196"/>
      <c r="V108" s="196"/>
      <c r="W108" s="196"/>
      <c r="X108" s="196"/>
      <c r="Y108" s="196"/>
      <c r="Z108" s="196"/>
    </row>
    <row r="109" spans="1:26" ht="18" customHeight="1">
      <c r="A109" s="195" t="s">
        <v>1288</v>
      </c>
      <c r="B109" s="195" t="s">
        <v>888</v>
      </c>
      <c r="C109" s="195" t="s">
        <v>1274</v>
      </c>
      <c r="D109" s="195" t="s">
        <v>1269</v>
      </c>
      <c r="E109" s="195" t="s">
        <v>77</v>
      </c>
      <c r="F109" s="195" t="s">
        <v>230</v>
      </c>
      <c r="G109" s="195" t="s">
        <v>184</v>
      </c>
      <c r="H109" s="195">
        <v>39401</v>
      </c>
      <c r="I109" s="195" t="s">
        <v>81</v>
      </c>
      <c r="J109" s="195">
        <v>28035</v>
      </c>
      <c r="K109" s="195" t="s">
        <v>1289</v>
      </c>
      <c r="L109" s="195" t="s">
        <v>1276</v>
      </c>
      <c r="M109" s="195">
        <v>31.327100000000002</v>
      </c>
      <c r="N109" s="195">
        <v>-89.290300000000002</v>
      </c>
      <c r="P109" s="196"/>
      <c r="Q109" s="196"/>
      <c r="R109" s="196"/>
      <c r="S109" s="196"/>
      <c r="T109" s="196"/>
      <c r="U109" s="196"/>
      <c r="V109" s="196"/>
      <c r="W109" s="196"/>
      <c r="X109" s="196"/>
      <c r="Y109" s="196"/>
      <c r="Z109" s="196"/>
    </row>
    <row r="110" spans="1:26" ht="18" customHeight="1">
      <c r="A110" s="195" t="s">
        <v>1290</v>
      </c>
      <c r="B110" s="195" t="s">
        <v>1252</v>
      </c>
      <c r="C110" s="195" t="s">
        <v>1274</v>
      </c>
      <c r="D110" s="195" t="s">
        <v>1269</v>
      </c>
      <c r="E110" s="195" t="s">
        <v>77</v>
      </c>
      <c r="F110" s="195" t="s">
        <v>230</v>
      </c>
      <c r="G110" s="195" t="s">
        <v>184</v>
      </c>
      <c r="H110" s="195">
        <v>39401</v>
      </c>
      <c r="I110" s="195" t="s">
        <v>81</v>
      </c>
      <c r="J110" s="195">
        <v>28035</v>
      </c>
      <c r="K110" s="195" t="s">
        <v>1291</v>
      </c>
      <c r="L110" s="195" t="s">
        <v>1276</v>
      </c>
      <c r="M110" s="195">
        <v>31.327100000000002</v>
      </c>
      <c r="N110" s="195">
        <v>-89.290300000000002</v>
      </c>
      <c r="P110" s="196"/>
      <c r="Q110" s="196"/>
      <c r="R110" s="196"/>
      <c r="S110" s="196"/>
      <c r="T110" s="196"/>
      <c r="U110" s="196"/>
      <c r="V110" s="196"/>
      <c r="W110" s="196"/>
      <c r="X110" s="196"/>
      <c r="Y110" s="196"/>
      <c r="Z110" s="196"/>
    </row>
    <row r="111" spans="1:26" ht="18" customHeight="1">
      <c r="A111" s="195" t="s">
        <v>1292</v>
      </c>
      <c r="B111" s="195" t="s">
        <v>1293</v>
      </c>
      <c r="C111" s="195" t="s">
        <v>839</v>
      </c>
      <c r="D111" s="195" t="s">
        <v>1294</v>
      </c>
      <c r="E111" s="195" t="s">
        <v>77</v>
      </c>
      <c r="F111" s="195" t="s">
        <v>230</v>
      </c>
      <c r="G111" s="195" t="s">
        <v>184</v>
      </c>
      <c r="H111" s="195"/>
      <c r="I111" s="195" t="s">
        <v>81</v>
      </c>
      <c r="J111" s="195">
        <v>28035</v>
      </c>
      <c r="K111" s="195" t="s">
        <v>899</v>
      </c>
      <c r="L111" s="195" t="s">
        <v>900</v>
      </c>
      <c r="M111" s="195">
        <v>31.327100000000002</v>
      </c>
      <c r="N111" s="195">
        <v>-89.290300000000002</v>
      </c>
      <c r="P111" s="196"/>
      <c r="Q111" s="196"/>
      <c r="R111" s="196"/>
      <c r="S111" s="196"/>
      <c r="T111" s="196"/>
      <c r="U111" s="196"/>
      <c r="V111" s="196"/>
      <c r="W111" s="196"/>
      <c r="X111" s="196"/>
      <c r="Y111" s="196"/>
      <c r="Z111" s="196"/>
    </row>
    <row r="112" spans="1:26" ht="18" customHeight="1">
      <c r="A112" s="195" t="s">
        <v>1295</v>
      </c>
      <c r="B112" s="195" t="s">
        <v>1296</v>
      </c>
      <c r="C112" s="195" t="s">
        <v>1297</v>
      </c>
      <c r="D112" s="195" t="s">
        <v>1298</v>
      </c>
      <c r="E112" s="195" t="s">
        <v>77</v>
      </c>
      <c r="F112" s="195" t="s">
        <v>230</v>
      </c>
      <c r="G112" s="195" t="s">
        <v>184</v>
      </c>
      <c r="H112" s="195">
        <v>39406</v>
      </c>
      <c r="I112" s="195" t="s">
        <v>81</v>
      </c>
      <c r="J112" s="195">
        <v>28035</v>
      </c>
      <c r="K112" s="195" t="s">
        <v>1299</v>
      </c>
      <c r="L112" s="195" t="s">
        <v>1300</v>
      </c>
      <c r="M112" s="195">
        <v>31.327100000000002</v>
      </c>
      <c r="N112" s="195">
        <v>-89.290300000000002</v>
      </c>
      <c r="P112" s="196"/>
      <c r="Q112" s="196"/>
      <c r="R112" s="196"/>
      <c r="S112" s="196"/>
      <c r="T112" s="196"/>
      <c r="U112" s="196"/>
      <c r="V112" s="196"/>
      <c r="W112" s="196"/>
      <c r="X112" s="196"/>
      <c r="Y112" s="196"/>
      <c r="Z112" s="196"/>
    </row>
    <row r="113" spans="1:26" ht="18" customHeight="1">
      <c r="A113" s="195" t="s">
        <v>1301</v>
      </c>
      <c r="B113" s="195" t="s">
        <v>1302</v>
      </c>
      <c r="C113" s="195" t="s">
        <v>1303</v>
      </c>
      <c r="D113" s="195" t="s">
        <v>1304</v>
      </c>
      <c r="E113" s="195" t="s">
        <v>71</v>
      </c>
      <c r="F113" s="195" t="s">
        <v>185</v>
      </c>
      <c r="G113" s="195" t="s">
        <v>184</v>
      </c>
      <c r="H113" s="195">
        <v>39203</v>
      </c>
      <c r="I113" s="195" t="s">
        <v>69</v>
      </c>
      <c r="J113" s="195">
        <v>28049</v>
      </c>
      <c r="K113" s="195" t="s">
        <v>1305</v>
      </c>
      <c r="L113" s="195" t="s">
        <v>1306</v>
      </c>
      <c r="M113" s="195">
        <v>32.2988</v>
      </c>
      <c r="N113" s="195">
        <v>-90.184799999999996</v>
      </c>
      <c r="P113" s="196"/>
      <c r="Q113" s="196"/>
      <c r="R113" s="196"/>
      <c r="S113" s="196"/>
      <c r="T113" s="196"/>
      <c r="U113" s="196"/>
      <c r="V113" s="196"/>
      <c r="W113" s="196"/>
      <c r="X113" s="196"/>
      <c r="Y113" s="196"/>
      <c r="Z113" s="196"/>
    </row>
    <row r="114" spans="1:26" ht="18" customHeight="1">
      <c r="A114" s="195" t="s">
        <v>1307</v>
      </c>
      <c r="B114" s="195" t="s">
        <v>1308</v>
      </c>
      <c r="C114" s="195" t="s">
        <v>1303</v>
      </c>
      <c r="D114" s="195" t="s">
        <v>1304</v>
      </c>
      <c r="E114" s="195" t="s">
        <v>71</v>
      </c>
      <c r="F114" s="195" t="s">
        <v>185</v>
      </c>
      <c r="G114" s="195" t="s">
        <v>184</v>
      </c>
      <c r="H114" s="195">
        <v>39203</v>
      </c>
      <c r="I114" s="195" t="s">
        <v>69</v>
      </c>
      <c r="J114" s="195">
        <v>28049</v>
      </c>
      <c r="K114" s="195" t="s">
        <v>1309</v>
      </c>
      <c r="L114" s="195" t="s">
        <v>971</v>
      </c>
      <c r="M114" s="195">
        <v>32.2988</v>
      </c>
      <c r="N114" s="195">
        <v>-90.184799999999996</v>
      </c>
      <c r="P114" s="196"/>
      <c r="Q114" s="196"/>
      <c r="R114" s="196"/>
      <c r="S114" s="196"/>
      <c r="T114" s="196"/>
      <c r="U114" s="196"/>
      <c r="V114" s="196"/>
      <c r="W114" s="196"/>
      <c r="X114" s="196"/>
      <c r="Y114" s="196"/>
      <c r="Z114" s="196"/>
    </row>
    <row r="115" spans="1:26" ht="18" customHeight="1">
      <c r="A115" s="195" t="s">
        <v>1310</v>
      </c>
      <c r="B115" s="195" t="s">
        <v>1311</v>
      </c>
      <c r="C115" s="195" t="s">
        <v>1312</v>
      </c>
      <c r="D115" s="195" t="s">
        <v>1313</v>
      </c>
      <c r="E115" s="195" t="s">
        <v>71</v>
      </c>
      <c r="F115" s="195" t="s">
        <v>185</v>
      </c>
      <c r="G115" s="195" t="s">
        <v>184</v>
      </c>
      <c r="H115" s="195">
        <v>39202</v>
      </c>
      <c r="I115" s="195" t="s">
        <v>69</v>
      </c>
      <c r="J115" s="195">
        <v>28049</v>
      </c>
      <c r="K115" s="195" t="s">
        <v>1314</v>
      </c>
      <c r="L115" s="195" t="s">
        <v>784</v>
      </c>
      <c r="M115" s="195">
        <v>32.2988</v>
      </c>
      <c r="N115" s="195">
        <v>-90.184799999999996</v>
      </c>
      <c r="P115" s="196"/>
      <c r="Q115" s="196"/>
      <c r="R115" s="196"/>
      <c r="S115" s="196"/>
      <c r="T115" s="196"/>
      <c r="U115" s="196"/>
      <c r="V115" s="196"/>
      <c r="W115" s="196"/>
      <c r="X115" s="196"/>
      <c r="Y115" s="196"/>
      <c r="Z115" s="196"/>
    </row>
    <row r="116" spans="1:26" ht="18" customHeight="1">
      <c r="A116" s="195" t="s">
        <v>1315</v>
      </c>
      <c r="B116" s="195" t="s">
        <v>1316</v>
      </c>
      <c r="C116" s="195" t="s">
        <v>1317</v>
      </c>
      <c r="D116" s="195" t="s">
        <v>1318</v>
      </c>
      <c r="E116" s="195" t="s">
        <v>71</v>
      </c>
      <c r="F116" s="195" t="s">
        <v>185</v>
      </c>
      <c r="G116" s="195" t="s">
        <v>184</v>
      </c>
      <c r="H116" s="195">
        <v>39203</v>
      </c>
      <c r="I116" s="195" t="s">
        <v>69</v>
      </c>
      <c r="J116" s="195">
        <v>28049</v>
      </c>
      <c r="K116" s="195" t="s">
        <v>1319</v>
      </c>
      <c r="L116" s="195" t="s">
        <v>1320</v>
      </c>
      <c r="M116" s="195">
        <v>32.2988</v>
      </c>
      <c r="N116" s="195">
        <v>-90.184799999999996</v>
      </c>
      <c r="P116" s="196"/>
      <c r="Q116" s="196"/>
      <c r="R116" s="196"/>
      <c r="S116" s="196"/>
      <c r="T116" s="196"/>
      <c r="U116" s="196"/>
      <c r="V116" s="196"/>
      <c r="W116" s="196"/>
      <c r="X116" s="196"/>
      <c r="Y116" s="196"/>
      <c r="Z116" s="196"/>
    </row>
    <row r="117" spans="1:26" ht="18" customHeight="1">
      <c r="A117" s="195" t="s">
        <v>1321</v>
      </c>
      <c r="B117" s="195" t="s">
        <v>1322</v>
      </c>
      <c r="C117" s="195" t="s">
        <v>1323</v>
      </c>
      <c r="D117" s="195" t="s">
        <v>1324</v>
      </c>
      <c r="E117" s="195" t="s">
        <v>71</v>
      </c>
      <c r="F117" s="195" t="s">
        <v>185</v>
      </c>
      <c r="G117" s="195" t="s">
        <v>184</v>
      </c>
      <c r="H117" s="195">
        <v>39201</v>
      </c>
      <c r="I117" s="195" t="s">
        <v>69</v>
      </c>
      <c r="J117" s="195">
        <v>28049</v>
      </c>
      <c r="K117" s="195" t="s">
        <v>1325</v>
      </c>
      <c r="L117" s="195" t="s">
        <v>1326</v>
      </c>
      <c r="M117" s="195">
        <v>32.2988</v>
      </c>
      <c r="N117" s="195">
        <v>-90.184799999999996</v>
      </c>
      <c r="P117" s="196"/>
      <c r="Q117" s="196"/>
      <c r="R117" s="196"/>
      <c r="S117" s="196"/>
      <c r="T117" s="196"/>
      <c r="U117" s="196"/>
      <c r="V117" s="196"/>
      <c r="W117" s="196"/>
      <c r="X117" s="196"/>
      <c r="Y117" s="196"/>
      <c r="Z117" s="196"/>
    </row>
    <row r="118" spans="1:26" ht="18" customHeight="1">
      <c r="A118" s="195" t="s">
        <v>1327</v>
      </c>
      <c r="B118" s="195" t="s">
        <v>1328</v>
      </c>
      <c r="C118" s="195" t="s">
        <v>1329</v>
      </c>
      <c r="D118" s="195" t="s">
        <v>1330</v>
      </c>
      <c r="E118" s="195" t="s">
        <v>71</v>
      </c>
      <c r="F118" s="195" t="s">
        <v>185</v>
      </c>
      <c r="G118" s="195" t="s">
        <v>184</v>
      </c>
      <c r="H118" s="195">
        <v>39203</v>
      </c>
      <c r="I118" s="195" t="s">
        <v>69</v>
      </c>
      <c r="J118" s="195">
        <v>28049</v>
      </c>
      <c r="K118" s="195" t="s">
        <v>1331</v>
      </c>
      <c r="L118" s="195" t="s">
        <v>1332</v>
      </c>
      <c r="M118" s="195">
        <v>32.2988</v>
      </c>
      <c r="N118" s="195">
        <v>-90.184799999999996</v>
      </c>
      <c r="P118" s="196"/>
      <c r="Q118" s="196"/>
      <c r="R118" s="196"/>
      <c r="S118" s="196"/>
      <c r="T118" s="196"/>
      <c r="U118" s="196"/>
      <c r="V118" s="196"/>
      <c r="W118" s="196"/>
      <c r="X118" s="196"/>
      <c r="Y118" s="196"/>
      <c r="Z118" s="196"/>
    </row>
    <row r="119" spans="1:26" ht="18" customHeight="1">
      <c r="A119" s="195" t="s">
        <v>1333</v>
      </c>
      <c r="B119" s="195" t="s">
        <v>1334</v>
      </c>
      <c r="C119" s="195" t="s">
        <v>1335</v>
      </c>
      <c r="D119" s="195" t="s">
        <v>1336</v>
      </c>
      <c r="E119" s="195" t="s">
        <v>71</v>
      </c>
      <c r="F119" s="195" t="s">
        <v>185</v>
      </c>
      <c r="G119" s="195" t="s">
        <v>184</v>
      </c>
      <c r="H119" s="195">
        <v>39206</v>
      </c>
      <c r="I119" s="195" t="s">
        <v>69</v>
      </c>
      <c r="J119" s="195">
        <v>28049</v>
      </c>
      <c r="K119" s="195" t="s">
        <v>1337</v>
      </c>
      <c r="L119" s="195" t="s">
        <v>1338</v>
      </c>
      <c r="M119" s="195">
        <v>32.2988</v>
      </c>
      <c r="N119" s="195">
        <v>-90.184799999999996</v>
      </c>
      <c r="P119" s="196"/>
      <c r="Q119" s="196"/>
      <c r="R119" s="196"/>
      <c r="S119" s="196"/>
      <c r="T119" s="196"/>
      <c r="U119" s="196"/>
      <c r="V119" s="196"/>
      <c r="W119" s="196"/>
      <c r="X119" s="196"/>
      <c r="Y119" s="196"/>
      <c r="Z119" s="196"/>
    </row>
    <row r="120" spans="1:26" ht="18" customHeight="1">
      <c r="A120" s="195" t="s">
        <v>1339</v>
      </c>
      <c r="B120" s="195" t="s">
        <v>1340</v>
      </c>
      <c r="C120" s="195" t="s">
        <v>1335</v>
      </c>
      <c r="D120" s="195" t="s">
        <v>1336</v>
      </c>
      <c r="E120" s="195" t="s">
        <v>71</v>
      </c>
      <c r="F120" s="195" t="s">
        <v>185</v>
      </c>
      <c r="G120" s="195" t="s">
        <v>184</v>
      </c>
      <c r="H120" s="195">
        <v>39206</v>
      </c>
      <c r="I120" s="195" t="s">
        <v>69</v>
      </c>
      <c r="J120" s="195">
        <v>28049</v>
      </c>
      <c r="K120" s="195" t="s">
        <v>1341</v>
      </c>
      <c r="L120" s="195" t="s">
        <v>1338</v>
      </c>
      <c r="M120" s="195">
        <v>32.2988</v>
      </c>
      <c r="N120" s="195">
        <v>-90.184799999999996</v>
      </c>
      <c r="P120" s="196"/>
      <c r="Q120" s="196"/>
      <c r="R120" s="196"/>
      <c r="S120" s="196"/>
      <c r="T120" s="196"/>
      <c r="U120" s="196"/>
      <c r="V120" s="196"/>
      <c r="W120" s="196"/>
      <c r="X120" s="196"/>
      <c r="Y120" s="196"/>
      <c r="Z120" s="196"/>
    </row>
    <row r="121" spans="1:26" ht="18" customHeight="1">
      <c r="A121" s="195" t="s">
        <v>1342</v>
      </c>
      <c r="B121" s="195" t="s">
        <v>911</v>
      </c>
      <c r="C121" s="195" t="s">
        <v>1303</v>
      </c>
      <c r="D121" s="195" t="s">
        <v>1304</v>
      </c>
      <c r="E121" s="195" t="s">
        <v>71</v>
      </c>
      <c r="F121" s="195" t="s">
        <v>185</v>
      </c>
      <c r="G121" s="195" t="s">
        <v>184</v>
      </c>
      <c r="H121" s="195">
        <v>39203</v>
      </c>
      <c r="I121" s="195" t="s">
        <v>69</v>
      </c>
      <c r="J121" s="195">
        <v>28049</v>
      </c>
      <c r="K121" s="195" t="s">
        <v>989</v>
      </c>
      <c r="L121" s="195" t="s">
        <v>1343</v>
      </c>
      <c r="M121" s="195">
        <v>32.2988</v>
      </c>
      <c r="N121" s="195">
        <v>-90.184799999999996</v>
      </c>
      <c r="P121" s="196"/>
      <c r="Q121" s="196"/>
      <c r="R121" s="196"/>
      <c r="S121" s="196"/>
      <c r="T121" s="196"/>
      <c r="U121" s="196"/>
      <c r="V121" s="196"/>
      <c r="W121" s="196"/>
      <c r="X121" s="196"/>
      <c r="Y121" s="196"/>
      <c r="Z121" s="196"/>
    </row>
    <row r="122" spans="1:26" ht="18" customHeight="1">
      <c r="A122" s="195" t="s">
        <v>1344</v>
      </c>
      <c r="B122" s="195" t="s">
        <v>1345</v>
      </c>
      <c r="C122" s="195" t="s">
        <v>1346</v>
      </c>
      <c r="D122" s="195" t="s">
        <v>1347</v>
      </c>
      <c r="E122" s="195" t="s">
        <v>71</v>
      </c>
      <c r="F122" s="195" t="s">
        <v>185</v>
      </c>
      <c r="G122" s="195" t="s">
        <v>184</v>
      </c>
      <c r="H122" s="195">
        <v>39201</v>
      </c>
      <c r="I122" s="195" t="s">
        <v>69</v>
      </c>
      <c r="J122" s="195">
        <v>28049</v>
      </c>
      <c r="K122" s="195" t="s">
        <v>869</v>
      </c>
      <c r="L122" s="195" t="s">
        <v>1348</v>
      </c>
      <c r="M122" s="195">
        <v>32.2988</v>
      </c>
      <c r="N122" s="195">
        <v>-90.184799999999996</v>
      </c>
      <c r="P122" s="196"/>
      <c r="Q122" s="196"/>
      <c r="R122" s="196"/>
      <c r="S122" s="196"/>
      <c r="T122" s="196"/>
      <c r="U122" s="196"/>
      <c r="V122" s="196"/>
      <c r="W122" s="196"/>
      <c r="X122" s="196"/>
      <c r="Y122" s="196"/>
      <c r="Z122" s="196"/>
    </row>
    <row r="123" spans="1:26" ht="18" customHeight="1">
      <c r="A123" s="195" t="s">
        <v>1349</v>
      </c>
      <c r="B123" s="195" t="s">
        <v>888</v>
      </c>
      <c r="C123" s="195" t="s">
        <v>1303</v>
      </c>
      <c r="D123" s="195" t="s">
        <v>1304</v>
      </c>
      <c r="E123" s="195" t="s">
        <v>71</v>
      </c>
      <c r="F123" s="195" t="s">
        <v>185</v>
      </c>
      <c r="G123" s="195" t="s">
        <v>184</v>
      </c>
      <c r="H123" s="195">
        <v>39203</v>
      </c>
      <c r="I123" s="195" t="s">
        <v>69</v>
      </c>
      <c r="J123" s="195">
        <v>28049</v>
      </c>
      <c r="K123" s="195" t="s">
        <v>1350</v>
      </c>
      <c r="L123" s="195" t="s">
        <v>971</v>
      </c>
      <c r="M123" s="195">
        <v>32.2988</v>
      </c>
      <c r="N123" s="195">
        <v>-90.184799999999996</v>
      </c>
      <c r="P123" s="196"/>
      <c r="Q123" s="196"/>
      <c r="R123" s="196"/>
      <c r="S123" s="196"/>
      <c r="T123" s="196"/>
      <c r="U123" s="196"/>
      <c r="V123" s="196"/>
      <c r="W123" s="196"/>
      <c r="X123" s="196"/>
      <c r="Y123" s="196"/>
      <c r="Z123" s="196"/>
    </row>
    <row r="124" spans="1:26" ht="18" customHeight="1">
      <c r="A124" s="195" t="s">
        <v>1351</v>
      </c>
      <c r="B124" s="195" t="s">
        <v>1352</v>
      </c>
      <c r="C124" s="195" t="s">
        <v>1303</v>
      </c>
      <c r="D124" s="195" t="s">
        <v>1304</v>
      </c>
      <c r="E124" s="195" t="s">
        <v>71</v>
      </c>
      <c r="F124" s="195" t="s">
        <v>185</v>
      </c>
      <c r="G124" s="195" t="s">
        <v>184</v>
      </c>
      <c r="H124" s="195">
        <v>39203</v>
      </c>
      <c r="I124" s="195" t="s">
        <v>69</v>
      </c>
      <c r="J124" s="195">
        <v>28049</v>
      </c>
      <c r="K124" s="195" t="s">
        <v>1353</v>
      </c>
      <c r="L124" s="195" t="s">
        <v>1354</v>
      </c>
      <c r="M124" s="195">
        <v>32.2988</v>
      </c>
      <c r="N124" s="195">
        <v>-90.184799999999996</v>
      </c>
      <c r="P124" s="196"/>
      <c r="Q124" s="196"/>
      <c r="R124" s="196"/>
      <c r="S124" s="196"/>
      <c r="T124" s="196"/>
      <c r="U124" s="196"/>
      <c r="V124" s="196"/>
      <c r="W124" s="196"/>
      <c r="X124" s="196"/>
      <c r="Y124" s="196"/>
      <c r="Z124" s="196"/>
    </row>
    <row r="125" spans="1:26" ht="18" customHeight="1">
      <c r="A125" s="195" t="s">
        <v>1355</v>
      </c>
      <c r="B125" s="195" t="s">
        <v>1356</v>
      </c>
      <c r="C125" s="195" t="s">
        <v>1303</v>
      </c>
      <c r="D125" s="195" t="s">
        <v>1304</v>
      </c>
      <c r="E125" s="195" t="s">
        <v>71</v>
      </c>
      <c r="F125" s="195" t="s">
        <v>185</v>
      </c>
      <c r="G125" s="195" t="s">
        <v>184</v>
      </c>
      <c r="H125" s="195">
        <v>39203</v>
      </c>
      <c r="I125" s="195" t="s">
        <v>69</v>
      </c>
      <c r="J125" s="195">
        <v>28049</v>
      </c>
      <c r="K125" s="195" t="s">
        <v>1357</v>
      </c>
      <c r="L125" s="195" t="s">
        <v>1354</v>
      </c>
      <c r="M125" s="195">
        <v>32.2988</v>
      </c>
      <c r="N125" s="195">
        <v>-90.184799999999996</v>
      </c>
      <c r="P125" s="196"/>
      <c r="Q125" s="196"/>
      <c r="R125" s="196"/>
      <c r="S125" s="196"/>
      <c r="T125" s="196"/>
      <c r="U125" s="196"/>
      <c r="V125" s="196"/>
      <c r="W125" s="196"/>
      <c r="X125" s="196"/>
      <c r="Y125" s="196"/>
      <c r="Z125" s="196"/>
    </row>
    <row r="126" spans="1:26" ht="18" customHeight="1">
      <c r="A126" s="195" t="s">
        <v>1358</v>
      </c>
      <c r="B126" s="195" t="s">
        <v>1359</v>
      </c>
      <c r="C126" s="195" t="s">
        <v>1303</v>
      </c>
      <c r="D126" s="195" t="s">
        <v>1304</v>
      </c>
      <c r="E126" s="195" t="s">
        <v>71</v>
      </c>
      <c r="F126" s="195" t="s">
        <v>185</v>
      </c>
      <c r="G126" s="195" t="s">
        <v>184</v>
      </c>
      <c r="H126" s="195">
        <v>39203</v>
      </c>
      <c r="I126" s="195" t="s">
        <v>69</v>
      </c>
      <c r="J126" s="195">
        <v>28049</v>
      </c>
      <c r="K126" s="195" t="s">
        <v>1360</v>
      </c>
      <c r="L126" s="195" t="s">
        <v>1361</v>
      </c>
      <c r="M126" s="195">
        <v>32.2988</v>
      </c>
      <c r="N126" s="195">
        <v>-90.184799999999996</v>
      </c>
      <c r="P126" s="196"/>
      <c r="Q126" s="196"/>
      <c r="R126" s="196"/>
      <c r="S126" s="196"/>
      <c r="T126" s="196"/>
      <c r="U126" s="196"/>
      <c r="V126" s="196"/>
      <c r="W126" s="196"/>
      <c r="X126" s="196"/>
      <c r="Y126" s="196"/>
      <c r="Z126" s="196"/>
    </row>
    <row r="127" spans="1:26" ht="18" customHeight="1">
      <c r="A127" s="195" t="s">
        <v>1362</v>
      </c>
      <c r="B127" s="195" t="s">
        <v>1363</v>
      </c>
      <c r="C127" s="195" t="s">
        <v>1303</v>
      </c>
      <c r="D127" s="195" t="s">
        <v>1304</v>
      </c>
      <c r="E127" s="195" t="s">
        <v>71</v>
      </c>
      <c r="F127" s="195" t="s">
        <v>185</v>
      </c>
      <c r="G127" s="195" t="s">
        <v>184</v>
      </c>
      <c r="H127" s="195">
        <v>39203</v>
      </c>
      <c r="I127" s="195" t="s">
        <v>69</v>
      </c>
      <c r="J127" s="195">
        <v>28049</v>
      </c>
      <c r="K127" s="195" t="s">
        <v>1364</v>
      </c>
      <c r="L127" s="195" t="s">
        <v>1361</v>
      </c>
      <c r="M127" s="195">
        <v>32.2988</v>
      </c>
      <c r="N127" s="195">
        <v>-90.184799999999996</v>
      </c>
      <c r="P127" s="196"/>
      <c r="Q127" s="196"/>
      <c r="R127" s="196"/>
      <c r="S127" s="196"/>
      <c r="T127" s="196"/>
      <c r="U127" s="196"/>
      <c r="V127" s="196"/>
      <c r="W127" s="196"/>
      <c r="X127" s="196"/>
      <c r="Y127" s="196"/>
      <c r="Z127" s="196"/>
    </row>
    <row r="128" spans="1:26" ht="18" customHeight="1">
      <c r="A128" s="195" t="s">
        <v>1365</v>
      </c>
      <c r="B128" s="195" t="s">
        <v>1366</v>
      </c>
      <c r="C128" s="195" t="s">
        <v>1303</v>
      </c>
      <c r="D128" s="195" t="s">
        <v>1304</v>
      </c>
      <c r="E128" s="195" t="s">
        <v>71</v>
      </c>
      <c r="F128" s="195" t="s">
        <v>185</v>
      </c>
      <c r="G128" s="195" t="s">
        <v>184</v>
      </c>
      <c r="H128" s="195">
        <v>39203</v>
      </c>
      <c r="I128" s="195" t="s">
        <v>69</v>
      </c>
      <c r="J128" s="195">
        <v>28049</v>
      </c>
      <c r="K128" s="195" t="s">
        <v>1367</v>
      </c>
      <c r="L128" s="195" t="s">
        <v>1361</v>
      </c>
      <c r="M128" s="195">
        <v>32.2988</v>
      </c>
      <c r="N128" s="195">
        <v>-90.184799999999996</v>
      </c>
      <c r="P128" s="196"/>
      <c r="Q128" s="196"/>
      <c r="R128" s="196"/>
      <c r="S128" s="196"/>
      <c r="T128" s="196"/>
      <c r="U128" s="196"/>
      <c r="V128" s="196"/>
      <c r="W128" s="196"/>
      <c r="X128" s="196"/>
      <c r="Y128" s="196"/>
      <c r="Z128" s="196"/>
    </row>
    <row r="129" spans="1:26" ht="18" customHeight="1">
      <c r="A129" s="195" t="s">
        <v>1368</v>
      </c>
      <c r="B129" s="195" t="s">
        <v>888</v>
      </c>
      <c r="C129" s="195" t="s">
        <v>1317</v>
      </c>
      <c r="D129" s="195" t="s">
        <v>1318</v>
      </c>
      <c r="E129" s="195" t="s">
        <v>71</v>
      </c>
      <c r="F129" s="195" t="s">
        <v>185</v>
      </c>
      <c r="G129" s="195" t="s">
        <v>184</v>
      </c>
      <c r="H129" s="195">
        <v>39203</v>
      </c>
      <c r="I129" s="195" t="s">
        <v>69</v>
      </c>
      <c r="J129" s="195">
        <v>28049</v>
      </c>
      <c r="K129" s="195" t="s">
        <v>1369</v>
      </c>
      <c r="L129" s="195" t="s">
        <v>1370</v>
      </c>
      <c r="M129" s="195">
        <v>32.2988</v>
      </c>
      <c r="N129" s="195">
        <v>-90.184799999999996</v>
      </c>
      <c r="P129" s="196"/>
      <c r="Q129" s="196"/>
      <c r="R129" s="196"/>
      <c r="S129" s="196"/>
      <c r="T129" s="196"/>
      <c r="U129" s="196"/>
      <c r="V129" s="196"/>
      <c r="W129" s="196"/>
      <c r="X129" s="196"/>
      <c r="Y129" s="196"/>
      <c r="Z129" s="196"/>
    </row>
    <row r="130" spans="1:26" ht="18" customHeight="1">
      <c r="A130" s="195" t="s">
        <v>1371</v>
      </c>
      <c r="B130" s="195" t="s">
        <v>1372</v>
      </c>
      <c r="C130" s="195" t="s">
        <v>1373</v>
      </c>
      <c r="D130" s="195" t="s">
        <v>1374</v>
      </c>
      <c r="E130" s="195" t="s">
        <v>71</v>
      </c>
      <c r="F130" s="195" t="s">
        <v>185</v>
      </c>
      <c r="G130" s="195" t="s">
        <v>184</v>
      </c>
      <c r="H130" s="195">
        <v>39202</v>
      </c>
      <c r="I130" s="195" t="s">
        <v>69</v>
      </c>
      <c r="J130" s="195">
        <v>28049</v>
      </c>
      <c r="K130" s="195" t="s">
        <v>1072</v>
      </c>
      <c r="L130" s="195" t="s">
        <v>1375</v>
      </c>
      <c r="M130" s="195">
        <v>32.2988</v>
      </c>
      <c r="N130" s="195">
        <v>-90.184799999999996</v>
      </c>
      <c r="P130" s="196"/>
      <c r="Q130" s="196"/>
      <c r="R130" s="196"/>
      <c r="S130" s="196"/>
      <c r="T130" s="196"/>
      <c r="U130" s="196"/>
      <c r="V130" s="196"/>
      <c r="W130" s="196"/>
      <c r="X130" s="196"/>
      <c r="Y130" s="196"/>
      <c r="Z130" s="196"/>
    </row>
    <row r="131" spans="1:26" ht="18" customHeight="1">
      <c r="A131" s="195" t="s">
        <v>1376</v>
      </c>
      <c r="B131" s="195" t="s">
        <v>1377</v>
      </c>
      <c r="C131" s="195" t="s">
        <v>1312</v>
      </c>
      <c r="D131" s="195" t="s">
        <v>1313</v>
      </c>
      <c r="E131" s="195" t="s">
        <v>71</v>
      </c>
      <c r="F131" s="195" t="s">
        <v>185</v>
      </c>
      <c r="G131" s="195" t="s">
        <v>184</v>
      </c>
      <c r="H131" s="195">
        <v>39202</v>
      </c>
      <c r="I131" s="195" t="s">
        <v>69</v>
      </c>
      <c r="J131" s="195">
        <v>28049</v>
      </c>
      <c r="K131" s="195" t="s">
        <v>1378</v>
      </c>
      <c r="L131" s="195" t="s">
        <v>784</v>
      </c>
      <c r="M131" s="195">
        <v>32.2988</v>
      </c>
      <c r="N131" s="195">
        <v>-90.184799999999996</v>
      </c>
      <c r="P131" s="196"/>
      <c r="Q131" s="196"/>
      <c r="R131" s="196"/>
      <c r="S131" s="196"/>
      <c r="T131" s="196"/>
      <c r="U131" s="196"/>
      <c r="V131" s="196"/>
      <c r="W131" s="196"/>
      <c r="X131" s="196"/>
      <c r="Y131" s="196"/>
      <c r="Z131" s="196"/>
    </row>
    <row r="132" spans="1:26" ht="18" customHeight="1">
      <c r="A132" s="195" t="s">
        <v>1379</v>
      </c>
      <c r="B132" s="195" t="s">
        <v>1380</v>
      </c>
      <c r="C132" s="195" t="s">
        <v>1381</v>
      </c>
      <c r="D132" s="195" t="s">
        <v>1382</v>
      </c>
      <c r="E132" s="195" t="s">
        <v>71</v>
      </c>
      <c r="F132" s="195" t="s">
        <v>185</v>
      </c>
      <c r="G132" s="195" t="s">
        <v>184</v>
      </c>
      <c r="H132" s="195">
        <v>39204</v>
      </c>
      <c r="I132" s="195" t="s">
        <v>69</v>
      </c>
      <c r="J132" s="195">
        <v>28049</v>
      </c>
      <c r="K132" s="195" t="s">
        <v>1383</v>
      </c>
      <c r="L132" s="195" t="s">
        <v>1384</v>
      </c>
      <c r="M132" s="195">
        <v>32.2988</v>
      </c>
      <c r="N132" s="195">
        <v>-90.184799999999996</v>
      </c>
      <c r="P132" s="196"/>
      <c r="Q132" s="196"/>
      <c r="R132" s="196"/>
      <c r="S132" s="196"/>
      <c r="T132" s="196"/>
      <c r="U132" s="196"/>
      <c r="V132" s="196"/>
      <c r="W132" s="196"/>
      <c r="X132" s="196"/>
      <c r="Y132" s="196"/>
      <c r="Z132" s="196"/>
    </row>
    <row r="133" spans="1:26" ht="18" customHeight="1">
      <c r="A133" s="195" t="s">
        <v>1385</v>
      </c>
      <c r="B133" s="195" t="s">
        <v>1386</v>
      </c>
      <c r="C133" s="195" t="s">
        <v>1387</v>
      </c>
      <c r="D133" s="195" t="s">
        <v>1347</v>
      </c>
      <c r="E133" s="195" t="s">
        <v>71</v>
      </c>
      <c r="F133" s="195" t="s">
        <v>185</v>
      </c>
      <c r="G133" s="195" t="s">
        <v>184</v>
      </c>
      <c r="H133" s="195">
        <v>39201</v>
      </c>
      <c r="I133" s="195" t="s">
        <v>69</v>
      </c>
      <c r="J133" s="195">
        <v>28049</v>
      </c>
      <c r="K133" s="195" t="s">
        <v>1270</v>
      </c>
      <c r="L133" s="195" t="s">
        <v>1388</v>
      </c>
      <c r="M133" s="195">
        <v>32.2988</v>
      </c>
      <c r="N133" s="195">
        <v>-90.184799999999996</v>
      </c>
      <c r="P133" s="196"/>
      <c r="Q133" s="196"/>
      <c r="R133" s="196"/>
      <c r="S133" s="196"/>
      <c r="T133" s="196"/>
      <c r="U133" s="196"/>
      <c r="V133" s="196"/>
      <c r="W133" s="196"/>
      <c r="X133" s="196"/>
      <c r="Y133" s="196"/>
      <c r="Z133" s="196"/>
    </row>
    <row r="134" spans="1:26" ht="18" customHeight="1">
      <c r="A134" s="195" t="s">
        <v>1389</v>
      </c>
      <c r="B134" s="195" t="s">
        <v>1390</v>
      </c>
      <c r="C134" s="195" t="s">
        <v>1391</v>
      </c>
      <c r="D134" s="195" t="s">
        <v>1392</v>
      </c>
      <c r="E134" s="195" t="s">
        <v>71</v>
      </c>
      <c r="F134" s="195" t="s">
        <v>185</v>
      </c>
      <c r="G134" s="195" t="s">
        <v>184</v>
      </c>
      <c r="H134" s="195">
        <v>39216</v>
      </c>
      <c r="I134" s="195" t="s">
        <v>69</v>
      </c>
      <c r="J134" s="195">
        <v>28049</v>
      </c>
      <c r="K134" s="195" t="s">
        <v>869</v>
      </c>
      <c r="L134" s="195" t="s">
        <v>1393</v>
      </c>
      <c r="M134" s="195">
        <v>32.2988</v>
      </c>
      <c r="N134" s="195">
        <v>-90.184799999999996</v>
      </c>
      <c r="P134" s="196"/>
      <c r="Q134" s="196"/>
      <c r="R134" s="196"/>
      <c r="S134" s="196"/>
      <c r="T134" s="196"/>
      <c r="U134" s="196"/>
      <c r="V134" s="196"/>
      <c r="W134" s="196"/>
      <c r="X134" s="196"/>
      <c r="Y134" s="196"/>
      <c r="Z134" s="196"/>
    </row>
    <row r="135" spans="1:26" ht="18" customHeight="1">
      <c r="A135" s="195" t="s">
        <v>1394</v>
      </c>
      <c r="B135" s="195" t="s">
        <v>1395</v>
      </c>
      <c r="C135" s="195" t="s">
        <v>1317</v>
      </c>
      <c r="D135" s="195" t="s">
        <v>1318</v>
      </c>
      <c r="E135" s="195" t="s">
        <v>71</v>
      </c>
      <c r="F135" s="195" t="s">
        <v>185</v>
      </c>
      <c r="G135" s="195" t="s">
        <v>184</v>
      </c>
      <c r="H135" s="195">
        <v>39203</v>
      </c>
      <c r="I135" s="195" t="s">
        <v>69</v>
      </c>
      <c r="J135" s="195">
        <v>28049</v>
      </c>
      <c r="K135" s="195" t="s">
        <v>1396</v>
      </c>
      <c r="L135" s="195" t="s">
        <v>1397</v>
      </c>
      <c r="M135" s="195">
        <v>32.2988</v>
      </c>
      <c r="N135" s="195">
        <v>-90.184799999999996</v>
      </c>
      <c r="P135" s="196"/>
      <c r="Q135" s="196"/>
      <c r="R135" s="196"/>
      <c r="S135" s="196"/>
      <c r="T135" s="196"/>
      <c r="U135" s="196"/>
      <c r="V135" s="196"/>
      <c r="W135" s="196"/>
      <c r="X135" s="196"/>
      <c r="Y135" s="196"/>
      <c r="Z135" s="196"/>
    </row>
    <row r="136" spans="1:26" ht="18" customHeight="1">
      <c r="A136" s="195" t="s">
        <v>1398</v>
      </c>
      <c r="B136" s="195" t="s">
        <v>1399</v>
      </c>
      <c r="C136" s="195" t="s">
        <v>1303</v>
      </c>
      <c r="D136" s="195" t="s">
        <v>1304</v>
      </c>
      <c r="E136" s="195" t="s">
        <v>71</v>
      </c>
      <c r="F136" s="195" t="s">
        <v>185</v>
      </c>
      <c r="G136" s="195" t="s">
        <v>184</v>
      </c>
      <c r="H136" s="195">
        <v>39203</v>
      </c>
      <c r="I136" s="195" t="s">
        <v>69</v>
      </c>
      <c r="J136" s="195">
        <v>28049</v>
      </c>
      <c r="K136" s="195" t="s">
        <v>1400</v>
      </c>
      <c r="L136" s="195" t="s">
        <v>1401</v>
      </c>
      <c r="M136" s="195">
        <v>32.2988</v>
      </c>
      <c r="N136" s="195">
        <v>-90.184799999999996</v>
      </c>
      <c r="P136" s="196"/>
      <c r="Q136" s="196"/>
      <c r="R136" s="196"/>
      <c r="S136" s="196"/>
      <c r="T136" s="196"/>
      <c r="U136" s="196"/>
      <c r="V136" s="196"/>
      <c r="W136" s="196"/>
      <c r="X136" s="196"/>
      <c r="Y136" s="196"/>
      <c r="Z136" s="196"/>
    </row>
    <row r="137" spans="1:26" ht="18" customHeight="1">
      <c r="A137" s="195" t="s">
        <v>1402</v>
      </c>
      <c r="B137" s="195" t="s">
        <v>1403</v>
      </c>
      <c r="C137" s="195" t="s">
        <v>1329</v>
      </c>
      <c r="D137" s="195" t="s">
        <v>1330</v>
      </c>
      <c r="E137" s="195" t="s">
        <v>71</v>
      </c>
      <c r="F137" s="195" t="s">
        <v>185</v>
      </c>
      <c r="G137" s="195" t="s">
        <v>184</v>
      </c>
      <c r="H137" s="195">
        <v>39203</v>
      </c>
      <c r="I137" s="195" t="s">
        <v>69</v>
      </c>
      <c r="J137" s="195">
        <v>28049</v>
      </c>
      <c r="K137" s="195" t="s">
        <v>1404</v>
      </c>
      <c r="L137" s="195" t="s">
        <v>1405</v>
      </c>
      <c r="M137" s="195">
        <v>32.2988</v>
      </c>
      <c r="N137" s="195">
        <v>-90.184799999999996</v>
      </c>
      <c r="P137" s="196"/>
      <c r="Q137" s="196"/>
      <c r="R137" s="196"/>
      <c r="S137" s="196"/>
      <c r="T137" s="196"/>
      <c r="U137" s="196"/>
      <c r="V137" s="196"/>
      <c r="W137" s="196"/>
      <c r="X137" s="196"/>
      <c r="Y137" s="196"/>
      <c r="Z137" s="196"/>
    </row>
    <row r="138" spans="1:26" ht="18" customHeight="1">
      <c r="A138" s="195" t="s">
        <v>1406</v>
      </c>
      <c r="B138" s="195" t="s">
        <v>1407</v>
      </c>
      <c r="C138" s="195" t="s">
        <v>1408</v>
      </c>
      <c r="D138" s="195" t="s">
        <v>1409</v>
      </c>
      <c r="E138" s="195" t="s">
        <v>71</v>
      </c>
      <c r="F138" s="195" t="s">
        <v>185</v>
      </c>
      <c r="G138" s="195" t="s">
        <v>184</v>
      </c>
      <c r="H138" s="195">
        <v>39202</v>
      </c>
      <c r="I138" s="195" t="s">
        <v>69</v>
      </c>
      <c r="J138" s="195">
        <v>28049</v>
      </c>
      <c r="K138" s="195" t="s">
        <v>1410</v>
      </c>
      <c r="L138" s="195" t="s">
        <v>1411</v>
      </c>
      <c r="M138" s="195">
        <v>32.2988</v>
      </c>
      <c r="N138" s="195">
        <v>-90.184799999999996</v>
      </c>
      <c r="P138" s="196"/>
      <c r="Q138" s="196"/>
      <c r="R138" s="196"/>
      <c r="S138" s="196"/>
      <c r="T138" s="196"/>
      <c r="U138" s="196"/>
      <c r="V138" s="196"/>
      <c r="W138" s="196"/>
      <c r="X138" s="196"/>
      <c r="Y138" s="196"/>
      <c r="Z138" s="196"/>
    </row>
    <row r="139" spans="1:26" ht="18" customHeight="1">
      <c r="A139" s="195" t="s">
        <v>1412</v>
      </c>
      <c r="B139" s="195" t="s">
        <v>1413</v>
      </c>
      <c r="C139" s="195" t="s">
        <v>1414</v>
      </c>
      <c r="D139" s="195" t="s">
        <v>1415</v>
      </c>
      <c r="E139" s="195" t="s">
        <v>71</v>
      </c>
      <c r="F139" s="195" t="s">
        <v>185</v>
      </c>
      <c r="G139" s="195" t="s">
        <v>184</v>
      </c>
      <c r="H139" s="195">
        <v>39201</v>
      </c>
      <c r="I139" s="195" t="s">
        <v>69</v>
      </c>
      <c r="J139" s="195">
        <v>28049</v>
      </c>
      <c r="K139" s="195" t="s">
        <v>1416</v>
      </c>
      <c r="L139" s="195" t="s">
        <v>1417</v>
      </c>
      <c r="M139" s="195">
        <v>32.2988</v>
      </c>
      <c r="N139" s="195">
        <v>-90.184799999999996</v>
      </c>
      <c r="P139" s="196"/>
      <c r="Q139" s="196"/>
      <c r="R139" s="196"/>
      <c r="S139" s="196"/>
      <c r="T139" s="196"/>
      <c r="U139" s="196"/>
      <c r="V139" s="196"/>
      <c r="W139" s="196"/>
      <c r="X139" s="196"/>
      <c r="Y139" s="196"/>
      <c r="Z139" s="196"/>
    </row>
    <row r="140" spans="1:26" ht="18" customHeight="1">
      <c r="A140" s="195" t="s">
        <v>1418</v>
      </c>
      <c r="B140" s="195" t="s">
        <v>1419</v>
      </c>
      <c r="C140" s="195" t="s">
        <v>1335</v>
      </c>
      <c r="D140" s="195" t="s">
        <v>1336</v>
      </c>
      <c r="E140" s="195" t="s">
        <v>71</v>
      </c>
      <c r="F140" s="195" t="s">
        <v>185</v>
      </c>
      <c r="G140" s="195" t="s">
        <v>184</v>
      </c>
      <c r="H140" s="195">
        <v>39206</v>
      </c>
      <c r="I140" s="195" t="s">
        <v>69</v>
      </c>
      <c r="J140" s="195">
        <v>28049</v>
      </c>
      <c r="K140" s="195" t="s">
        <v>1420</v>
      </c>
      <c r="L140" s="195" t="s">
        <v>1421</v>
      </c>
      <c r="M140" s="195">
        <v>32.2988</v>
      </c>
      <c r="N140" s="195">
        <v>-90.184799999999996</v>
      </c>
      <c r="P140" s="196"/>
      <c r="Q140" s="196"/>
      <c r="R140" s="196"/>
      <c r="S140" s="196"/>
      <c r="T140" s="196"/>
      <c r="U140" s="196"/>
      <c r="V140" s="196"/>
      <c r="W140" s="196"/>
      <c r="X140" s="196"/>
      <c r="Y140" s="196"/>
      <c r="Z140" s="196"/>
    </row>
    <row r="141" spans="1:26" ht="18" customHeight="1">
      <c r="A141" s="195" t="s">
        <v>1422</v>
      </c>
      <c r="B141" s="195" t="s">
        <v>1423</v>
      </c>
      <c r="C141" s="195" t="s">
        <v>1317</v>
      </c>
      <c r="D141" s="195" t="s">
        <v>1318</v>
      </c>
      <c r="E141" s="195" t="s">
        <v>71</v>
      </c>
      <c r="F141" s="195" t="s">
        <v>185</v>
      </c>
      <c r="G141" s="195" t="s">
        <v>184</v>
      </c>
      <c r="H141" s="195">
        <v>39203</v>
      </c>
      <c r="I141" s="195" t="s">
        <v>69</v>
      </c>
      <c r="J141" s="195">
        <v>28049</v>
      </c>
      <c r="K141" s="195" t="s">
        <v>895</v>
      </c>
      <c r="L141" s="195" t="s">
        <v>1370</v>
      </c>
      <c r="M141" s="195">
        <v>32.2988</v>
      </c>
      <c r="N141" s="195">
        <v>-90.184799999999996</v>
      </c>
      <c r="P141" s="196"/>
      <c r="Q141" s="196"/>
      <c r="R141" s="196"/>
      <c r="S141" s="196"/>
      <c r="T141" s="196"/>
      <c r="U141" s="196"/>
      <c r="V141" s="196"/>
      <c r="W141" s="196"/>
      <c r="X141" s="196"/>
      <c r="Y141" s="196"/>
      <c r="Z141" s="196"/>
    </row>
    <row r="142" spans="1:26" ht="18" customHeight="1">
      <c r="A142" s="195" t="s">
        <v>1424</v>
      </c>
      <c r="B142" s="195" t="s">
        <v>1425</v>
      </c>
      <c r="C142" s="195" t="s">
        <v>839</v>
      </c>
      <c r="D142" s="195" t="s">
        <v>1426</v>
      </c>
      <c r="E142" s="195" t="s">
        <v>1427</v>
      </c>
      <c r="F142" s="195" t="s">
        <v>301</v>
      </c>
      <c r="G142" s="195" t="s">
        <v>184</v>
      </c>
      <c r="H142" s="195"/>
      <c r="I142" s="195" t="s">
        <v>75</v>
      </c>
      <c r="J142" s="195">
        <v>28013</v>
      </c>
      <c r="K142" s="195" t="s">
        <v>1017</v>
      </c>
      <c r="L142" s="195" t="s">
        <v>900</v>
      </c>
      <c r="M142" s="195">
        <v>31.2438</v>
      </c>
      <c r="N142" s="195">
        <v>-90.453199999999995</v>
      </c>
      <c r="P142" s="196"/>
      <c r="Q142" s="196"/>
      <c r="R142" s="196"/>
      <c r="S142" s="196"/>
      <c r="T142" s="196"/>
      <c r="U142" s="196"/>
      <c r="V142" s="196"/>
      <c r="W142" s="196"/>
      <c r="X142" s="196"/>
      <c r="Y142" s="196"/>
      <c r="Z142" s="196"/>
    </row>
    <row r="143" spans="1:26" ht="18" customHeight="1">
      <c r="A143" s="195" t="s">
        <v>1428</v>
      </c>
      <c r="B143" s="195" t="s">
        <v>1429</v>
      </c>
      <c r="C143" s="195" t="s">
        <v>1430</v>
      </c>
      <c r="D143" s="195" t="s">
        <v>1431</v>
      </c>
      <c r="E143" s="195" t="s">
        <v>1432</v>
      </c>
      <c r="F143" s="195" t="s">
        <v>265</v>
      </c>
      <c r="G143" s="195" t="s">
        <v>184</v>
      </c>
      <c r="H143" s="195">
        <v>39301</v>
      </c>
      <c r="I143" s="195" t="s">
        <v>75</v>
      </c>
      <c r="J143" s="195">
        <v>28075</v>
      </c>
      <c r="K143" s="195" t="s">
        <v>1433</v>
      </c>
      <c r="L143" s="195" t="s">
        <v>1434</v>
      </c>
      <c r="M143" s="195">
        <v>32.3643</v>
      </c>
      <c r="N143" s="195">
        <v>-88.703699999999998</v>
      </c>
      <c r="P143" s="196"/>
      <c r="Q143" s="196"/>
      <c r="R143" s="196"/>
      <c r="S143" s="196"/>
      <c r="T143" s="196"/>
      <c r="U143" s="196"/>
      <c r="V143" s="196"/>
      <c r="W143" s="196"/>
      <c r="X143" s="196"/>
      <c r="Y143" s="196"/>
      <c r="Z143" s="196"/>
    </row>
    <row r="144" spans="1:26" ht="18" customHeight="1">
      <c r="A144" s="195" t="s">
        <v>1435</v>
      </c>
      <c r="B144" s="195" t="s">
        <v>1436</v>
      </c>
      <c r="C144" s="195" t="s">
        <v>1437</v>
      </c>
      <c r="D144" s="195" t="s">
        <v>1438</v>
      </c>
      <c r="E144" s="195" t="s">
        <v>1432</v>
      </c>
      <c r="F144" s="195" t="s">
        <v>265</v>
      </c>
      <c r="G144" s="195" t="s">
        <v>184</v>
      </c>
      <c r="H144" s="195">
        <v>39301</v>
      </c>
      <c r="I144" s="195" t="s">
        <v>75</v>
      </c>
      <c r="J144" s="195">
        <v>28075</v>
      </c>
      <c r="K144" s="195" t="s">
        <v>1439</v>
      </c>
      <c r="L144" s="195" t="s">
        <v>1440</v>
      </c>
      <c r="M144" s="195">
        <v>32.3643</v>
      </c>
      <c r="N144" s="195">
        <v>-88.703699999999998</v>
      </c>
      <c r="P144" s="196"/>
      <c r="Q144" s="196"/>
      <c r="R144" s="196"/>
      <c r="S144" s="196"/>
      <c r="T144" s="196"/>
      <c r="U144" s="196"/>
      <c r="V144" s="196"/>
      <c r="W144" s="196"/>
      <c r="X144" s="196"/>
      <c r="Y144" s="196"/>
      <c r="Z144" s="196"/>
    </row>
    <row r="145" spans="1:26" ht="18" customHeight="1">
      <c r="A145" s="195" t="s">
        <v>1441</v>
      </c>
      <c r="B145" s="195" t="s">
        <v>1442</v>
      </c>
      <c r="C145" s="195" t="s">
        <v>839</v>
      </c>
      <c r="D145" s="195" t="s">
        <v>1443</v>
      </c>
      <c r="E145" s="195" t="s">
        <v>1444</v>
      </c>
      <c r="F145" s="195" t="s">
        <v>190</v>
      </c>
      <c r="G145" s="195" t="s">
        <v>184</v>
      </c>
      <c r="H145" s="195"/>
      <c r="I145" s="195" t="s">
        <v>75</v>
      </c>
      <c r="J145" s="195">
        <v>28001</v>
      </c>
      <c r="K145" s="195" t="s">
        <v>841</v>
      </c>
      <c r="L145" s="195" t="s">
        <v>900</v>
      </c>
      <c r="M145" s="195">
        <v>31.560400000000001</v>
      </c>
      <c r="N145" s="195">
        <v>-91.403199999999998</v>
      </c>
      <c r="P145" s="196"/>
      <c r="Q145" s="196"/>
      <c r="R145" s="196"/>
      <c r="S145" s="196"/>
      <c r="T145" s="196"/>
      <c r="U145" s="196"/>
      <c r="V145" s="196"/>
      <c r="W145" s="196"/>
      <c r="X145" s="196"/>
      <c r="Y145" s="196"/>
      <c r="Z145" s="196"/>
    </row>
    <row r="146" spans="1:26" ht="18" customHeight="1">
      <c r="A146" s="195" t="s">
        <v>1445</v>
      </c>
      <c r="B146" s="195" t="s">
        <v>1446</v>
      </c>
      <c r="C146" s="195" t="s">
        <v>1447</v>
      </c>
      <c r="D146" s="195" t="s">
        <v>1448</v>
      </c>
      <c r="E146" s="195" t="s">
        <v>1449</v>
      </c>
      <c r="F146" s="195" t="s">
        <v>263</v>
      </c>
      <c r="G146" s="195" t="s">
        <v>184</v>
      </c>
      <c r="H146" s="195">
        <v>38655</v>
      </c>
      <c r="I146" s="195" t="s">
        <v>75</v>
      </c>
      <c r="J146" s="195">
        <v>28071</v>
      </c>
      <c r="K146" s="195" t="s">
        <v>1450</v>
      </c>
      <c r="L146" s="195" t="s">
        <v>1451</v>
      </c>
      <c r="M146" s="195">
        <v>34.366500000000002</v>
      </c>
      <c r="N146" s="195">
        <v>-89.519199999999998</v>
      </c>
      <c r="P146" s="196"/>
      <c r="Q146" s="196"/>
      <c r="R146" s="196"/>
      <c r="S146" s="196"/>
      <c r="T146" s="196"/>
      <c r="U146" s="196"/>
      <c r="V146" s="196"/>
      <c r="W146" s="196"/>
      <c r="X146" s="196"/>
      <c r="Y146" s="196"/>
      <c r="Z146" s="196"/>
    </row>
    <row r="147" spans="1:26" ht="18" customHeight="1">
      <c r="A147" s="195" t="s">
        <v>1452</v>
      </c>
      <c r="B147" s="195" t="s">
        <v>1453</v>
      </c>
      <c r="C147" s="195" t="s">
        <v>1454</v>
      </c>
      <c r="D147" s="195" t="s">
        <v>1455</v>
      </c>
      <c r="E147" s="195" t="s">
        <v>1456</v>
      </c>
      <c r="F147" s="195" t="s">
        <v>206</v>
      </c>
      <c r="G147" s="195" t="s">
        <v>184</v>
      </c>
      <c r="H147" s="195">
        <v>39567</v>
      </c>
      <c r="I147" s="195" t="s">
        <v>81</v>
      </c>
      <c r="J147" s="195">
        <v>28059</v>
      </c>
      <c r="K147" s="195" t="s">
        <v>1457</v>
      </c>
      <c r="L147" s="195" t="s">
        <v>1458</v>
      </c>
      <c r="M147" s="195">
        <v>30.3658</v>
      </c>
      <c r="N147" s="195">
        <v>-88.556100000000001</v>
      </c>
      <c r="P147" s="196"/>
      <c r="Q147" s="196"/>
      <c r="R147" s="196"/>
      <c r="S147" s="196"/>
      <c r="T147" s="196"/>
      <c r="U147" s="196"/>
      <c r="V147" s="196"/>
      <c r="W147" s="196"/>
      <c r="X147" s="196"/>
      <c r="Y147" s="196"/>
      <c r="Z147" s="196"/>
    </row>
    <row r="148" spans="1:26" ht="18" customHeight="1">
      <c r="A148" s="195" t="s">
        <v>1459</v>
      </c>
      <c r="B148" s="195" t="s">
        <v>1460</v>
      </c>
      <c r="C148" s="195" t="s">
        <v>1454</v>
      </c>
      <c r="D148" s="195" t="s">
        <v>1455</v>
      </c>
      <c r="E148" s="195" t="s">
        <v>1456</v>
      </c>
      <c r="F148" s="195" t="s">
        <v>206</v>
      </c>
      <c r="G148" s="195" t="s">
        <v>184</v>
      </c>
      <c r="H148" s="195">
        <v>39567</v>
      </c>
      <c r="I148" s="195" t="s">
        <v>81</v>
      </c>
      <c r="J148" s="195">
        <v>28059</v>
      </c>
      <c r="K148" s="195" t="s">
        <v>1461</v>
      </c>
      <c r="L148" s="195" t="s">
        <v>1462</v>
      </c>
      <c r="M148" s="195">
        <v>30.3658</v>
      </c>
      <c r="N148" s="195">
        <v>-88.556100000000001</v>
      </c>
      <c r="P148" s="196"/>
      <c r="Q148" s="196"/>
      <c r="R148" s="196"/>
      <c r="S148" s="196"/>
      <c r="T148" s="196"/>
      <c r="U148" s="196"/>
      <c r="V148" s="196"/>
      <c r="W148" s="196"/>
      <c r="X148" s="196"/>
      <c r="Y148" s="196"/>
      <c r="Z148" s="196"/>
    </row>
    <row r="149" spans="1:26" ht="18" customHeight="1">
      <c r="A149" s="195" t="s">
        <v>1463</v>
      </c>
      <c r="B149" s="195" t="s">
        <v>1464</v>
      </c>
      <c r="C149" s="195" t="s">
        <v>1465</v>
      </c>
      <c r="D149" s="195" t="s">
        <v>1466</v>
      </c>
      <c r="E149" s="195" t="s">
        <v>1467</v>
      </c>
      <c r="F149" s="195" t="s">
        <v>187</v>
      </c>
      <c r="G149" s="195" t="s">
        <v>184</v>
      </c>
      <c r="H149" s="195">
        <v>39208</v>
      </c>
      <c r="I149" s="195" t="s">
        <v>69</v>
      </c>
      <c r="J149" s="195">
        <v>28061</v>
      </c>
      <c r="K149" s="195" t="s">
        <v>1468</v>
      </c>
      <c r="L149" s="195" t="s">
        <v>1469</v>
      </c>
      <c r="M149" s="195">
        <v>32.274299999999997</v>
      </c>
      <c r="N149" s="195">
        <v>-90.103700000000003</v>
      </c>
      <c r="P149" s="196"/>
      <c r="Q149" s="196"/>
      <c r="R149" s="196"/>
      <c r="S149" s="196"/>
      <c r="T149" s="196"/>
      <c r="U149" s="196"/>
      <c r="V149" s="196"/>
      <c r="W149" s="196"/>
      <c r="X149" s="196"/>
      <c r="Y149" s="196"/>
      <c r="Z149" s="196"/>
    </row>
    <row r="150" spans="1:26" ht="18" customHeight="1">
      <c r="A150" s="195" t="s">
        <v>1470</v>
      </c>
      <c r="B150" s="195" t="s">
        <v>1471</v>
      </c>
      <c r="C150" s="195" t="s">
        <v>1472</v>
      </c>
      <c r="D150" s="195" t="s">
        <v>1473</v>
      </c>
      <c r="E150" s="195" t="s">
        <v>1474</v>
      </c>
      <c r="F150" s="195" t="s">
        <v>230</v>
      </c>
      <c r="G150" s="195" t="s">
        <v>184</v>
      </c>
      <c r="H150" s="195">
        <v>39465</v>
      </c>
      <c r="I150" s="195" t="s">
        <v>81</v>
      </c>
      <c r="J150" s="195">
        <v>28035</v>
      </c>
      <c r="K150" s="195" t="s">
        <v>1475</v>
      </c>
      <c r="L150" s="195" t="s">
        <v>1476</v>
      </c>
      <c r="M150" s="195">
        <v>31.346599999999999</v>
      </c>
      <c r="N150" s="195">
        <v>-89.260099999999994</v>
      </c>
      <c r="P150" s="196"/>
      <c r="Q150" s="196"/>
      <c r="R150" s="196"/>
      <c r="S150" s="196"/>
      <c r="T150" s="196"/>
      <c r="U150" s="196"/>
      <c r="V150" s="196"/>
      <c r="W150" s="196"/>
      <c r="X150" s="196"/>
      <c r="Y150" s="196"/>
      <c r="Z150" s="196"/>
    </row>
    <row r="151" spans="1:26" ht="18" customHeight="1">
      <c r="A151" s="195" t="s">
        <v>1477</v>
      </c>
      <c r="B151" s="195" t="s">
        <v>1478</v>
      </c>
      <c r="C151" s="195" t="s">
        <v>839</v>
      </c>
      <c r="D151" s="195" t="s">
        <v>1479</v>
      </c>
      <c r="E151" s="195" t="s">
        <v>1480</v>
      </c>
      <c r="F151" s="195" t="s">
        <v>228</v>
      </c>
      <c r="G151" s="195" t="s">
        <v>184</v>
      </c>
      <c r="H151" s="195"/>
      <c r="I151" s="195" t="s">
        <v>75</v>
      </c>
      <c r="J151" s="195">
        <v>28033</v>
      </c>
      <c r="K151" s="195" t="s">
        <v>1481</v>
      </c>
      <c r="L151" s="195" t="s">
        <v>842</v>
      </c>
      <c r="M151" s="195">
        <v>34.991900000000001</v>
      </c>
      <c r="N151" s="195">
        <v>-89.991799999999998</v>
      </c>
      <c r="P151" s="196"/>
      <c r="Q151" s="196"/>
      <c r="R151" s="196"/>
      <c r="S151" s="196"/>
      <c r="T151" s="196"/>
      <c r="U151" s="196"/>
      <c r="V151" s="196"/>
      <c r="W151" s="196"/>
      <c r="X151" s="196"/>
      <c r="Y151" s="196"/>
      <c r="Z151" s="196"/>
    </row>
    <row r="152" spans="1:26" ht="18" customHeight="1">
      <c r="A152" s="195" t="s">
        <v>1482</v>
      </c>
      <c r="B152" s="195" t="s">
        <v>1483</v>
      </c>
      <c r="C152" s="195" t="s">
        <v>1484</v>
      </c>
      <c r="D152" s="195" t="s">
        <v>1485</v>
      </c>
      <c r="E152" s="195" t="s">
        <v>1486</v>
      </c>
      <c r="F152" s="195" t="s">
        <v>294</v>
      </c>
      <c r="G152" s="195" t="s">
        <v>184</v>
      </c>
      <c r="H152" s="195">
        <v>39759</v>
      </c>
      <c r="I152" s="195" t="s">
        <v>75</v>
      </c>
      <c r="J152" s="195">
        <v>28015</v>
      </c>
      <c r="K152" s="195" t="s">
        <v>1487</v>
      </c>
      <c r="L152" s="195" t="s">
        <v>1488</v>
      </c>
      <c r="M152" s="195">
        <v>33.462600000000002</v>
      </c>
      <c r="N152" s="195">
        <v>-88.818399999999997</v>
      </c>
      <c r="P152" s="196"/>
      <c r="Q152" s="196"/>
      <c r="R152" s="196"/>
      <c r="S152" s="196"/>
      <c r="T152" s="196"/>
      <c r="U152" s="196"/>
      <c r="V152" s="196"/>
      <c r="W152" s="196"/>
      <c r="X152" s="196"/>
      <c r="Y152" s="196"/>
      <c r="Z152" s="196"/>
    </row>
    <row r="153" spans="1:26" ht="18" customHeight="1">
      <c r="A153" s="195" t="s">
        <v>1489</v>
      </c>
      <c r="B153" s="195" t="s">
        <v>1490</v>
      </c>
      <c r="C153" s="195" t="s">
        <v>1484</v>
      </c>
      <c r="D153" s="195" t="s">
        <v>1485</v>
      </c>
      <c r="E153" s="195" t="s">
        <v>1486</v>
      </c>
      <c r="F153" s="195" t="s">
        <v>294</v>
      </c>
      <c r="G153" s="195" t="s">
        <v>184</v>
      </c>
      <c r="H153" s="195">
        <v>39759</v>
      </c>
      <c r="I153" s="195" t="s">
        <v>75</v>
      </c>
      <c r="J153" s="195">
        <v>28015</v>
      </c>
      <c r="K153" s="195" t="s">
        <v>1491</v>
      </c>
      <c r="L153" s="195" t="s">
        <v>1488</v>
      </c>
      <c r="M153" s="195">
        <v>33.462600000000002</v>
      </c>
      <c r="N153" s="195">
        <v>-88.818399999999997</v>
      </c>
      <c r="P153" s="196"/>
      <c r="Q153" s="196"/>
      <c r="R153" s="196"/>
      <c r="S153" s="196"/>
      <c r="T153" s="196"/>
      <c r="U153" s="196"/>
      <c r="V153" s="196"/>
      <c r="W153" s="196"/>
      <c r="X153" s="196"/>
      <c r="Y153" s="196"/>
      <c r="Z153" s="196"/>
    </row>
    <row r="154" spans="1:26" ht="18" customHeight="1">
      <c r="A154" s="195" t="s">
        <v>1492</v>
      </c>
      <c r="B154" s="195" t="s">
        <v>1493</v>
      </c>
      <c r="C154" s="195" t="s">
        <v>839</v>
      </c>
      <c r="D154" s="195" t="s">
        <v>1494</v>
      </c>
      <c r="E154" s="195" t="s">
        <v>1495</v>
      </c>
      <c r="F154" s="195" t="s">
        <v>271</v>
      </c>
      <c r="G154" s="195" t="s">
        <v>184</v>
      </c>
      <c r="H154" s="195"/>
      <c r="I154" s="195" t="s">
        <v>75</v>
      </c>
      <c r="J154" s="195">
        <v>28081</v>
      </c>
      <c r="K154" s="195" t="s">
        <v>1194</v>
      </c>
      <c r="L154" s="195" t="s">
        <v>842</v>
      </c>
      <c r="M154" s="195">
        <v>34.257599999999996</v>
      </c>
      <c r="N154" s="195">
        <v>-88.703400000000002</v>
      </c>
      <c r="P154" s="196"/>
      <c r="Q154" s="196"/>
      <c r="R154" s="196"/>
      <c r="S154" s="196"/>
      <c r="T154" s="196"/>
      <c r="U154" s="196"/>
      <c r="V154" s="196"/>
      <c r="W154" s="196"/>
      <c r="X154" s="196"/>
      <c r="Y154" s="196"/>
      <c r="Z154" s="196"/>
    </row>
    <row r="155" spans="1:26" ht="18" customHeight="1">
      <c r="A155" s="195" t="s">
        <v>1496</v>
      </c>
      <c r="B155" s="195" t="s">
        <v>1497</v>
      </c>
      <c r="C155" s="195" t="s">
        <v>1498</v>
      </c>
      <c r="D155" s="195" t="s">
        <v>1499</v>
      </c>
      <c r="E155" s="195" t="s">
        <v>1495</v>
      </c>
      <c r="F155" s="195" t="s">
        <v>271</v>
      </c>
      <c r="G155" s="195" t="s">
        <v>184</v>
      </c>
      <c r="H155" s="195">
        <v>38804</v>
      </c>
      <c r="I155" s="195" t="s">
        <v>75</v>
      </c>
      <c r="J155" s="195">
        <v>28081</v>
      </c>
      <c r="K155" s="195" t="s">
        <v>1500</v>
      </c>
      <c r="L155" s="195" t="s">
        <v>1501</v>
      </c>
      <c r="M155" s="195">
        <v>34.257599999999996</v>
      </c>
      <c r="N155" s="195">
        <v>-88.703400000000002</v>
      </c>
      <c r="P155" s="196"/>
      <c r="Q155" s="196"/>
      <c r="R155" s="196"/>
      <c r="S155" s="196"/>
      <c r="T155" s="196"/>
      <c r="U155" s="196"/>
      <c r="V155" s="196"/>
      <c r="W155" s="196"/>
      <c r="X155" s="196"/>
      <c r="Y155" s="196"/>
      <c r="Z155" s="196"/>
    </row>
    <row r="156" spans="1:26" ht="18" customHeight="1">
      <c r="A156" s="195" t="s">
        <v>1502</v>
      </c>
      <c r="B156" s="195" t="s">
        <v>1503</v>
      </c>
      <c r="C156" s="195" t="s">
        <v>1504</v>
      </c>
      <c r="D156" s="195" t="s">
        <v>1505</v>
      </c>
      <c r="E156" s="195" t="s">
        <v>1506</v>
      </c>
      <c r="F156" s="195" t="s">
        <v>203</v>
      </c>
      <c r="G156" s="195" t="s">
        <v>184</v>
      </c>
      <c r="H156" s="195">
        <v>39576</v>
      </c>
      <c r="I156" s="195" t="s">
        <v>81</v>
      </c>
      <c r="J156" s="195">
        <v>28045</v>
      </c>
      <c r="K156" s="195" t="s">
        <v>1468</v>
      </c>
      <c r="L156" s="195" t="s">
        <v>1227</v>
      </c>
      <c r="M156" s="195">
        <v>30.285799999999998</v>
      </c>
      <c r="N156" s="195">
        <v>-89.3767</v>
      </c>
      <c r="P156" s="196"/>
      <c r="Q156" s="196"/>
      <c r="R156" s="196"/>
      <c r="S156" s="196"/>
      <c r="T156" s="196"/>
      <c r="U156" s="196"/>
      <c r="V156" s="196"/>
      <c r="W156" s="196"/>
      <c r="X156" s="196"/>
      <c r="Y156" s="196"/>
      <c r="Z156" s="196"/>
    </row>
    <row r="157" spans="1:26" ht="18" customHeight="1">
      <c r="A157" s="195" t="s">
        <v>1507</v>
      </c>
      <c r="B157" s="195" t="s">
        <v>1508</v>
      </c>
      <c r="C157" s="195" t="s">
        <v>1504</v>
      </c>
      <c r="D157" s="195" t="s">
        <v>1505</v>
      </c>
      <c r="E157" s="195" t="s">
        <v>1506</v>
      </c>
      <c r="F157" s="195" t="s">
        <v>203</v>
      </c>
      <c r="G157" s="195" t="s">
        <v>184</v>
      </c>
      <c r="H157" s="195">
        <v>39576</v>
      </c>
      <c r="I157" s="195" t="s">
        <v>81</v>
      </c>
      <c r="J157" s="195">
        <v>28045</v>
      </c>
      <c r="K157" s="195" t="s">
        <v>1509</v>
      </c>
      <c r="L157" s="195" t="s">
        <v>1056</v>
      </c>
      <c r="M157" s="195">
        <v>30.285799999999998</v>
      </c>
      <c r="N157" s="195">
        <v>-89.3767</v>
      </c>
      <c r="P157" s="196"/>
      <c r="Q157" s="196"/>
      <c r="R157" s="196"/>
      <c r="S157" s="196"/>
      <c r="T157" s="196"/>
      <c r="U157" s="196"/>
      <c r="V157" s="196"/>
      <c r="W157" s="196"/>
      <c r="X157" s="196"/>
      <c r="Y157" s="196"/>
      <c r="Z157" s="196"/>
    </row>
    <row r="158" spans="1:26" ht="18" customHeight="1">
      <c r="A158" s="195" t="s">
        <v>1510</v>
      </c>
      <c r="B158" s="195" t="s">
        <v>1511</v>
      </c>
      <c r="C158" s="195" t="s">
        <v>1504</v>
      </c>
      <c r="D158" s="195" t="s">
        <v>1505</v>
      </c>
      <c r="E158" s="195" t="s">
        <v>1506</v>
      </c>
      <c r="F158" s="195" t="s">
        <v>203</v>
      </c>
      <c r="G158" s="195" t="s">
        <v>184</v>
      </c>
      <c r="H158" s="195">
        <v>39576</v>
      </c>
      <c r="I158" s="195" t="s">
        <v>81</v>
      </c>
      <c r="J158" s="195">
        <v>28045</v>
      </c>
      <c r="K158" s="195" t="s">
        <v>869</v>
      </c>
      <c r="L158" s="195" t="s">
        <v>1056</v>
      </c>
      <c r="M158" s="195">
        <v>30.285799999999998</v>
      </c>
      <c r="N158" s="195">
        <v>-89.3767</v>
      </c>
      <c r="P158" s="196"/>
      <c r="Q158" s="196"/>
      <c r="R158" s="196"/>
      <c r="S158" s="196"/>
      <c r="T158" s="196"/>
      <c r="U158" s="196"/>
      <c r="V158" s="196"/>
      <c r="W158" s="196"/>
      <c r="X158" s="196"/>
      <c r="Y158" s="196"/>
      <c r="Z158" s="196"/>
    </row>
    <row r="159" spans="1:26" ht="18" customHeight="1">
      <c r="A159" s="195" t="s">
        <v>1512</v>
      </c>
      <c r="B159" s="195" t="s">
        <v>1513</v>
      </c>
      <c r="C159" s="195" t="s">
        <v>1504</v>
      </c>
      <c r="D159" s="195" t="s">
        <v>1505</v>
      </c>
      <c r="E159" s="195" t="s">
        <v>1506</v>
      </c>
      <c r="F159" s="195" t="s">
        <v>203</v>
      </c>
      <c r="G159" s="195" t="s">
        <v>184</v>
      </c>
      <c r="H159" s="195">
        <v>39576</v>
      </c>
      <c r="I159" s="195" t="s">
        <v>81</v>
      </c>
      <c r="J159" s="195">
        <v>28045</v>
      </c>
      <c r="K159" s="195" t="s">
        <v>1514</v>
      </c>
      <c r="L159" s="195" t="s">
        <v>1056</v>
      </c>
      <c r="M159" s="195">
        <v>30.285799999999998</v>
      </c>
      <c r="N159" s="195">
        <v>-89.3767</v>
      </c>
      <c r="P159" s="196"/>
      <c r="Q159" s="196"/>
      <c r="R159" s="196"/>
      <c r="S159" s="196"/>
      <c r="T159" s="196"/>
      <c r="U159" s="196"/>
      <c r="V159" s="196"/>
      <c r="W159" s="196"/>
      <c r="X159" s="196"/>
      <c r="Y159" s="196"/>
      <c r="Z159" s="196"/>
    </row>
    <row r="160" spans="1:26" ht="18" customHeight="1">
      <c r="A160" s="195" t="s">
        <v>1515</v>
      </c>
      <c r="B160" s="195" t="s">
        <v>1516</v>
      </c>
      <c r="C160" s="195" t="s">
        <v>1504</v>
      </c>
      <c r="D160" s="195" t="s">
        <v>1505</v>
      </c>
      <c r="E160" s="195" t="s">
        <v>1506</v>
      </c>
      <c r="F160" s="195" t="s">
        <v>203</v>
      </c>
      <c r="G160" s="195" t="s">
        <v>184</v>
      </c>
      <c r="H160" s="195">
        <v>39576</v>
      </c>
      <c r="I160" s="195" t="s">
        <v>81</v>
      </c>
      <c r="J160" s="195">
        <v>28045</v>
      </c>
      <c r="K160" s="195" t="s">
        <v>1517</v>
      </c>
      <c r="L160" s="195" t="s">
        <v>1056</v>
      </c>
      <c r="M160" s="195">
        <v>30.285799999999998</v>
      </c>
      <c r="N160" s="195">
        <v>-89.3767</v>
      </c>
      <c r="P160" s="196"/>
      <c r="Q160" s="196"/>
      <c r="R160" s="196"/>
      <c r="S160" s="196"/>
      <c r="T160" s="196"/>
      <c r="U160" s="196"/>
      <c r="V160" s="196"/>
      <c r="W160" s="196"/>
      <c r="X160" s="196"/>
      <c r="Y160" s="196"/>
      <c r="Z160" s="196"/>
    </row>
    <row r="161" spans="1:26" ht="18" customHeight="1">
      <c r="A161" s="98"/>
      <c r="B161" s="98"/>
      <c r="C161" s="98"/>
      <c r="D161" s="98"/>
      <c r="E161" s="98"/>
      <c r="F161" s="98"/>
      <c r="G161" s="195"/>
      <c r="H161" s="98"/>
      <c r="I161" s="98"/>
      <c r="J161" s="98"/>
      <c r="K161" s="98"/>
      <c r="L161" s="98"/>
      <c r="M161" s="195"/>
      <c r="N161" s="195"/>
      <c r="P161" s="196"/>
      <c r="Q161" s="196"/>
      <c r="R161" s="196"/>
      <c r="S161" s="196"/>
      <c r="T161" s="196"/>
      <c r="U161" s="196"/>
      <c r="V161" s="196"/>
      <c r="W161" s="196"/>
      <c r="X161" s="196"/>
      <c r="Y161" s="196"/>
      <c r="Z161" s="196"/>
    </row>
    <row r="162" spans="1:26" ht="18" customHeight="1">
      <c r="A162" s="98"/>
      <c r="B162" s="98"/>
      <c r="C162" s="98"/>
      <c r="D162" s="98"/>
      <c r="E162" s="98"/>
      <c r="F162" s="98"/>
      <c r="G162" s="195"/>
      <c r="H162" s="98"/>
      <c r="I162" s="98"/>
      <c r="J162" s="98"/>
      <c r="K162" s="98"/>
      <c r="L162" s="98"/>
      <c r="M162" s="195"/>
      <c r="N162" s="195"/>
      <c r="P162" s="196"/>
      <c r="Q162" s="196"/>
      <c r="R162" s="196"/>
      <c r="S162" s="196"/>
      <c r="T162" s="196"/>
      <c r="U162" s="196"/>
      <c r="V162" s="196"/>
      <c r="W162" s="196"/>
      <c r="X162" s="196"/>
      <c r="Y162" s="196"/>
      <c r="Z162" s="196"/>
    </row>
    <row r="163" spans="1:26" ht="18" customHeight="1">
      <c r="A163" s="98"/>
      <c r="B163" s="98"/>
      <c r="C163" s="98"/>
      <c r="D163" s="98"/>
      <c r="E163" s="98"/>
      <c r="F163" s="98"/>
      <c r="G163" s="195"/>
      <c r="H163" s="98"/>
      <c r="I163" s="98"/>
      <c r="J163" s="98"/>
      <c r="K163" s="98"/>
      <c r="L163" s="98"/>
      <c r="M163" s="195"/>
      <c r="N163" s="195"/>
      <c r="P163" s="196"/>
      <c r="Q163" s="196"/>
      <c r="R163" s="196"/>
      <c r="S163" s="196"/>
      <c r="T163" s="196"/>
      <c r="U163" s="196"/>
      <c r="V163" s="196"/>
      <c r="W163" s="196"/>
      <c r="X163" s="196"/>
      <c r="Y163" s="196"/>
      <c r="Z163" s="196"/>
    </row>
    <row r="164" spans="1:26" ht="18" customHeight="1">
      <c r="A164" s="98"/>
      <c r="B164" s="98"/>
      <c r="C164" s="98"/>
      <c r="D164" s="98"/>
      <c r="E164" s="98"/>
      <c r="F164" s="98"/>
      <c r="G164" s="195"/>
      <c r="H164" s="98"/>
      <c r="I164" s="98"/>
      <c r="J164" s="98"/>
      <c r="K164" s="98"/>
      <c r="L164" s="98"/>
      <c r="M164" s="195"/>
      <c r="N164" s="195"/>
      <c r="P164" s="196"/>
      <c r="Q164" s="196"/>
      <c r="R164" s="196"/>
      <c r="S164" s="196"/>
      <c r="T164" s="196"/>
      <c r="U164" s="196"/>
      <c r="V164" s="196"/>
      <c r="W164" s="196"/>
      <c r="X164" s="196"/>
      <c r="Y164" s="196"/>
      <c r="Z164" s="196"/>
    </row>
    <row r="165" spans="1:26" ht="18" customHeight="1">
      <c r="A165" s="98"/>
      <c r="B165" s="98"/>
      <c r="C165" s="98"/>
      <c r="D165" s="98"/>
      <c r="E165" s="98"/>
      <c r="F165" s="98"/>
      <c r="G165" s="195"/>
      <c r="H165" s="98"/>
      <c r="I165" s="98"/>
      <c r="J165" s="98"/>
      <c r="K165" s="98"/>
      <c r="L165" s="98"/>
      <c r="M165" s="195"/>
      <c r="N165" s="195"/>
      <c r="P165" s="196"/>
      <c r="Q165" s="196"/>
      <c r="R165" s="196"/>
      <c r="S165" s="196"/>
      <c r="T165" s="196"/>
      <c r="U165" s="196"/>
      <c r="V165" s="196"/>
      <c r="W165" s="196"/>
      <c r="X165" s="196"/>
      <c r="Y165" s="196"/>
      <c r="Z165" s="196"/>
    </row>
  </sheetData>
  <conditionalFormatting sqref="A2:N165">
    <cfRule type="expression" dxfId="0" priority="1">
      <formula>MOD(ROW(),2)=0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249977111117893"/>
  </sheetPr>
  <dimension ref="A1:AN371"/>
  <sheetViews>
    <sheetView showGridLines="0" workbookViewId="0">
      <selection activeCell="O30" sqref="O30"/>
    </sheetView>
  </sheetViews>
  <sheetFormatPr defaultColWidth="9.125" defaultRowHeight="15"/>
  <cols>
    <col min="1" max="16384" width="9.125" style="13"/>
  </cols>
  <sheetData>
    <row r="1" spans="1:40" s="21" customFormat="1" ht="30.75" customHeight="1">
      <c r="B1" s="20"/>
      <c r="C1" s="20"/>
      <c r="D1" s="20"/>
      <c r="E1" s="20"/>
      <c r="F1" s="20"/>
      <c r="G1" s="20"/>
      <c r="H1" s="20"/>
      <c r="I1" s="39" t="s">
        <v>4339</v>
      </c>
      <c r="J1" s="20"/>
      <c r="K1" s="20"/>
      <c r="L1" s="20"/>
      <c r="M1" s="20"/>
      <c r="N1" s="20"/>
      <c r="O1" s="20"/>
      <c r="P1" s="20"/>
      <c r="Q1" s="20"/>
      <c r="R1" s="20"/>
      <c r="S1" s="20"/>
      <c r="T1" s="20"/>
      <c r="U1" s="20"/>
      <c r="V1" s="20"/>
      <c r="W1" s="20"/>
      <c r="X1" s="20"/>
      <c r="Y1" s="20"/>
    </row>
    <row r="2" spans="1:40" ht="17.100000000000001" customHeight="1">
      <c r="A2" s="14" t="s">
        <v>685</v>
      </c>
      <c r="B2" s="14"/>
      <c r="C2" s="14"/>
      <c r="D2" s="14"/>
      <c r="E2" s="14"/>
      <c r="F2" s="14"/>
      <c r="G2" s="14" t="s">
        <v>685</v>
      </c>
      <c r="H2" s="14"/>
      <c r="I2" s="14"/>
      <c r="J2" s="14"/>
      <c r="K2" s="14"/>
      <c r="L2" s="14"/>
      <c r="M2" s="14" t="s">
        <v>685</v>
      </c>
      <c r="N2" s="14"/>
      <c r="O2" s="14"/>
      <c r="P2" s="14"/>
      <c r="Q2" s="14"/>
      <c r="R2" s="14"/>
      <c r="S2" s="14" t="s">
        <v>685</v>
      </c>
      <c r="T2" s="14"/>
      <c r="U2" s="14"/>
      <c r="V2" s="14"/>
      <c r="W2" s="14"/>
      <c r="X2" s="14"/>
      <c r="Y2" s="14" t="s">
        <v>685</v>
      </c>
      <c r="Z2" s="23"/>
      <c r="AA2" s="23"/>
      <c r="AB2" s="23"/>
      <c r="AC2" s="23"/>
      <c r="AD2" s="23"/>
      <c r="AE2" s="23"/>
      <c r="AF2" s="23"/>
      <c r="AG2" s="23"/>
      <c r="AH2" s="23"/>
      <c r="AI2" s="23"/>
      <c r="AJ2" s="23"/>
      <c r="AK2" s="23"/>
      <c r="AL2" s="23"/>
      <c r="AM2" s="23"/>
      <c r="AN2" s="23"/>
    </row>
    <row r="3" spans="1:40" ht="17.100000000000001" customHeight="1">
      <c r="A3" s="14" t="s">
        <v>1518</v>
      </c>
      <c r="B3" s="14"/>
      <c r="C3" s="14"/>
      <c r="D3" s="14"/>
      <c r="E3" s="14"/>
      <c r="F3" s="14"/>
      <c r="G3" s="14" t="s">
        <v>1519</v>
      </c>
      <c r="H3" s="14"/>
      <c r="I3" s="14"/>
      <c r="J3" s="14"/>
      <c r="K3" s="14"/>
      <c r="L3" s="14"/>
      <c r="M3" s="14" t="s">
        <v>1520</v>
      </c>
      <c r="N3" s="14"/>
      <c r="O3" s="14"/>
      <c r="P3" s="14"/>
      <c r="Q3" s="14"/>
      <c r="R3" s="14"/>
      <c r="S3" s="14" t="s">
        <v>1521</v>
      </c>
      <c r="T3" s="14"/>
      <c r="U3" s="14"/>
      <c r="V3" s="14"/>
      <c r="W3" s="14"/>
      <c r="X3" s="14"/>
      <c r="Y3" s="14" t="s">
        <v>1522</v>
      </c>
      <c r="Z3" s="23"/>
      <c r="AA3" s="23"/>
      <c r="AB3" s="23"/>
      <c r="AC3" s="23"/>
      <c r="AD3" s="23"/>
      <c r="AE3" s="23"/>
      <c r="AF3" s="23"/>
      <c r="AG3" s="23"/>
      <c r="AH3" s="23"/>
      <c r="AI3" s="23"/>
      <c r="AJ3" s="23"/>
      <c r="AK3" s="23"/>
      <c r="AL3" s="23"/>
      <c r="AM3" s="23"/>
      <c r="AN3" s="23"/>
    </row>
    <row r="4" spans="1:40" ht="17.100000000000001" customHeight="1">
      <c r="A4" s="14" t="s">
        <v>685</v>
      </c>
      <c r="B4" s="14"/>
      <c r="C4" s="14"/>
      <c r="D4" s="14"/>
      <c r="E4" s="14"/>
      <c r="F4" s="14"/>
      <c r="G4" s="14" t="s">
        <v>685</v>
      </c>
      <c r="H4" s="14"/>
      <c r="I4" s="14"/>
      <c r="J4" s="14"/>
      <c r="K4" s="14"/>
      <c r="L4" s="14"/>
      <c r="M4" s="14" t="s">
        <v>685</v>
      </c>
      <c r="N4" s="14"/>
      <c r="O4" s="14"/>
      <c r="P4" s="14"/>
      <c r="Q4" s="14"/>
      <c r="R4" s="14"/>
      <c r="S4" s="14" t="s">
        <v>685</v>
      </c>
      <c r="T4" s="14"/>
      <c r="U4" s="14"/>
      <c r="V4" s="14"/>
      <c r="W4" s="14"/>
      <c r="X4" s="14"/>
      <c r="Y4" s="14" t="s">
        <v>685</v>
      </c>
      <c r="Z4" s="23"/>
      <c r="AA4" s="23"/>
      <c r="AB4" s="23"/>
      <c r="AC4" s="23"/>
      <c r="AD4" s="23"/>
      <c r="AE4" s="23"/>
      <c r="AF4" s="23"/>
      <c r="AG4" s="23"/>
      <c r="AH4" s="23"/>
      <c r="AI4" s="23"/>
      <c r="AJ4" s="23"/>
      <c r="AK4" s="23"/>
      <c r="AL4" s="23"/>
      <c r="AM4" s="23"/>
      <c r="AN4" s="23"/>
    </row>
    <row r="5" spans="1:40" ht="17.100000000000001" customHeight="1">
      <c r="A5" s="14" t="s">
        <v>1523</v>
      </c>
      <c r="B5" s="14"/>
      <c r="C5" s="14"/>
      <c r="D5" s="14"/>
      <c r="E5" s="14"/>
      <c r="F5" s="14"/>
      <c r="G5" s="14" t="s">
        <v>1524</v>
      </c>
      <c r="H5" s="14"/>
      <c r="I5" s="14"/>
      <c r="J5" s="14"/>
      <c r="K5" s="14"/>
      <c r="L5" s="14"/>
      <c r="M5" s="14" t="s">
        <v>634</v>
      </c>
      <c r="N5" s="14"/>
      <c r="O5" s="14"/>
      <c r="P5" s="14"/>
      <c r="Q5" s="14"/>
      <c r="R5" s="14"/>
      <c r="S5" s="14" t="s">
        <v>1525</v>
      </c>
      <c r="T5" s="14"/>
      <c r="U5" s="14"/>
      <c r="V5" s="14"/>
      <c r="W5" s="14"/>
      <c r="X5" s="14"/>
      <c r="Y5" s="14" t="s">
        <v>1526</v>
      </c>
      <c r="Z5" s="23"/>
      <c r="AA5" s="23"/>
      <c r="AB5" s="23"/>
      <c r="AC5" s="23"/>
      <c r="AD5" s="23"/>
      <c r="AE5" s="23"/>
      <c r="AF5" s="23"/>
      <c r="AG5" s="23"/>
      <c r="AH5" s="23"/>
      <c r="AI5" s="23"/>
      <c r="AJ5" s="23"/>
      <c r="AK5" s="23"/>
      <c r="AL5" s="23"/>
      <c r="AM5" s="23"/>
      <c r="AN5" s="23"/>
    </row>
    <row r="6" spans="1:40" ht="17.100000000000001" customHeight="1">
      <c r="A6" s="14" t="s">
        <v>706</v>
      </c>
      <c r="B6" s="14"/>
      <c r="C6" s="14"/>
      <c r="D6" s="14"/>
      <c r="E6" s="14"/>
      <c r="F6" s="14"/>
      <c r="G6" s="14"/>
      <c r="H6" s="14"/>
      <c r="I6" s="14"/>
      <c r="J6" s="14"/>
      <c r="K6" s="14"/>
      <c r="L6" s="14"/>
      <c r="M6" s="14" t="s">
        <v>1527</v>
      </c>
      <c r="N6" s="14"/>
      <c r="O6" s="14"/>
      <c r="P6" s="14"/>
      <c r="Q6" s="14"/>
      <c r="R6" s="14"/>
      <c r="S6" s="14" t="s">
        <v>525</v>
      </c>
      <c r="T6" s="14"/>
      <c r="U6" s="14"/>
      <c r="V6" s="14"/>
      <c r="W6" s="14"/>
      <c r="X6" s="14"/>
      <c r="Y6" s="14"/>
      <c r="Z6" s="23"/>
      <c r="AA6" s="23"/>
      <c r="AB6" s="23"/>
      <c r="AC6" s="23"/>
      <c r="AD6" s="23"/>
      <c r="AE6" s="23"/>
      <c r="AF6" s="23"/>
      <c r="AG6" s="23"/>
      <c r="AH6" s="23"/>
      <c r="AI6" s="23"/>
      <c r="AJ6" s="23"/>
      <c r="AK6" s="23"/>
      <c r="AL6" s="23"/>
      <c r="AM6" s="23"/>
      <c r="AN6" s="23"/>
    </row>
    <row r="7" spans="1:40" ht="17.100000000000001" customHeight="1">
      <c r="A7" s="14" t="s">
        <v>1528</v>
      </c>
      <c r="B7" s="14"/>
      <c r="C7" s="14"/>
      <c r="D7" s="14"/>
      <c r="E7" s="14"/>
      <c r="F7" s="14"/>
      <c r="G7" s="14" t="s">
        <v>1529</v>
      </c>
      <c r="H7" s="14"/>
      <c r="I7" s="14"/>
      <c r="J7" s="14"/>
      <c r="K7" s="14"/>
      <c r="L7" s="14"/>
      <c r="M7" s="14"/>
      <c r="N7" s="14"/>
      <c r="O7" s="14"/>
      <c r="P7" s="14"/>
      <c r="Q7" s="14"/>
      <c r="R7" s="14"/>
      <c r="S7" s="14" t="s">
        <v>1530</v>
      </c>
      <c r="T7" s="14"/>
      <c r="U7" s="14"/>
      <c r="V7" s="14"/>
      <c r="W7" s="14"/>
      <c r="X7" s="14"/>
      <c r="Y7" s="14" t="s">
        <v>685</v>
      </c>
      <c r="Z7" s="23"/>
      <c r="AA7" s="23"/>
      <c r="AB7" s="23"/>
      <c r="AC7" s="23"/>
      <c r="AD7" s="23"/>
      <c r="AE7" s="23"/>
      <c r="AF7" s="23"/>
      <c r="AG7" s="23"/>
      <c r="AH7" s="23"/>
      <c r="AI7" s="23"/>
      <c r="AJ7" s="23"/>
      <c r="AK7" s="23"/>
      <c r="AL7" s="23"/>
      <c r="AM7" s="23"/>
      <c r="AN7" s="23"/>
    </row>
    <row r="8" spans="1:40" ht="17.100000000000001" customHeight="1">
      <c r="A8" s="14" t="s">
        <v>1531</v>
      </c>
      <c r="B8" s="14"/>
      <c r="C8" s="14"/>
      <c r="D8" s="14"/>
      <c r="E8" s="14"/>
      <c r="F8" s="14"/>
      <c r="G8" s="14"/>
      <c r="H8" s="14"/>
      <c r="I8" s="14"/>
      <c r="J8" s="14"/>
      <c r="K8" s="14"/>
      <c r="L8" s="14"/>
      <c r="M8" s="14" t="s">
        <v>639</v>
      </c>
      <c r="N8" s="14"/>
      <c r="O8" s="14"/>
      <c r="P8" s="14"/>
      <c r="Q8" s="14"/>
      <c r="R8" s="14"/>
      <c r="S8" s="14" t="s">
        <v>1532</v>
      </c>
      <c r="T8" s="14"/>
      <c r="U8" s="14"/>
      <c r="V8" s="14"/>
      <c r="W8" s="14"/>
      <c r="X8" s="14"/>
      <c r="Y8" s="14" t="s">
        <v>1533</v>
      </c>
      <c r="Z8" s="23"/>
      <c r="AA8" s="23"/>
      <c r="AB8" s="23"/>
      <c r="AC8" s="23"/>
      <c r="AD8" s="23"/>
      <c r="AE8" s="23"/>
      <c r="AF8" s="23"/>
      <c r="AG8" s="23"/>
      <c r="AH8" s="23"/>
      <c r="AI8" s="23"/>
      <c r="AJ8" s="23"/>
      <c r="AK8" s="23"/>
      <c r="AL8" s="23"/>
      <c r="AM8" s="23"/>
      <c r="AN8" s="23"/>
    </row>
    <row r="9" spans="1:40" ht="17.100000000000001" customHeight="1">
      <c r="A9" s="14" t="s">
        <v>1534</v>
      </c>
      <c r="B9" s="14"/>
      <c r="C9" s="14"/>
      <c r="D9" s="14"/>
      <c r="E9" s="14"/>
      <c r="F9" s="14"/>
      <c r="G9" s="14" t="s">
        <v>1535</v>
      </c>
      <c r="H9" s="14"/>
      <c r="I9" s="14"/>
      <c r="J9" s="14"/>
      <c r="K9" s="14"/>
      <c r="L9" s="14"/>
      <c r="M9" s="14" t="s">
        <v>1536</v>
      </c>
      <c r="N9" s="14"/>
      <c r="O9" s="14"/>
      <c r="P9" s="14"/>
      <c r="Q9" s="14"/>
      <c r="R9" s="14"/>
      <c r="S9" s="14" t="s">
        <v>1537</v>
      </c>
      <c r="T9" s="14"/>
      <c r="U9" s="14"/>
      <c r="V9" s="14"/>
      <c r="W9" s="14"/>
      <c r="X9" s="14"/>
      <c r="Y9" s="14" t="s">
        <v>685</v>
      </c>
      <c r="Z9" s="23"/>
      <c r="AA9" s="23"/>
      <c r="AB9" s="23"/>
      <c r="AC9" s="23"/>
      <c r="AD9" s="23"/>
      <c r="AE9" s="23"/>
      <c r="AF9" s="23"/>
      <c r="AG9" s="23"/>
      <c r="AH9" s="23"/>
      <c r="AI9" s="23"/>
      <c r="AJ9" s="23"/>
      <c r="AK9" s="23"/>
      <c r="AL9" s="23"/>
      <c r="AM9" s="23"/>
      <c r="AN9" s="23"/>
    </row>
    <row r="10" spans="1:40" ht="17.100000000000001" customHeight="1">
      <c r="A10" s="14" t="s">
        <v>1538</v>
      </c>
      <c r="B10" s="14"/>
      <c r="C10" s="14"/>
      <c r="D10" s="14"/>
      <c r="E10" s="14"/>
      <c r="F10" s="14"/>
      <c r="G10" s="14" t="s">
        <v>1539</v>
      </c>
      <c r="H10" s="14"/>
      <c r="I10" s="14"/>
      <c r="J10" s="14"/>
      <c r="K10" s="14"/>
      <c r="L10" s="14"/>
      <c r="M10" s="14" t="s">
        <v>1540</v>
      </c>
      <c r="N10" s="14"/>
      <c r="O10" s="14"/>
      <c r="P10" s="14"/>
      <c r="Q10" s="14"/>
      <c r="R10" s="14"/>
      <c r="S10" s="14" t="s">
        <v>1541</v>
      </c>
      <c r="T10" s="14"/>
      <c r="U10" s="14"/>
      <c r="V10" s="14"/>
      <c r="W10" s="14"/>
      <c r="X10" s="14"/>
      <c r="Y10" s="14"/>
      <c r="Z10" s="23"/>
      <c r="AA10" s="23"/>
      <c r="AB10" s="23"/>
      <c r="AC10" s="23"/>
      <c r="AD10" s="23"/>
      <c r="AE10" s="23"/>
      <c r="AF10" s="23"/>
      <c r="AG10" s="23"/>
      <c r="AH10" s="23"/>
      <c r="AI10" s="23"/>
      <c r="AJ10" s="23"/>
      <c r="AK10" s="23"/>
      <c r="AL10" s="23"/>
      <c r="AM10" s="23"/>
      <c r="AN10" s="23"/>
    </row>
    <row r="11" spans="1:40" ht="17.100000000000001" customHeight="1">
      <c r="A11" s="14"/>
      <c r="B11" s="14"/>
      <c r="C11" s="14"/>
      <c r="D11" s="14"/>
      <c r="E11" s="14"/>
      <c r="F11" s="14"/>
      <c r="G11" s="14" t="s">
        <v>1542</v>
      </c>
      <c r="H11" s="14"/>
      <c r="I11" s="14"/>
      <c r="J11" s="14"/>
      <c r="K11" s="14"/>
      <c r="L11" s="14"/>
      <c r="M11" s="14" t="s">
        <v>1543</v>
      </c>
      <c r="N11" s="14"/>
      <c r="O11" s="14"/>
      <c r="P11" s="14"/>
      <c r="Q11" s="14"/>
      <c r="R11" s="14"/>
      <c r="S11" s="14" t="s">
        <v>1544</v>
      </c>
      <c r="T11" s="14"/>
      <c r="U11" s="14"/>
      <c r="V11" s="14"/>
      <c r="W11" s="14"/>
      <c r="X11" s="14"/>
      <c r="Y11" s="14" t="s">
        <v>1545</v>
      </c>
      <c r="Z11" s="23"/>
      <c r="AA11" s="23"/>
      <c r="AB11" s="23"/>
      <c r="AC11" s="23"/>
      <c r="AD11" s="23"/>
      <c r="AE11" s="23"/>
      <c r="AF11" s="23"/>
      <c r="AG11" s="23"/>
      <c r="AH11" s="23"/>
      <c r="AI11" s="23"/>
      <c r="AJ11" s="23"/>
      <c r="AK11" s="23"/>
      <c r="AL11" s="23"/>
      <c r="AM11" s="23"/>
      <c r="AN11" s="23"/>
    </row>
    <row r="12" spans="1:40" ht="17.100000000000001" customHeight="1">
      <c r="A12" s="14" t="s">
        <v>1524</v>
      </c>
      <c r="B12" s="14"/>
      <c r="C12" s="14"/>
      <c r="D12" s="14"/>
      <c r="E12" s="14"/>
      <c r="F12" s="14"/>
      <c r="G12" s="14" t="s">
        <v>1546</v>
      </c>
      <c r="H12" s="14"/>
      <c r="I12" s="14"/>
      <c r="J12" s="14"/>
      <c r="K12" s="14"/>
      <c r="L12" s="14"/>
      <c r="M12" s="14" t="s">
        <v>1547</v>
      </c>
      <c r="N12" s="14"/>
      <c r="O12" s="14"/>
      <c r="P12" s="14"/>
      <c r="Q12" s="14"/>
      <c r="R12" s="14"/>
      <c r="S12" s="14" t="s">
        <v>1548</v>
      </c>
      <c r="T12" s="14"/>
      <c r="U12" s="14"/>
      <c r="V12" s="14"/>
      <c r="W12" s="14"/>
      <c r="X12" s="14"/>
      <c r="Y12" s="14" t="s">
        <v>1549</v>
      </c>
      <c r="Z12" s="23"/>
      <c r="AA12" s="23"/>
      <c r="AB12" s="23"/>
      <c r="AC12" s="23"/>
      <c r="AD12" s="23"/>
      <c r="AE12" s="23"/>
      <c r="AF12" s="23"/>
      <c r="AG12" s="23"/>
      <c r="AH12" s="23"/>
      <c r="AI12" s="23"/>
      <c r="AJ12" s="23"/>
      <c r="AK12" s="23"/>
      <c r="AL12" s="23"/>
      <c r="AM12" s="23"/>
      <c r="AN12" s="23"/>
    </row>
    <row r="13" spans="1:40" ht="17.100000000000001" customHeight="1">
      <c r="A13" s="14"/>
      <c r="B13" s="14"/>
      <c r="C13" s="14"/>
      <c r="D13" s="14"/>
      <c r="E13" s="14"/>
      <c r="F13" s="14"/>
      <c r="G13" s="14" t="s">
        <v>1550</v>
      </c>
      <c r="H13" s="14"/>
      <c r="I13" s="14"/>
      <c r="J13" s="14"/>
      <c r="K13" s="14"/>
      <c r="L13" s="14"/>
      <c r="M13" s="14" t="s">
        <v>1551</v>
      </c>
      <c r="N13" s="14"/>
      <c r="O13" s="14"/>
      <c r="P13" s="14"/>
      <c r="Q13" s="14"/>
      <c r="R13" s="14"/>
      <c r="S13" s="14" t="s">
        <v>1552</v>
      </c>
      <c r="T13" s="14"/>
      <c r="U13" s="14"/>
      <c r="V13" s="14"/>
      <c r="W13" s="14"/>
      <c r="X13" s="14"/>
      <c r="Y13" s="14" t="s">
        <v>1553</v>
      </c>
      <c r="Z13" s="23"/>
      <c r="AA13" s="23"/>
      <c r="AB13" s="23"/>
      <c r="AC13" s="23"/>
      <c r="AD13" s="23"/>
      <c r="AE13" s="23"/>
      <c r="AF13" s="23"/>
      <c r="AG13" s="23"/>
      <c r="AH13" s="23"/>
      <c r="AI13" s="23"/>
      <c r="AJ13" s="23"/>
      <c r="AK13" s="23"/>
      <c r="AL13" s="23"/>
      <c r="AM13" s="23"/>
      <c r="AN13" s="23"/>
    </row>
    <row r="14" spans="1:40" ht="17.100000000000001" customHeight="1">
      <c r="A14" s="14" t="s">
        <v>1529</v>
      </c>
      <c r="B14" s="14"/>
      <c r="C14" s="14"/>
      <c r="D14" s="14"/>
      <c r="E14" s="14"/>
      <c r="F14" s="14"/>
      <c r="G14" s="14" t="s">
        <v>1554</v>
      </c>
      <c r="H14" s="14"/>
      <c r="I14" s="14"/>
      <c r="J14" s="14"/>
      <c r="K14" s="14"/>
      <c r="L14" s="14"/>
      <c r="M14" s="14"/>
      <c r="N14" s="14"/>
      <c r="O14" s="14"/>
      <c r="P14" s="14"/>
      <c r="Q14" s="14"/>
      <c r="R14" s="14"/>
      <c r="S14" s="14" t="s">
        <v>1555</v>
      </c>
      <c r="T14" s="14"/>
      <c r="U14" s="14"/>
      <c r="V14" s="14"/>
      <c r="W14" s="14"/>
      <c r="X14" s="14"/>
      <c r="Y14" s="14" t="s">
        <v>1556</v>
      </c>
      <c r="Z14" s="23"/>
      <c r="AA14" s="23"/>
      <c r="AB14" s="23"/>
      <c r="AC14" s="23"/>
      <c r="AD14" s="23"/>
      <c r="AE14" s="23"/>
      <c r="AF14" s="23"/>
      <c r="AG14" s="23"/>
      <c r="AH14" s="23"/>
      <c r="AI14" s="23"/>
      <c r="AJ14" s="23"/>
      <c r="AK14" s="23"/>
      <c r="AL14" s="23"/>
      <c r="AM14" s="23"/>
      <c r="AN14" s="23"/>
    </row>
    <row r="15" spans="1:40" ht="17.100000000000001" customHeight="1">
      <c r="A15" s="14"/>
      <c r="B15" s="14"/>
      <c r="C15" s="14"/>
      <c r="D15" s="14"/>
      <c r="E15" s="14"/>
      <c r="F15" s="14"/>
      <c r="G15" s="14" t="s">
        <v>1557</v>
      </c>
      <c r="H15" s="14"/>
      <c r="I15" s="14"/>
      <c r="J15" s="14"/>
      <c r="K15" s="14"/>
      <c r="L15" s="14"/>
      <c r="M15" s="14" t="s">
        <v>639</v>
      </c>
      <c r="N15" s="14"/>
      <c r="O15" s="14"/>
      <c r="P15" s="14"/>
      <c r="Q15" s="14"/>
      <c r="R15" s="14"/>
      <c r="S15" s="14" t="s">
        <v>1558</v>
      </c>
      <c r="T15" s="14"/>
      <c r="U15" s="14"/>
      <c r="V15" s="14"/>
      <c r="W15" s="14"/>
      <c r="X15" s="14"/>
      <c r="Y15" s="14"/>
      <c r="Z15" s="23"/>
      <c r="AA15" s="23"/>
      <c r="AB15" s="23"/>
      <c r="AC15" s="23"/>
      <c r="AD15" s="23"/>
      <c r="AE15" s="23"/>
      <c r="AF15" s="23"/>
      <c r="AG15" s="23"/>
      <c r="AH15" s="23"/>
      <c r="AI15" s="23"/>
      <c r="AJ15" s="23"/>
      <c r="AK15" s="23"/>
      <c r="AL15" s="23"/>
      <c r="AM15" s="23"/>
      <c r="AN15" s="23"/>
    </row>
    <row r="16" spans="1:40" ht="17.100000000000001" customHeight="1">
      <c r="A16" s="14" t="s">
        <v>1535</v>
      </c>
      <c r="B16" s="14"/>
      <c r="C16" s="14"/>
      <c r="D16" s="14"/>
      <c r="E16" s="14"/>
      <c r="F16" s="14"/>
      <c r="G16" s="14" t="s">
        <v>1559</v>
      </c>
      <c r="H16" s="14"/>
      <c r="I16" s="14"/>
      <c r="J16" s="14"/>
      <c r="K16" s="14"/>
      <c r="L16" s="14"/>
      <c r="M16" s="14" t="s">
        <v>641</v>
      </c>
      <c r="N16" s="14"/>
      <c r="O16" s="14"/>
      <c r="P16" s="14"/>
      <c r="Q16" s="14"/>
      <c r="R16" s="14"/>
      <c r="S16" s="14" t="s">
        <v>1560</v>
      </c>
      <c r="T16" s="14"/>
      <c r="U16" s="14"/>
      <c r="V16" s="14"/>
      <c r="W16" s="14"/>
      <c r="X16" s="14"/>
      <c r="Y16" s="14" t="s">
        <v>1561</v>
      </c>
      <c r="Z16" s="23"/>
      <c r="AA16" s="23"/>
      <c r="AB16" s="23"/>
      <c r="AC16" s="23"/>
      <c r="AD16" s="23"/>
      <c r="AE16" s="23"/>
      <c r="AF16" s="23"/>
      <c r="AG16" s="23"/>
      <c r="AH16" s="23"/>
      <c r="AI16" s="23"/>
      <c r="AJ16" s="23"/>
      <c r="AK16" s="23"/>
      <c r="AL16" s="23"/>
      <c r="AM16" s="23"/>
      <c r="AN16" s="23"/>
    </row>
    <row r="17" spans="1:40" ht="17.100000000000001" customHeight="1">
      <c r="A17" s="14" t="s">
        <v>1562</v>
      </c>
      <c r="B17" s="14"/>
      <c r="C17" s="14"/>
      <c r="D17" s="14"/>
      <c r="E17" s="14"/>
      <c r="F17" s="14"/>
      <c r="G17" s="14" t="s">
        <v>1563</v>
      </c>
      <c r="H17" s="14"/>
      <c r="I17" s="14"/>
      <c r="J17" s="14"/>
      <c r="K17" s="14"/>
      <c r="L17" s="14"/>
      <c r="M17" s="14" t="s">
        <v>1540</v>
      </c>
      <c r="N17" s="14"/>
      <c r="O17" s="14"/>
      <c r="P17" s="14"/>
      <c r="Q17" s="14"/>
      <c r="R17" s="14"/>
      <c r="S17" s="14" t="s">
        <v>1564</v>
      </c>
      <c r="T17" s="14"/>
      <c r="U17" s="14"/>
      <c r="V17" s="14"/>
      <c r="W17" s="14"/>
      <c r="X17" s="14"/>
      <c r="Y17" s="14" t="s">
        <v>1565</v>
      </c>
      <c r="Z17" s="23"/>
      <c r="AA17" s="23"/>
      <c r="AB17" s="23"/>
      <c r="AC17" s="23"/>
      <c r="AD17" s="23"/>
      <c r="AE17" s="23"/>
      <c r="AF17" s="23"/>
      <c r="AG17" s="23"/>
      <c r="AH17" s="23"/>
      <c r="AI17" s="23"/>
      <c r="AJ17" s="23"/>
      <c r="AK17" s="23"/>
      <c r="AL17" s="23"/>
      <c r="AM17" s="23"/>
      <c r="AN17" s="23"/>
    </row>
    <row r="18" spans="1:40" ht="17.100000000000001" customHeight="1">
      <c r="A18" s="14" t="s">
        <v>1566</v>
      </c>
      <c r="B18" s="14"/>
      <c r="C18" s="14"/>
      <c r="D18" s="14"/>
      <c r="E18" s="14"/>
      <c r="F18" s="14"/>
      <c r="G18" s="14" t="s">
        <v>1567</v>
      </c>
      <c r="H18" s="14"/>
      <c r="I18" s="14"/>
      <c r="J18" s="14"/>
      <c r="K18" s="14"/>
      <c r="L18" s="14"/>
      <c r="M18" s="14" t="s">
        <v>1543</v>
      </c>
      <c r="N18" s="14"/>
      <c r="O18" s="14"/>
      <c r="P18" s="14"/>
      <c r="Q18" s="14"/>
      <c r="R18" s="14"/>
      <c r="S18" s="14" t="s">
        <v>1568</v>
      </c>
      <c r="T18" s="14"/>
      <c r="U18" s="14"/>
      <c r="V18" s="14"/>
      <c r="W18" s="14"/>
      <c r="X18" s="14"/>
      <c r="Y18" s="14" t="s">
        <v>1569</v>
      </c>
      <c r="Z18" s="23"/>
      <c r="AA18" s="23"/>
      <c r="AB18" s="23"/>
      <c r="AC18" s="23"/>
      <c r="AD18" s="23"/>
      <c r="AE18" s="23"/>
      <c r="AF18" s="23"/>
      <c r="AG18" s="23"/>
      <c r="AH18" s="23"/>
      <c r="AI18" s="23"/>
      <c r="AJ18" s="23"/>
      <c r="AK18" s="23"/>
      <c r="AL18" s="23"/>
      <c r="AM18" s="23"/>
      <c r="AN18" s="23"/>
    </row>
    <row r="19" spans="1:40" ht="17.100000000000001" customHeight="1">
      <c r="A19" s="14" t="s">
        <v>1550</v>
      </c>
      <c r="B19" s="14"/>
      <c r="C19" s="14"/>
      <c r="D19" s="14"/>
      <c r="E19" s="14"/>
      <c r="F19" s="14"/>
      <c r="G19" s="14" t="s">
        <v>1570</v>
      </c>
      <c r="H19" s="14"/>
      <c r="I19" s="14"/>
      <c r="J19" s="14"/>
      <c r="K19" s="14"/>
      <c r="L19" s="14"/>
      <c r="M19" s="14" t="s">
        <v>1571</v>
      </c>
      <c r="N19" s="14"/>
      <c r="O19" s="14"/>
      <c r="P19" s="14"/>
      <c r="Q19" s="14"/>
      <c r="R19" s="14"/>
      <c r="S19" s="14"/>
      <c r="T19" s="14"/>
      <c r="U19" s="14"/>
      <c r="V19" s="14"/>
      <c r="W19" s="14"/>
      <c r="X19" s="14"/>
      <c r="Y19" s="14" t="s">
        <v>1572</v>
      </c>
      <c r="Z19" s="23"/>
      <c r="AA19" s="23"/>
      <c r="AB19" s="23"/>
      <c r="AC19" s="23"/>
      <c r="AD19" s="23"/>
      <c r="AE19" s="23"/>
      <c r="AF19" s="23"/>
      <c r="AG19" s="23"/>
      <c r="AH19" s="23"/>
      <c r="AI19" s="23"/>
      <c r="AJ19" s="23"/>
      <c r="AK19" s="23"/>
      <c r="AL19" s="23"/>
      <c r="AM19" s="23"/>
      <c r="AN19" s="23"/>
    </row>
    <row r="20" spans="1:40" ht="17.100000000000001" customHeight="1">
      <c r="A20" s="14" t="s">
        <v>1559</v>
      </c>
      <c r="B20" s="14"/>
      <c r="C20" s="14"/>
      <c r="D20" s="14"/>
      <c r="E20" s="14"/>
      <c r="F20" s="14"/>
      <c r="G20" s="14" t="s">
        <v>1573</v>
      </c>
      <c r="H20" s="14"/>
      <c r="I20" s="14"/>
      <c r="J20" s="14"/>
      <c r="K20" s="14"/>
      <c r="L20" s="14"/>
      <c r="M20" s="14" t="s">
        <v>1574</v>
      </c>
      <c r="N20" s="14"/>
      <c r="O20" s="14"/>
      <c r="P20" s="14"/>
      <c r="Q20" s="14"/>
      <c r="R20" s="14"/>
      <c r="S20" s="14" t="s">
        <v>1525</v>
      </c>
      <c r="T20" s="14"/>
      <c r="U20" s="14"/>
      <c r="V20" s="14"/>
      <c r="W20" s="14"/>
      <c r="X20" s="14"/>
      <c r="Y20" s="14" t="s">
        <v>1575</v>
      </c>
      <c r="Z20" s="23"/>
      <c r="AA20" s="23"/>
      <c r="AB20" s="23"/>
      <c r="AC20" s="23"/>
      <c r="AD20" s="23"/>
      <c r="AE20" s="23"/>
      <c r="AF20" s="23"/>
      <c r="AG20" s="23"/>
      <c r="AH20" s="23"/>
      <c r="AI20" s="23"/>
      <c r="AJ20" s="23"/>
      <c r="AK20" s="23"/>
      <c r="AL20" s="23"/>
      <c r="AM20" s="23"/>
      <c r="AN20" s="23"/>
    </row>
    <row r="21" spans="1:40" ht="17.100000000000001" customHeight="1">
      <c r="A21" s="14" t="s">
        <v>1546</v>
      </c>
      <c r="B21" s="14"/>
      <c r="C21" s="14"/>
      <c r="D21" s="14"/>
      <c r="E21" s="14"/>
      <c r="F21" s="14"/>
      <c r="G21" s="14" t="s">
        <v>1576</v>
      </c>
      <c r="H21" s="14"/>
      <c r="I21" s="14"/>
      <c r="J21" s="14"/>
      <c r="K21" s="14"/>
      <c r="L21" s="14"/>
      <c r="M21" s="14"/>
      <c r="N21" s="14"/>
      <c r="O21" s="14"/>
      <c r="P21" s="14"/>
      <c r="Q21" s="14"/>
      <c r="R21" s="14"/>
      <c r="S21" s="14" t="s">
        <v>1577</v>
      </c>
      <c r="T21" s="14"/>
      <c r="U21" s="14"/>
      <c r="V21" s="14"/>
      <c r="W21" s="14"/>
      <c r="X21" s="14"/>
      <c r="Y21" s="14"/>
      <c r="Z21" s="23"/>
      <c r="AA21" s="23"/>
      <c r="AB21" s="23"/>
      <c r="AC21" s="23"/>
      <c r="AD21" s="23"/>
      <c r="AE21" s="23"/>
      <c r="AF21" s="23"/>
      <c r="AG21" s="23"/>
      <c r="AH21" s="23"/>
      <c r="AI21" s="23"/>
      <c r="AJ21" s="23"/>
      <c r="AK21" s="23"/>
      <c r="AL21" s="23"/>
      <c r="AM21" s="23"/>
      <c r="AN21" s="23"/>
    </row>
    <row r="22" spans="1:40" ht="17.100000000000001" customHeight="1">
      <c r="A22" s="14" t="s">
        <v>1539</v>
      </c>
      <c r="B22" s="14"/>
      <c r="C22" s="14"/>
      <c r="D22" s="14"/>
      <c r="E22" s="14"/>
      <c r="F22" s="14"/>
      <c r="G22" s="14" t="s">
        <v>1578</v>
      </c>
      <c r="H22" s="14"/>
      <c r="I22" s="14"/>
      <c r="J22" s="14"/>
      <c r="K22" s="14"/>
      <c r="L22" s="14"/>
      <c r="M22" s="14" t="s">
        <v>639</v>
      </c>
      <c r="N22" s="14"/>
      <c r="O22" s="14"/>
      <c r="P22" s="14"/>
      <c r="Q22" s="14"/>
      <c r="R22" s="14"/>
      <c r="S22" s="14" t="s">
        <v>1579</v>
      </c>
      <c r="T22" s="14"/>
      <c r="U22" s="14"/>
      <c r="V22" s="14"/>
      <c r="W22" s="14"/>
      <c r="X22" s="14"/>
      <c r="Y22" s="14" t="s">
        <v>1580</v>
      </c>
      <c r="Z22" s="23"/>
      <c r="AA22" s="23"/>
      <c r="AB22" s="23"/>
      <c r="AC22" s="23"/>
      <c r="AD22" s="23"/>
      <c r="AE22" s="23"/>
      <c r="AF22" s="23"/>
      <c r="AG22" s="23"/>
      <c r="AH22" s="23"/>
      <c r="AI22" s="23"/>
      <c r="AJ22" s="23"/>
      <c r="AK22" s="23"/>
      <c r="AL22" s="23"/>
      <c r="AM22" s="23"/>
      <c r="AN22" s="23"/>
    </row>
    <row r="23" spans="1:40" ht="17.100000000000001" customHeight="1">
      <c r="A23" s="14" t="s">
        <v>1570</v>
      </c>
      <c r="B23" s="14"/>
      <c r="C23" s="14"/>
      <c r="D23" s="14"/>
      <c r="E23" s="14"/>
      <c r="F23" s="14"/>
      <c r="G23" s="14"/>
      <c r="H23" s="14"/>
      <c r="I23" s="14"/>
      <c r="J23" s="14"/>
      <c r="K23" s="14"/>
      <c r="L23" s="14"/>
      <c r="M23" s="14" t="s">
        <v>1581</v>
      </c>
      <c r="N23" s="14"/>
      <c r="O23" s="14"/>
      <c r="P23" s="14"/>
      <c r="Q23" s="14"/>
      <c r="R23" s="14"/>
      <c r="S23" s="14"/>
      <c r="T23" s="14"/>
      <c r="U23" s="14"/>
      <c r="V23" s="14"/>
      <c r="W23" s="14"/>
      <c r="X23" s="14"/>
      <c r="Y23" s="14" t="s">
        <v>1582</v>
      </c>
      <c r="Z23" s="23"/>
      <c r="AA23" s="23"/>
      <c r="AB23" s="23"/>
      <c r="AC23" s="23"/>
      <c r="AD23" s="23"/>
      <c r="AE23" s="23"/>
      <c r="AF23" s="23"/>
      <c r="AG23" s="23"/>
      <c r="AH23" s="23"/>
      <c r="AI23" s="23"/>
      <c r="AJ23" s="23"/>
      <c r="AK23" s="23"/>
      <c r="AL23" s="23"/>
      <c r="AM23" s="23"/>
      <c r="AN23" s="23"/>
    </row>
    <row r="24" spans="1:40" ht="17.100000000000001" customHeight="1">
      <c r="A24" s="14" t="s">
        <v>1554</v>
      </c>
      <c r="B24" s="14"/>
      <c r="C24" s="14"/>
      <c r="D24" s="14"/>
      <c r="E24" s="14"/>
      <c r="F24" s="14"/>
      <c r="G24" s="14" t="s">
        <v>574</v>
      </c>
      <c r="H24" s="14"/>
      <c r="I24" s="14"/>
      <c r="J24" s="14"/>
      <c r="K24" s="14"/>
      <c r="L24" s="14"/>
      <c r="M24" s="14" t="s">
        <v>1583</v>
      </c>
      <c r="N24" s="14"/>
      <c r="O24" s="14"/>
      <c r="P24" s="14"/>
      <c r="Q24" s="14"/>
      <c r="R24" s="14"/>
      <c r="S24" s="14" t="s">
        <v>1525</v>
      </c>
      <c r="T24" s="14"/>
      <c r="U24" s="14"/>
      <c r="V24" s="14"/>
      <c r="W24" s="14"/>
      <c r="X24" s="14"/>
      <c r="Y24" s="14" t="s">
        <v>1584</v>
      </c>
      <c r="Z24" s="23"/>
      <c r="AA24" s="23"/>
      <c r="AB24" s="23"/>
      <c r="AC24" s="23"/>
      <c r="AD24" s="23"/>
      <c r="AE24" s="23"/>
      <c r="AF24" s="23"/>
      <c r="AG24" s="23"/>
      <c r="AH24" s="23"/>
      <c r="AI24" s="23"/>
      <c r="AJ24" s="23"/>
      <c r="AK24" s="23"/>
      <c r="AL24" s="23"/>
      <c r="AM24" s="23"/>
      <c r="AN24" s="23"/>
    </row>
    <row r="25" spans="1:40" ht="17.100000000000001" customHeight="1">
      <c r="A25" s="14" t="s">
        <v>1567</v>
      </c>
      <c r="B25" s="14"/>
      <c r="C25" s="14"/>
      <c r="D25" s="14"/>
      <c r="E25" s="14"/>
      <c r="F25" s="14"/>
      <c r="G25" s="14"/>
      <c r="H25" s="14"/>
      <c r="I25" s="14"/>
      <c r="J25" s="14"/>
      <c r="K25" s="14"/>
      <c r="L25" s="14"/>
      <c r="M25" s="14" t="s">
        <v>1543</v>
      </c>
      <c r="N25" s="14"/>
      <c r="O25" s="14"/>
      <c r="P25" s="14"/>
      <c r="Q25" s="14"/>
      <c r="R25" s="14"/>
      <c r="S25" s="14" t="s">
        <v>1585</v>
      </c>
      <c r="T25" s="14"/>
      <c r="U25" s="14"/>
      <c r="V25" s="14"/>
      <c r="W25" s="14"/>
      <c r="X25" s="14"/>
      <c r="Y25" s="14" t="s">
        <v>1586</v>
      </c>
      <c r="Z25" s="23"/>
      <c r="AA25" s="23"/>
      <c r="AB25" s="23"/>
      <c r="AC25" s="23"/>
      <c r="AD25" s="23"/>
      <c r="AE25" s="23"/>
      <c r="AF25" s="23"/>
      <c r="AG25" s="23"/>
      <c r="AH25" s="23"/>
      <c r="AI25" s="23"/>
      <c r="AJ25" s="23"/>
      <c r="AK25" s="23"/>
      <c r="AL25" s="23"/>
      <c r="AM25" s="23"/>
      <c r="AN25" s="23"/>
    </row>
    <row r="26" spans="1:40" ht="17.100000000000001" customHeight="1">
      <c r="A26" s="14" t="s">
        <v>1563</v>
      </c>
      <c r="B26" s="14"/>
      <c r="C26" s="14"/>
      <c r="D26" s="14"/>
      <c r="E26" s="14"/>
      <c r="F26" s="14"/>
      <c r="G26" s="14" t="s">
        <v>685</v>
      </c>
      <c r="H26" s="14"/>
      <c r="I26" s="14"/>
      <c r="J26" s="14"/>
      <c r="K26" s="14"/>
      <c r="L26" s="14"/>
      <c r="M26" s="14" t="s">
        <v>1587</v>
      </c>
      <c r="N26" s="14"/>
      <c r="O26" s="14"/>
      <c r="P26" s="14"/>
      <c r="Q26" s="14"/>
      <c r="R26" s="14"/>
      <c r="S26" s="14" t="s">
        <v>1588</v>
      </c>
      <c r="T26" s="14"/>
      <c r="U26" s="14"/>
      <c r="V26" s="14"/>
      <c r="W26" s="14"/>
      <c r="X26" s="14"/>
      <c r="Y26" s="14" t="s">
        <v>1589</v>
      </c>
      <c r="Z26" s="23"/>
      <c r="AA26" s="23"/>
      <c r="AB26" s="23"/>
      <c r="AC26" s="23"/>
      <c r="AD26" s="23"/>
      <c r="AE26" s="23"/>
      <c r="AF26" s="23"/>
      <c r="AG26" s="23"/>
      <c r="AH26" s="23"/>
      <c r="AI26" s="23"/>
      <c r="AJ26" s="23"/>
      <c r="AK26" s="23"/>
      <c r="AL26" s="23"/>
      <c r="AM26" s="23"/>
      <c r="AN26" s="23"/>
    </row>
    <row r="27" spans="1:40" ht="17.100000000000001" customHeight="1">
      <c r="A27" s="14" t="s">
        <v>1590</v>
      </c>
      <c r="B27" s="14"/>
      <c r="C27" s="14"/>
      <c r="D27" s="14"/>
      <c r="E27" s="14"/>
      <c r="F27" s="14"/>
      <c r="G27" s="14" t="s">
        <v>1591</v>
      </c>
      <c r="H27" s="14"/>
      <c r="I27" s="14"/>
      <c r="J27" s="14"/>
      <c r="K27" s="14"/>
      <c r="L27" s="14"/>
      <c r="M27" s="14" t="s">
        <v>1592</v>
      </c>
      <c r="N27" s="14"/>
      <c r="O27" s="14"/>
      <c r="P27" s="14"/>
      <c r="Q27" s="14"/>
      <c r="R27" s="14"/>
      <c r="S27" s="14"/>
      <c r="T27" s="14"/>
      <c r="U27" s="14"/>
      <c r="V27" s="14"/>
      <c r="W27" s="14"/>
      <c r="X27" s="14"/>
      <c r="Y27" s="14" t="s">
        <v>1593</v>
      </c>
      <c r="Z27" s="23"/>
      <c r="AA27" s="23"/>
      <c r="AB27" s="23"/>
      <c r="AC27" s="23"/>
      <c r="AD27" s="23"/>
      <c r="AE27" s="23"/>
      <c r="AF27" s="23"/>
      <c r="AG27" s="23"/>
      <c r="AH27" s="23"/>
      <c r="AI27" s="23"/>
      <c r="AJ27" s="23"/>
      <c r="AK27" s="23"/>
      <c r="AL27" s="23"/>
      <c r="AM27" s="23"/>
      <c r="AN27" s="23"/>
    </row>
    <row r="28" spans="1:40" ht="17.100000000000001" customHeight="1">
      <c r="A28" s="14"/>
      <c r="B28" s="14"/>
      <c r="C28" s="14"/>
      <c r="D28" s="14"/>
      <c r="E28" s="14"/>
      <c r="F28" s="14"/>
      <c r="G28" s="14" t="s">
        <v>685</v>
      </c>
      <c r="H28" s="14"/>
      <c r="I28" s="14"/>
      <c r="J28" s="14"/>
      <c r="K28" s="14"/>
      <c r="L28" s="14"/>
      <c r="M28" s="14"/>
      <c r="N28" s="14"/>
      <c r="O28" s="14"/>
      <c r="P28" s="14"/>
      <c r="Q28" s="14"/>
      <c r="R28" s="14"/>
      <c r="S28" s="14" t="s">
        <v>1525</v>
      </c>
      <c r="T28" s="14"/>
      <c r="U28" s="14"/>
      <c r="V28" s="14"/>
      <c r="W28" s="14"/>
      <c r="X28" s="14"/>
      <c r="Y28" s="14" t="s">
        <v>1594</v>
      </c>
      <c r="Z28" s="23"/>
      <c r="AA28" s="23"/>
      <c r="AB28" s="23"/>
      <c r="AC28" s="23"/>
      <c r="AD28" s="23"/>
      <c r="AE28" s="23"/>
      <c r="AF28" s="23"/>
      <c r="AG28" s="23"/>
      <c r="AH28" s="23"/>
      <c r="AI28" s="23"/>
      <c r="AJ28" s="23"/>
      <c r="AK28" s="23"/>
      <c r="AL28" s="23"/>
      <c r="AM28" s="23"/>
      <c r="AN28" s="23"/>
    </row>
    <row r="29" spans="1:40" ht="17.100000000000001" customHeight="1">
      <c r="A29" s="14" t="s">
        <v>574</v>
      </c>
      <c r="B29" s="14"/>
      <c r="C29" s="14"/>
      <c r="D29" s="14"/>
      <c r="E29" s="14"/>
      <c r="F29" s="14"/>
      <c r="G29" s="14"/>
      <c r="H29" s="14"/>
      <c r="I29" s="14"/>
      <c r="J29" s="14"/>
      <c r="K29" s="14"/>
      <c r="L29" s="14"/>
      <c r="M29" s="14" t="s">
        <v>685</v>
      </c>
      <c r="N29" s="14"/>
      <c r="O29" s="14"/>
      <c r="P29" s="14"/>
      <c r="Q29" s="14"/>
      <c r="R29" s="14"/>
      <c r="S29" s="14" t="s">
        <v>1595</v>
      </c>
      <c r="T29" s="14"/>
      <c r="U29" s="14"/>
      <c r="V29" s="14"/>
      <c r="W29" s="14"/>
      <c r="X29" s="14"/>
      <c r="Y29" s="14"/>
      <c r="Z29" s="23"/>
      <c r="AA29" s="23"/>
      <c r="AB29" s="23"/>
      <c r="AC29" s="23"/>
      <c r="AD29" s="23"/>
      <c r="AE29" s="23"/>
      <c r="AF29" s="23"/>
      <c r="AG29" s="23"/>
      <c r="AH29" s="23"/>
      <c r="AI29" s="23"/>
      <c r="AJ29" s="23"/>
      <c r="AK29" s="23"/>
      <c r="AL29" s="23"/>
      <c r="AM29" s="23"/>
      <c r="AN29" s="23"/>
    </row>
    <row r="30" spans="1:40" ht="17.100000000000001" customHeight="1">
      <c r="A30" s="14"/>
      <c r="B30" s="14"/>
      <c r="C30" s="14"/>
      <c r="D30" s="14"/>
      <c r="E30" s="14"/>
      <c r="F30" s="14"/>
      <c r="G30" s="14" t="s">
        <v>1596</v>
      </c>
      <c r="H30" s="14"/>
      <c r="I30" s="14"/>
      <c r="J30" s="14"/>
      <c r="K30" s="14"/>
      <c r="L30" s="14"/>
      <c r="M30" s="14" t="s">
        <v>1597</v>
      </c>
      <c r="N30" s="14"/>
      <c r="O30" s="14"/>
      <c r="P30" s="14"/>
      <c r="Q30" s="14"/>
      <c r="R30" s="14"/>
      <c r="S30" s="14" t="s">
        <v>1598</v>
      </c>
      <c r="T30" s="14"/>
      <c r="U30" s="14"/>
      <c r="V30" s="14"/>
      <c r="W30" s="14"/>
      <c r="X30" s="14"/>
      <c r="Y30" s="14" t="s">
        <v>1599</v>
      </c>
      <c r="Z30" s="23"/>
      <c r="AA30" s="23"/>
      <c r="AB30" s="23"/>
      <c r="AC30" s="23"/>
      <c r="AD30" s="23"/>
      <c r="AE30" s="23"/>
      <c r="AF30" s="23"/>
      <c r="AG30" s="23"/>
      <c r="AH30" s="23"/>
      <c r="AI30" s="23"/>
      <c r="AJ30" s="23"/>
      <c r="AK30" s="23"/>
      <c r="AL30" s="23"/>
      <c r="AM30" s="23"/>
      <c r="AN30" s="23"/>
    </row>
    <row r="31" spans="1:40" ht="17.100000000000001" customHeight="1">
      <c r="A31" s="14" t="s">
        <v>685</v>
      </c>
      <c r="B31" s="14"/>
      <c r="C31" s="14"/>
      <c r="D31" s="14"/>
      <c r="E31" s="14"/>
      <c r="F31" s="14"/>
      <c r="G31" s="14"/>
      <c r="H31" s="14"/>
      <c r="I31" s="14"/>
      <c r="J31" s="14"/>
      <c r="K31" s="14"/>
      <c r="L31" s="14"/>
      <c r="M31" s="14" t="s">
        <v>685</v>
      </c>
      <c r="N31" s="14"/>
      <c r="O31" s="14"/>
      <c r="P31" s="14"/>
      <c r="Q31" s="14"/>
      <c r="R31" s="14"/>
      <c r="S31" s="14"/>
      <c r="T31" s="14"/>
      <c r="U31" s="14"/>
      <c r="V31" s="14"/>
      <c r="W31" s="14"/>
      <c r="X31" s="14"/>
      <c r="Y31" s="14" t="s">
        <v>1600</v>
      </c>
      <c r="Z31" s="23"/>
      <c r="AA31" s="23"/>
      <c r="AB31" s="23"/>
      <c r="AC31" s="23"/>
      <c r="AD31" s="23"/>
      <c r="AE31" s="23"/>
      <c r="AF31" s="23"/>
      <c r="AG31" s="23"/>
      <c r="AH31" s="23"/>
      <c r="AI31" s="23"/>
      <c r="AJ31" s="23"/>
      <c r="AK31" s="23"/>
      <c r="AL31" s="23"/>
      <c r="AM31" s="23"/>
      <c r="AN31" s="23"/>
    </row>
    <row r="32" spans="1:40" ht="17.100000000000001" customHeight="1">
      <c r="A32" s="14" t="s">
        <v>1601</v>
      </c>
      <c r="B32" s="14"/>
      <c r="C32" s="14"/>
      <c r="D32" s="14"/>
      <c r="E32" s="14"/>
      <c r="F32" s="14"/>
      <c r="G32" s="14" t="s">
        <v>1602</v>
      </c>
      <c r="H32" s="14"/>
      <c r="I32" s="14"/>
      <c r="J32" s="14"/>
      <c r="K32" s="14"/>
      <c r="L32" s="14"/>
      <c r="M32" s="14"/>
      <c r="N32" s="14"/>
      <c r="O32" s="14"/>
      <c r="P32" s="14"/>
      <c r="Q32" s="14"/>
      <c r="R32" s="14"/>
      <c r="S32" s="14" t="s">
        <v>1525</v>
      </c>
      <c r="T32" s="14"/>
      <c r="U32" s="14"/>
      <c r="V32" s="14"/>
      <c r="W32" s="14"/>
      <c r="X32" s="14"/>
      <c r="Y32" s="14" t="s">
        <v>1603</v>
      </c>
      <c r="Z32" s="23"/>
      <c r="AA32" s="23"/>
      <c r="AB32" s="23"/>
      <c r="AC32" s="23"/>
      <c r="AD32" s="23"/>
      <c r="AE32" s="23"/>
      <c r="AF32" s="23"/>
      <c r="AG32" s="23"/>
      <c r="AH32" s="23"/>
      <c r="AI32" s="23"/>
      <c r="AJ32" s="23"/>
      <c r="AK32" s="23"/>
      <c r="AL32" s="23"/>
      <c r="AM32" s="23"/>
      <c r="AN32" s="23"/>
    </row>
    <row r="33" spans="1:40" ht="17.100000000000001" customHeight="1">
      <c r="A33" s="14" t="s">
        <v>685</v>
      </c>
      <c r="B33" s="14"/>
      <c r="C33" s="14"/>
      <c r="D33" s="14"/>
      <c r="E33" s="14"/>
      <c r="F33" s="14"/>
      <c r="G33" s="14"/>
      <c r="H33" s="14"/>
      <c r="I33" s="14"/>
      <c r="J33" s="14"/>
      <c r="K33" s="14"/>
      <c r="L33" s="14"/>
      <c r="M33" s="14" t="s">
        <v>580</v>
      </c>
      <c r="N33" s="14"/>
      <c r="O33" s="14"/>
      <c r="P33" s="14"/>
      <c r="Q33" s="14"/>
      <c r="R33" s="14"/>
      <c r="S33" s="14" t="s">
        <v>1604</v>
      </c>
      <c r="T33" s="14"/>
      <c r="U33" s="14"/>
      <c r="V33" s="14"/>
      <c r="W33" s="14"/>
      <c r="X33" s="14"/>
      <c r="Y33" s="14" t="s">
        <v>1605</v>
      </c>
      <c r="Z33" s="23"/>
      <c r="AA33" s="23"/>
      <c r="AB33" s="23"/>
      <c r="AC33" s="23"/>
      <c r="AD33" s="23"/>
      <c r="AE33" s="23"/>
      <c r="AF33" s="23"/>
      <c r="AG33" s="23"/>
      <c r="AH33" s="23"/>
      <c r="AI33" s="23"/>
      <c r="AJ33" s="23"/>
      <c r="AK33" s="23"/>
      <c r="AL33" s="23"/>
      <c r="AM33" s="23"/>
      <c r="AN33" s="23"/>
    </row>
    <row r="34" spans="1:40" ht="17.100000000000001" customHeight="1">
      <c r="A34" s="14"/>
      <c r="B34" s="14"/>
      <c r="C34" s="14"/>
      <c r="D34" s="14"/>
      <c r="E34" s="14"/>
      <c r="F34" s="14"/>
      <c r="G34" s="14"/>
      <c r="H34" s="14"/>
      <c r="I34" s="14"/>
      <c r="J34" s="14"/>
      <c r="K34" s="14"/>
      <c r="L34" s="14"/>
      <c r="M34" s="14" t="s">
        <v>1606</v>
      </c>
      <c r="N34" s="14"/>
      <c r="O34" s="14"/>
      <c r="P34" s="14"/>
      <c r="Q34" s="14"/>
      <c r="R34" s="14"/>
      <c r="S34" s="14" t="s">
        <v>1607</v>
      </c>
      <c r="T34" s="14"/>
      <c r="U34" s="14"/>
      <c r="V34" s="14"/>
      <c r="W34" s="14"/>
      <c r="X34" s="14"/>
      <c r="Y34" s="14"/>
      <c r="Z34" s="23"/>
      <c r="AA34" s="23"/>
      <c r="AB34" s="23"/>
      <c r="AC34" s="23"/>
      <c r="AD34" s="23"/>
      <c r="AE34" s="23"/>
      <c r="AF34" s="23"/>
      <c r="AG34" s="23"/>
      <c r="AH34" s="23"/>
      <c r="AI34" s="23"/>
      <c r="AJ34" s="23"/>
      <c r="AK34" s="23"/>
      <c r="AL34" s="23"/>
      <c r="AM34" s="23"/>
      <c r="AN34" s="23"/>
    </row>
    <row r="35" spans="1:40" ht="17.100000000000001" customHeight="1">
      <c r="A35" s="14" t="s">
        <v>1524</v>
      </c>
      <c r="B35" s="14"/>
      <c r="C35" s="14"/>
      <c r="D35" s="14"/>
      <c r="E35" s="14"/>
      <c r="F35" s="14"/>
      <c r="G35" s="14"/>
      <c r="H35" s="14"/>
      <c r="I35" s="14"/>
      <c r="J35" s="14"/>
      <c r="K35" s="14"/>
      <c r="L35" s="14"/>
      <c r="M35" s="14" t="s">
        <v>1608</v>
      </c>
      <c r="N35" s="14"/>
      <c r="O35" s="14"/>
      <c r="P35" s="14"/>
      <c r="Q35" s="14"/>
      <c r="R35" s="14"/>
      <c r="S35" s="14"/>
      <c r="T35" s="14"/>
      <c r="U35" s="14"/>
      <c r="V35" s="14"/>
      <c r="W35" s="14"/>
      <c r="X35" s="14"/>
      <c r="Y35" s="14"/>
      <c r="Z35" s="23"/>
      <c r="AA35" s="23"/>
      <c r="AB35" s="23"/>
      <c r="AC35" s="23"/>
      <c r="AD35" s="23"/>
      <c r="AE35" s="23"/>
      <c r="AF35" s="23"/>
      <c r="AG35" s="23"/>
      <c r="AH35" s="23"/>
      <c r="AI35" s="23"/>
      <c r="AJ35" s="23"/>
      <c r="AK35" s="23"/>
      <c r="AL35" s="23"/>
      <c r="AM35" s="23"/>
      <c r="AN35" s="23"/>
    </row>
    <row r="36" spans="1:40" ht="17.100000000000001" customHeight="1">
      <c r="A36" s="14"/>
      <c r="B36" s="14"/>
      <c r="C36" s="14"/>
      <c r="D36" s="14"/>
      <c r="E36" s="14"/>
      <c r="F36" s="14"/>
      <c r="G36" s="14"/>
      <c r="H36" s="14"/>
      <c r="I36" s="14"/>
      <c r="J36" s="14"/>
      <c r="K36" s="14"/>
      <c r="L36" s="14"/>
      <c r="M36" s="14" t="s">
        <v>586</v>
      </c>
      <c r="N36" s="14"/>
      <c r="O36" s="14"/>
      <c r="P36" s="14"/>
      <c r="Q36" s="14"/>
      <c r="R36" s="14"/>
      <c r="S36" s="14" t="s">
        <v>1525</v>
      </c>
      <c r="T36" s="14"/>
      <c r="U36" s="14"/>
      <c r="V36" s="14"/>
      <c r="W36" s="14"/>
      <c r="X36" s="14"/>
      <c r="Y36" s="14"/>
      <c r="Z36" s="23"/>
      <c r="AA36" s="23"/>
      <c r="AB36" s="23"/>
      <c r="AC36" s="23"/>
      <c r="AD36" s="23"/>
      <c r="AE36" s="23"/>
      <c r="AF36" s="23"/>
      <c r="AG36" s="23"/>
      <c r="AH36" s="23"/>
      <c r="AI36" s="23"/>
      <c r="AJ36" s="23"/>
      <c r="AK36" s="23"/>
      <c r="AL36" s="23"/>
      <c r="AM36" s="23"/>
      <c r="AN36" s="23"/>
    </row>
    <row r="37" spans="1:40" ht="17.100000000000001" customHeight="1">
      <c r="A37" s="14" t="s">
        <v>1529</v>
      </c>
      <c r="B37" s="14"/>
      <c r="C37" s="14"/>
      <c r="D37" s="14"/>
      <c r="E37" s="14"/>
      <c r="F37" s="14"/>
      <c r="G37" s="14"/>
      <c r="H37" s="14"/>
      <c r="I37" s="14"/>
      <c r="J37" s="14"/>
      <c r="K37" s="14"/>
      <c r="L37" s="14"/>
      <c r="M37" s="14" t="s">
        <v>588</v>
      </c>
      <c r="N37" s="14"/>
      <c r="O37" s="14"/>
      <c r="P37" s="14"/>
      <c r="Q37" s="14"/>
      <c r="R37" s="14"/>
      <c r="S37" s="14" t="s">
        <v>1609</v>
      </c>
      <c r="T37" s="14"/>
      <c r="U37" s="14"/>
      <c r="V37" s="14"/>
      <c r="W37" s="14"/>
      <c r="X37" s="14"/>
      <c r="Y37" s="14"/>
      <c r="Z37" s="23"/>
      <c r="AA37" s="23"/>
      <c r="AB37" s="23"/>
      <c r="AC37" s="23"/>
      <c r="AD37" s="23"/>
      <c r="AE37" s="23"/>
      <c r="AF37" s="23"/>
      <c r="AG37" s="23"/>
      <c r="AH37" s="23"/>
      <c r="AI37" s="23"/>
      <c r="AJ37" s="23"/>
      <c r="AK37" s="23"/>
      <c r="AL37" s="23"/>
      <c r="AM37" s="23"/>
      <c r="AN37" s="23"/>
    </row>
    <row r="38" spans="1:40" ht="17.100000000000001" customHeight="1">
      <c r="A38" s="14" t="s">
        <v>1535</v>
      </c>
      <c r="B38" s="14"/>
      <c r="C38" s="14"/>
      <c r="D38" s="14"/>
      <c r="E38" s="14"/>
      <c r="F38" s="14"/>
      <c r="G38" s="14"/>
      <c r="H38" s="14"/>
      <c r="I38" s="14"/>
      <c r="J38" s="14"/>
      <c r="K38" s="14"/>
      <c r="L38" s="14"/>
      <c r="M38" s="14" t="s">
        <v>590</v>
      </c>
      <c r="N38" s="14"/>
      <c r="O38" s="14"/>
      <c r="P38" s="14"/>
      <c r="Q38" s="14"/>
      <c r="R38" s="14"/>
      <c r="S38" s="14" t="s">
        <v>1610</v>
      </c>
      <c r="T38" s="14"/>
      <c r="U38" s="14"/>
      <c r="V38" s="14"/>
      <c r="W38" s="14"/>
      <c r="X38" s="14"/>
      <c r="Y38" s="14"/>
      <c r="Z38" s="23"/>
      <c r="AA38" s="23"/>
      <c r="AB38" s="23"/>
      <c r="AC38" s="23"/>
      <c r="AD38" s="23"/>
      <c r="AE38" s="23"/>
      <c r="AF38" s="23"/>
      <c r="AG38" s="23"/>
      <c r="AH38" s="23"/>
      <c r="AI38" s="23"/>
      <c r="AJ38" s="23"/>
      <c r="AK38" s="23"/>
      <c r="AL38" s="23"/>
      <c r="AM38" s="23"/>
      <c r="AN38" s="23"/>
    </row>
    <row r="39" spans="1:40" ht="17.100000000000001" customHeight="1">
      <c r="A39" s="14" t="s">
        <v>1539</v>
      </c>
      <c r="B39" s="14"/>
      <c r="C39" s="14"/>
      <c r="D39" s="14"/>
      <c r="E39" s="14"/>
      <c r="F39" s="14"/>
      <c r="G39" s="14"/>
      <c r="H39" s="14"/>
      <c r="I39" s="14"/>
      <c r="J39" s="14"/>
      <c r="K39" s="14"/>
      <c r="L39" s="14"/>
      <c r="M39" s="14" t="s">
        <v>592</v>
      </c>
      <c r="N39" s="14"/>
      <c r="O39" s="14"/>
      <c r="P39" s="14"/>
      <c r="Q39" s="14"/>
      <c r="R39" s="14"/>
      <c r="S39" s="14"/>
      <c r="T39" s="14"/>
      <c r="U39" s="14"/>
      <c r="V39" s="14"/>
      <c r="W39" s="14"/>
      <c r="X39" s="14"/>
      <c r="Y39" s="14"/>
      <c r="Z39" s="23"/>
      <c r="AA39" s="23"/>
      <c r="AB39" s="23"/>
      <c r="AC39" s="23"/>
      <c r="AD39" s="23"/>
      <c r="AE39" s="23"/>
      <c r="AF39" s="23"/>
      <c r="AG39" s="23"/>
      <c r="AH39" s="23"/>
      <c r="AI39" s="23"/>
      <c r="AJ39" s="23"/>
      <c r="AK39" s="23"/>
      <c r="AL39" s="23"/>
      <c r="AM39" s="23"/>
      <c r="AN39" s="23"/>
    </row>
    <row r="40" spans="1:40" ht="17.100000000000001" customHeight="1">
      <c r="A40" s="14" t="s">
        <v>1542</v>
      </c>
      <c r="B40" s="14"/>
      <c r="C40" s="14"/>
      <c r="D40" s="14"/>
      <c r="E40" s="14"/>
      <c r="F40" s="14"/>
      <c r="G40" s="14"/>
      <c r="H40" s="14"/>
      <c r="I40" s="14"/>
      <c r="J40" s="14"/>
      <c r="K40" s="14"/>
      <c r="L40" s="14"/>
      <c r="M40" s="14"/>
      <c r="N40" s="14"/>
      <c r="O40" s="14"/>
      <c r="P40" s="14"/>
      <c r="Q40" s="14"/>
      <c r="R40" s="14"/>
      <c r="S40" s="14" t="s">
        <v>1525</v>
      </c>
      <c r="T40" s="14"/>
      <c r="U40" s="14"/>
      <c r="V40" s="14"/>
      <c r="W40" s="14"/>
      <c r="X40" s="14"/>
      <c r="Y40" s="14"/>
      <c r="Z40" s="23"/>
      <c r="AA40" s="23"/>
      <c r="AB40" s="23"/>
      <c r="AC40" s="23"/>
      <c r="AD40" s="23"/>
      <c r="AE40" s="23"/>
      <c r="AF40" s="23"/>
      <c r="AG40" s="23"/>
      <c r="AH40" s="23"/>
      <c r="AI40" s="23"/>
      <c r="AJ40" s="23"/>
      <c r="AK40" s="23"/>
      <c r="AL40" s="23"/>
      <c r="AM40" s="23"/>
      <c r="AN40" s="23"/>
    </row>
    <row r="41" spans="1:40" ht="17.100000000000001" customHeight="1">
      <c r="A41" s="14" t="s">
        <v>1546</v>
      </c>
      <c r="B41" s="14"/>
      <c r="C41" s="14"/>
      <c r="D41" s="14"/>
      <c r="E41" s="14"/>
      <c r="F41" s="14"/>
      <c r="G41" s="14"/>
      <c r="H41" s="14"/>
      <c r="I41" s="14"/>
      <c r="J41" s="14"/>
      <c r="K41" s="14"/>
      <c r="L41" s="14"/>
      <c r="M41" s="14" t="s">
        <v>685</v>
      </c>
      <c r="N41" s="14"/>
      <c r="O41" s="14"/>
      <c r="P41" s="14"/>
      <c r="Q41" s="14"/>
      <c r="R41" s="14"/>
      <c r="S41" s="14" t="s">
        <v>1611</v>
      </c>
      <c r="T41" s="14"/>
      <c r="U41" s="14"/>
      <c r="V41" s="14"/>
      <c r="W41" s="14"/>
      <c r="X41" s="14"/>
      <c r="Y41" s="14"/>
      <c r="Z41" s="23"/>
      <c r="AA41" s="23"/>
      <c r="AB41" s="23"/>
      <c r="AC41" s="23"/>
      <c r="AD41" s="23"/>
      <c r="AE41" s="23"/>
      <c r="AF41" s="23"/>
      <c r="AG41" s="23"/>
      <c r="AH41" s="23"/>
      <c r="AI41" s="23"/>
      <c r="AJ41" s="23"/>
      <c r="AK41" s="23"/>
      <c r="AL41" s="23"/>
      <c r="AM41" s="23"/>
      <c r="AN41" s="23"/>
    </row>
    <row r="42" spans="1:40" ht="17.100000000000001" customHeight="1">
      <c r="A42" s="14" t="s">
        <v>1550</v>
      </c>
      <c r="B42" s="14"/>
      <c r="C42" s="14"/>
      <c r="D42" s="14"/>
      <c r="E42" s="14"/>
      <c r="F42" s="14"/>
      <c r="G42" s="14"/>
      <c r="H42" s="14"/>
      <c r="I42" s="14"/>
      <c r="J42" s="14"/>
      <c r="K42" s="14"/>
      <c r="L42" s="14"/>
      <c r="M42" s="14" t="s">
        <v>1612</v>
      </c>
      <c r="N42" s="14"/>
      <c r="O42" s="14"/>
      <c r="P42" s="14"/>
      <c r="Q42" s="14"/>
      <c r="R42" s="14"/>
      <c r="S42" s="14" t="s">
        <v>1613</v>
      </c>
      <c r="T42" s="14"/>
      <c r="U42" s="14"/>
      <c r="V42" s="14"/>
      <c r="W42" s="14"/>
      <c r="X42" s="14"/>
      <c r="Y42" s="14"/>
      <c r="Z42" s="23"/>
      <c r="AA42" s="23"/>
      <c r="AB42" s="23"/>
      <c r="AC42" s="23"/>
      <c r="AD42" s="23"/>
      <c r="AE42" s="23"/>
      <c r="AF42" s="23"/>
      <c r="AG42" s="23"/>
      <c r="AH42" s="23"/>
      <c r="AI42" s="23"/>
      <c r="AJ42" s="23"/>
      <c r="AK42" s="23"/>
      <c r="AL42" s="23"/>
      <c r="AM42" s="23"/>
      <c r="AN42" s="23"/>
    </row>
    <row r="43" spans="1:40" ht="17.100000000000001" customHeight="1">
      <c r="A43" s="14" t="s">
        <v>1554</v>
      </c>
      <c r="B43" s="14"/>
      <c r="C43" s="14"/>
      <c r="D43" s="14"/>
      <c r="E43" s="14"/>
      <c r="F43" s="14"/>
      <c r="G43" s="14"/>
      <c r="H43" s="14"/>
      <c r="I43" s="14"/>
      <c r="J43" s="14"/>
      <c r="K43" s="14"/>
      <c r="L43" s="14"/>
      <c r="M43" s="14" t="s">
        <v>685</v>
      </c>
      <c r="N43" s="14"/>
      <c r="O43" s="14"/>
      <c r="P43" s="14"/>
      <c r="Q43" s="14"/>
      <c r="R43" s="14"/>
      <c r="S43" s="14"/>
      <c r="T43" s="14"/>
      <c r="U43" s="14"/>
      <c r="V43" s="14"/>
      <c r="W43" s="14"/>
      <c r="X43" s="14"/>
      <c r="Y43" s="14"/>
      <c r="Z43" s="23"/>
      <c r="AA43" s="23"/>
      <c r="AB43" s="23"/>
      <c r="AC43" s="23"/>
      <c r="AD43" s="23"/>
      <c r="AE43" s="23"/>
      <c r="AF43" s="23"/>
      <c r="AG43" s="23"/>
      <c r="AH43" s="23"/>
      <c r="AI43" s="23"/>
      <c r="AJ43" s="23"/>
      <c r="AK43" s="23"/>
      <c r="AL43" s="23"/>
      <c r="AM43" s="23"/>
      <c r="AN43" s="23"/>
    </row>
    <row r="44" spans="1:40" ht="17.100000000000001" customHeight="1">
      <c r="A44" s="14" t="s">
        <v>1557</v>
      </c>
      <c r="B44" s="14"/>
      <c r="C44" s="14"/>
      <c r="D44" s="14"/>
      <c r="E44" s="14"/>
      <c r="F44" s="14"/>
      <c r="G44" s="14"/>
      <c r="H44" s="14"/>
      <c r="I44" s="14"/>
      <c r="J44" s="14"/>
      <c r="K44" s="14"/>
      <c r="L44" s="14"/>
      <c r="M44" s="14"/>
      <c r="N44" s="14"/>
      <c r="O44" s="14"/>
      <c r="P44" s="14"/>
      <c r="Q44" s="14"/>
      <c r="R44" s="14"/>
      <c r="S44" s="14" t="s">
        <v>1525</v>
      </c>
      <c r="T44" s="14"/>
      <c r="U44" s="14"/>
      <c r="V44" s="14"/>
      <c r="W44" s="14"/>
      <c r="X44" s="14"/>
      <c r="Y44" s="14"/>
      <c r="Z44" s="23"/>
      <c r="AA44" s="23"/>
      <c r="AB44" s="23"/>
      <c r="AC44" s="23"/>
      <c r="AD44" s="23"/>
      <c r="AE44" s="23"/>
      <c r="AF44" s="23"/>
      <c r="AG44" s="23"/>
      <c r="AH44" s="23"/>
      <c r="AI44" s="23"/>
      <c r="AJ44" s="23"/>
      <c r="AK44" s="23"/>
      <c r="AL44" s="23"/>
      <c r="AM44" s="23"/>
      <c r="AN44" s="23"/>
    </row>
    <row r="45" spans="1:40" ht="17.100000000000001" customHeight="1">
      <c r="A45" s="14" t="s">
        <v>1559</v>
      </c>
      <c r="B45" s="14"/>
      <c r="C45" s="14"/>
      <c r="D45" s="14"/>
      <c r="E45" s="14"/>
      <c r="F45" s="14"/>
      <c r="G45" s="14"/>
      <c r="H45" s="14"/>
      <c r="I45" s="14"/>
      <c r="J45" s="14"/>
      <c r="K45" s="14"/>
      <c r="L45" s="14"/>
      <c r="M45" s="14" t="s">
        <v>634</v>
      </c>
      <c r="N45" s="14"/>
      <c r="O45" s="14"/>
      <c r="P45" s="14"/>
      <c r="Q45" s="14"/>
      <c r="R45" s="14"/>
      <c r="S45" s="14" t="s">
        <v>1614</v>
      </c>
      <c r="T45" s="14"/>
      <c r="U45" s="14"/>
      <c r="V45" s="14"/>
      <c r="W45" s="14"/>
      <c r="X45" s="14"/>
      <c r="Y45" s="14"/>
      <c r="Z45" s="23"/>
      <c r="AA45" s="23"/>
      <c r="AB45" s="23"/>
      <c r="AC45" s="23"/>
      <c r="AD45" s="23"/>
      <c r="AE45" s="23"/>
      <c r="AF45" s="23"/>
      <c r="AG45" s="23"/>
      <c r="AH45" s="23"/>
      <c r="AI45" s="23"/>
      <c r="AJ45" s="23"/>
      <c r="AK45" s="23"/>
      <c r="AL45" s="23"/>
      <c r="AM45" s="23"/>
      <c r="AN45" s="23"/>
    </row>
    <row r="46" spans="1:40" ht="17.100000000000001" customHeight="1">
      <c r="A46" s="14" t="s">
        <v>1563</v>
      </c>
      <c r="B46" s="14"/>
      <c r="C46" s="14"/>
      <c r="D46" s="14"/>
      <c r="E46" s="14"/>
      <c r="F46" s="14"/>
      <c r="G46" s="14"/>
      <c r="H46" s="14"/>
      <c r="I46" s="14"/>
      <c r="J46" s="14"/>
      <c r="K46" s="14"/>
      <c r="L46" s="14"/>
      <c r="M46" s="14" t="s">
        <v>1615</v>
      </c>
      <c r="N46" s="14"/>
      <c r="O46" s="14"/>
      <c r="P46" s="14"/>
      <c r="Q46" s="14"/>
      <c r="R46" s="14"/>
      <c r="S46" s="14" t="s">
        <v>1616</v>
      </c>
      <c r="T46" s="14"/>
      <c r="U46" s="14"/>
      <c r="V46" s="14"/>
      <c r="W46" s="14"/>
      <c r="X46" s="14"/>
      <c r="Y46" s="14"/>
      <c r="Z46" s="23"/>
      <c r="AA46" s="23"/>
      <c r="AB46" s="23"/>
      <c r="AC46" s="23"/>
      <c r="AD46" s="23"/>
      <c r="AE46" s="23"/>
      <c r="AF46" s="23"/>
      <c r="AG46" s="23"/>
      <c r="AH46" s="23"/>
      <c r="AI46" s="23"/>
      <c r="AJ46" s="23"/>
      <c r="AK46" s="23"/>
      <c r="AL46" s="23"/>
      <c r="AM46" s="23"/>
      <c r="AN46" s="23"/>
    </row>
    <row r="47" spans="1:40" ht="17.100000000000001" customHeight="1">
      <c r="A47" s="14" t="s">
        <v>1567</v>
      </c>
      <c r="B47" s="14"/>
      <c r="C47" s="14"/>
      <c r="D47" s="14"/>
      <c r="E47" s="14"/>
      <c r="F47" s="14"/>
      <c r="G47" s="14"/>
      <c r="H47" s="14"/>
      <c r="I47" s="14"/>
      <c r="J47" s="14"/>
      <c r="K47" s="14"/>
      <c r="L47" s="14"/>
      <c r="M47" s="14"/>
      <c r="N47" s="14"/>
      <c r="O47" s="14"/>
      <c r="P47" s="14"/>
      <c r="Q47" s="14"/>
      <c r="R47" s="14"/>
      <c r="S47" s="14"/>
      <c r="T47" s="14"/>
      <c r="U47" s="14"/>
      <c r="V47" s="14"/>
      <c r="W47" s="14"/>
      <c r="X47" s="14"/>
      <c r="Y47" s="14"/>
      <c r="Z47" s="23"/>
      <c r="AA47" s="23"/>
      <c r="AB47" s="23"/>
      <c r="AC47" s="23"/>
      <c r="AD47" s="23"/>
      <c r="AE47" s="23"/>
      <c r="AF47" s="23"/>
      <c r="AG47" s="23"/>
      <c r="AH47" s="23"/>
      <c r="AI47" s="23"/>
      <c r="AJ47" s="23"/>
      <c r="AK47" s="23"/>
      <c r="AL47" s="23"/>
      <c r="AM47" s="23"/>
      <c r="AN47" s="23"/>
    </row>
    <row r="48" spans="1:40" ht="17.100000000000001" customHeight="1">
      <c r="A48" s="14" t="s">
        <v>1570</v>
      </c>
      <c r="B48" s="14"/>
      <c r="C48" s="14"/>
      <c r="D48" s="14"/>
      <c r="E48" s="14"/>
      <c r="F48" s="14"/>
      <c r="G48" s="14"/>
      <c r="H48" s="14"/>
      <c r="I48" s="14"/>
      <c r="J48" s="14"/>
      <c r="K48" s="14"/>
      <c r="L48" s="14"/>
      <c r="M48" s="14"/>
      <c r="N48" s="14"/>
      <c r="O48" s="14"/>
      <c r="P48" s="14"/>
      <c r="Q48" s="14"/>
      <c r="R48" s="14"/>
      <c r="S48" s="14" t="s">
        <v>1525</v>
      </c>
      <c r="T48" s="14"/>
      <c r="U48" s="14"/>
      <c r="V48" s="14"/>
      <c r="W48" s="14"/>
      <c r="X48" s="14"/>
      <c r="Y48" s="14"/>
      <c r="Z48" s="23"/>
      <c r="AA48" s="23"/>
      <c r="AB48" s="23"/>
      <c r="AC48" s="23"/>
      <c r="AD48" s="23"/>
      <c r="AE48" s="23"/>
      <c r="AF48" s="23"/>
      <c r="AG48" s="23"/>
      <c r="AH48" s="23"/>
      <c r="AI48" s="23"/>
      <c r="AJ48" s="23"/>
      <c r="AK48" s="23"/>
      <c r="AL48" s="23"/>
      <c r="AM48" s="23"/>
      <c r="AN48" s="23"/>
    </row>
    <row r="49" spans="1:40" ht="17.100000000000001" customHeight="1">
      <c r="A49" s="14" t="s">
        <v>1573</v>
      </c>
      <c r="B49" s="14"/>
      <c r="C49" s="14"/>
      <c r="D49" s="14"/>
      <c r="E49" s="14"/>
      <c r="F49" s="14"/>
      <c r="G49" s="14"/>
      <c r="H49" s="14"/>
      <c r="I49" s="14"/>
      <c r="J49" s="14"/>
      <c r="K49" s="14"/>
      <c r="L49" s="14"/>
      <c r="M49" s="14"/>
      <c r="N49" s="14"/>
      <c r="O49" s="14"/>
      <c r="P49" s="14"/>
      <c r="Q49" s="14"/>
      <c r="R49" s="14"/>
      <c r="S49" s="14" t="s">
        <v>1617</v>
      </c>
      <c r="T49" s="14"/>
      <c r="U49" s="14"/>
      <c r="V49" s="14"/>
      <c r="W49" s="14"/>
      <c r="X49" s="14"/>
      <c r="Y49" s="14"/>
      <c r="Z49" s="23"/>
      <c r="AA49" s="23"/>
      <c r="AB49" s="23"/>
      <c r="AC49" s="23"/>
      <c r="AD49" s="23"/>
      <c r="AE49" s="23"/>
      <c r="AF49" s="23"/>
      <c r="AG49" s="23"/>
      <c r="AH49" s="23"/>
      <c r="AI49" s="23"/>
      <c r="AJ49" s="23"/>
      <c r="AK49" s="23"/>
      <c r="AL49" s="23"/>
      <c r="AM49" s="23"/>
      <c r="AN49" s="23"/>
    </row>
    <row r="50" spans="1:40" ht="17.100000000000001" customHeight="1">
      <c r="A50" s="14" t="s">
        <v>1576</v>
      </c>
      <c r="B50" s="14"/>
      <c r="C50" s="14"/>
      <c r="D50" s="14"/>
      <c r="E50" s="14"/>
      <c r="F50" s="14"/>
      <c r="G50" s="14"/>
      <c r="H50" s="14"/>
      <c r="I50" s="14"/>
      <c r="J50" s="14"/>
      <c r="K50" s="14"/>
      <c r="L50" s="14"/>
      <c r="M50" s="14"/>
      <c r="N50" s="14"/>
      <c r="O50" s="14"/>
      <c r="P50" s="14"/>
      <c r="Q50" s="14"/>
      <c r="R50" s="14"/>
      <c r="S50" s="14" t="s">
        <v>1618</v>
      </c>
      <c r="T50" s="14"/>
      <c r="U50" s="14"/>
      <c r="V50" s="14"/>
      <c r="W50" s="14"/>
      <c r="X50" s="14"/>
      <c r="Y50" s="14"/>
      <c r="Z50" s="23"/>
      <c r="AA50" s="23"/>
      <c r="AB50" s="23"/>
      <c r="AC50" s="23"/>
      <c r="AD50" s="23"/>
      <c r="AE50" s="23"/>
      <c r="AF50" s="23"/>
      <c r="AG50" s="23"/>
      <c r="AH50" s="23"/>
      <c r="AI50" s="23"/>
      <c r="AJ50" s="23"/>
      <c r="AK50" s="23"/>
      <c r="AL50" s="23"/>
      <c r="AM50" s="23"/>
      <c r="AN50" s="23"/>
    </row>
    <row r="51" spans="1:40" ht="17.100000000000001" customHeight="1">
      <c r="A51" s="14" t="s">
        <v>1578</v>
      </c>
      <c r="B51" s="14"/>
      <c r="C51" s="14"/>
      <c r="D51" s="14"/>
      <c r="E51" s="14"/>
      <c r="F51" s="14"/>
      <c r="G51" s="14"/>
      <c r="H51" s="14"/>
      <c r="I51" s="14"/>
      <c r="J51" s="14"/>
      <c r="K51" s="14"/>
      <c r="L51" s="14"/>
      <c r="M51" s="14"/>
      <c r="N51" s="14"/>
      <c r="O51" s="14"/>
      <c r="P51" s="14"/>
      <c r="Q51" s="14"/>
      <c r="R51" s="14"/>
      <c r="S51" s="14"/>
      <c r="T51" s="14"/>
      <c r="U51" s="14"/>
      <c r="V51" s="14"/>
      <c r="W51" s="14"/>
      <c r="X51" s="14"/>
      <c r="Y51" s="14"/>
      <c r="Z51" s="23"/>
      <c r="AA51" s="23"/>
      <c r="AB51" s="23"/>
      <c r="AC51" s="23"/>
      <c r="AD51" s="23"/>
      <c r="AE51" s="23"/>
      <c r="AF51" s="23"/>
      <c r="AG51" s="23"/>
      <c r="AH51" s="23"/>
      <c r="AI51" s="23"/>
      <c r="AJ51" s="23"/>
      <c r="AK51" s="23"/>
      <c r="AL51" s="23"/>
      <c r="AM51" s="23"/>
      <c r="AN51" s="23"/>
    </row>
    <row r="52" spans="1:40" ht="17.100000000000001" customHeight="1">
      <c r="A52" s="14"/>
      <c r="B52" s="14"/>
      <c r="C52" s="14"/>
      <c r="D52" s="14"/>
      <c r="E52" s="14"/>
      <c r="F52" s="14"/>
      <c r="G52" s="14"/>
      <c r="H52" s="14"/>
      <c r="I52" s="14"/>
      <c r="J52" s="14"/>
      <c r="K52" s="14"/>
      <c r="L52" s="14"/>
      <c r="M52" s="14"/>
      <c r="N52" s="14"/>
      <c r="O52" s="14"/>
      <c r="P52" s="14"/>
      <c r="Q52" s="14"/>
      <c r="R52" s="14"/>
      <c r="S52" s="14" t="s">
        <v>1619</v>
      </c>
      <c r="T52" s="14"/>
      <c r="U52" s="14"/>
      <c r="V52" s="14"/>
      <c r="W52" s="14"/>
      <c r="X52" s="14"/>
      <c r="Y52" s="14"/>
      <c r="Z52" s="23"/>
      <c r="AA52" s="23"/>
      <c r="AB52" s="23"/>
      <c r="AC52" s="23"/>
      <c r="AD52" s="23"/>
      <c r="AE52" s="23"/>
      <c r="AF52" s="23"/>
      <c r="AG52" s="23"/>
      <c r="AH52" s="23"/>
      <c r="AI52" s="23"/>
      <c r="AJ52" s="23"/>
      <c r="AK52" s="23"/>
      <c r="AL52" s="23"/>
      <c r="AM52" s="23"/>
      <c r="AN52" s="23"/>
    </row>
    <row r="53" spans="1:40" ht="17.100000000000001" customHeight="1">
      <c r="A53" s="14"/>
      <c r="B53" s="14"/>
      <c r="C53" s="14"/>
      <c r="D53" s="14"/>
      <c r="E53" s="14"/>
      <c r="F53" s="14"/>
      <c r="G53" s="14"/>
      <c r="H53" s="14"/>
      <c r="I53" s="14"/>
      <c r="J53" s="14"/>
      <c r="K53" s="14"/>
      <c r="L53" s="14"/>
      <c r="M53" s="14"/>
      <c r="N53" s="14"/>
      <c r="O53" s="14"/>
      <c r="P53" s="14"/>
      <c r="Q53" s="14"/>
      <c r="R53" s="14"/>
      <c r="S53" s="14" t="s">
        <v>1620</v>
      </c>
      <c r="T53" s="14"/>
      <c r="U53" s="14"/>
      <c r="V53" s="14"/>
      <c r="W53" s="14"/>
      <c r="X53" s="14"/>
      <c r="Y53" s="14"/>
      <c r="Z53" s="23"/>
      <c r="AA53" s="23"/>
      <c r="AB53" s="23"/>
      <c r="AC53" s="23"/>
      <c r="AD53" s="23"/>
      <c r="AE53" s="23"/>
      <c r="AF53" s="23"/>
      <c r="AG53" s="23"/>
      <c r="AH53" s="23"/>
      <c r="AI53" s="23"/>
      <c r="AJ53" s="23"/>
      <c r="AK53" s="23"/>
      <c r="AL53" s="23"/>
      <c r="AM53" s="23"/>
      <c r="AN53" s="23"/>
    </row>
    <row r="54" spans="1:40" ht="17.100000000000001" customHeight="1">
      <c r="A54" s="14"/>
      <c r="B54" s="14"/>
      <c r="C54" s="14"/>
      <c r="D54" s="14"/>
      <c r="E54" s="14"/>
      <c r="F54" s="14"/>
      <c r="G54" s="14"/>
      <c r="H54" s="14"/>
      <c r="I54" s="14"/>
      <c r="J54" s="14"/>
      <c r="K54" s="14"/>
      <c r="L54" s="14"/>
      <c r="M54" s="14"/>
      <c r="N54" s="14"/>
      <c r="O54" s="14"/>
      <c r="P54" s="14"/>
      <c r="Q54" s="14"/>
      <c r="R54" s="14"/>
      <c r="S54" s="14" t="s">
        <v>1621</v>
      </c>
      <c r="T54" s="14"/>
      <c r="U54" s="14"/>
      <c r="V54" s="14"/>
      <c r="W54" s="14"/>
      <c r="X54" s="14"/>
      <c r="Y54" s="14"/>
      <c r="Z54" s="23"/>
      <c r="AA54" s="23"/>
      <c r="AB54" s="23"/>
      <c r="AC54" s="23"/>
      <c r="AD54" s="23"/>
      <c r="AE54" s="23"/>
      <c r="AF54" s="23"/>
      <c r="AG54" s="23"/>
      <c r="AH54" s="23"/>
      <c r="AI54" s="23"/>
      <c r="AJ54" s="23"/>
      <c r="AK54" s="23"/>
      <c r="AL54" s="23"/>
      <c r="AM54" s="23"/>
      <c r="AN54" s="23"/>
    </row>
    <row r="55" spans="1:40" ht="17.100000000000001" customHeight="1">
      <c r="A55" s="16" t="s">
        <v>1622</v>
      </c>
      <c r="B55" s="14"/>
      <c r="C55" s="14"/>
      <c r="D55" s="14"/>
      <c r="E55" s="14"/>
      <c r="F55" s="14"/>
      <c r="G55" s="14"/>
      <c r="H55" s="14"/>
      <c r="I55" s="14"/>
      <c r="J55" s="14"/>
      <c r="K55" s="14"/>
      <c r="L55" s="14"/>
      <c r="M55" s="14"/>
      <c r="N55" s="14"/>
      <c r="O55" s="14"/>
      <c r="P55" s="14"/>
      <c r="Q55" s="14"/>
      <c r="R55" s="14"/>
      <c r="S55" s="14"/>
      <c r="T55" s="14"/>
      <c r="U55" s="14"/>
      <c r="V55" s="14"/>
      <c r="W55" s="14"/>
      <c r="X55" s="14"/>
      <c r="Y55" s="14"/>
      <c r="Z55" s="23"/>
      <c r="AA55" s="23"/>
      <c r="AB55" s="23"/>
      <c r="AC55" s="23"/>
      <c r="AD55" s="23"/>
      <c r="AE55" s="23"/>
      <c r="AF55" s="23"/>
      <c r="AG55" s="23"/>
      <c r="AH55" s="23"/>
      <c r="AI55" s="23"/>
      <c r="AJ55" s="23"/>
      <c r="AK55" s="23"/>
      <c r="AL55" s="23"/>
      <c r="AM55" s="23"/>
      <c r="AN55" s="23"/>
    </row>
    <row r="56" spans="1:40" ht="17.100000000000001" customHeight="1">
      <c r="A56" s="15" t="s">
        <v>1623</v>
      </c>
      <c r="B56" s="14"/>
      <c r="C56" s="14"/>
      <c r="D56" s="14"/>
      <c r="E56" s="14"/>
      <c r="F56" s="14"/>
      <c r="G56" s="14"/>
      <c r="H56" s="14"/>
      <c r="I56" s="14"/>
      <c r="J56" s="14"/>
      <c r="K56" s="14"/>
      <c r="L56" s="14"/>
      <c r="M56" s="14"/>
      <c r="N56" s="14"/>
      <c r="O56" s="14"/>
      <c r="P56" s="14"/>
      <c r="Q56" s="14"/>
      <c r="R56" s="14"/>
      <c r="S56" s="14"/>
      <c r="T56" s="14"/>
      <c r="U56" s="14"/>
      <c r="V56" s="14"/>
      <c r="W56" s="14"/>
      <c r="X56" s="14"/>
      <c r="Y56" s="14"/>
      <c r="Z56" s="23"/>
      <c r="AA56" s="23"/>
      <c r="AB56" s="23"/>
      <c r="AC56" s="23"/>
      <c r="AD56" s="23"/>
      <c r="AE56" s="23"/>
      <c r="AF56" s="23"/>
      <c r="AG56" s="23"/>
      <c r="AH56" s="23"/>
      <c r="AI56" s="23"/>
      <c r="AJ56" s="23"/>
      <c r="AK56" s="23"/>
      <c r="AL56" s="23"/>
      <c r="AM56" s="23"/>
      <c r="AN56" s="23"/>
    </row>
    <row r="57" spans="1:40" ht="17.100000000000001" customHeight="1">
      <c r="A57" s="15" t="s">
        <v>1624</v>
      </c>
      <c r="B57" s="14"/>
      <c r="C57" s="14"/>
      <c r="D57" s="14"/>
      <c r="E57" s="14"/>
      <c r="F57" s="14"/>
      <c r="G57" s="14"/>
      <c r="H57" s="14"/>
      <c r="I57" s="14"/>
      <c r="J57" s="14"/>
      <c r="K57" s="14"/>
      <c r="L57" s="14"/>
      <c r="M57" s="14"/>
      <c r="N57" s="14"/>
      <c r="O57" s="14"/>
      <c r="P57" s="14"/>
      <c r="Q57" s="14"/>
      <c r="R57" s="14"/>
      <c r="S57" s="14"/>
      <c r="T57" s="14"/>
      <c r="U57" s="14"/>
      <c r="V57" s="14"/>
      <c r="W57" s="14"/>
      <c r="X57" s="14"/>
      <c r="Y57" s="14"/>
      <c r="Z57" s="23"/>
      <c r="AA57" s="23"/>
      <c r="AB57" s="23"/>
      <c r="AC57" s="23"/>
      <c r="AD57" s="23"/>
      <c r="AE57" s="23"/>
      <c r="AF57" s="23"/>
      <c r="AG57" s="23"/>
      <c r="AH57" s="23"/>
      <c r="AI57" s="23"/>
      <c r="AJ57" s="23"/>
      <c r="AK57" s="23"/>
      <c r="AL57" s="23"/>
      <c r="AM57" s="23"/>
      <c r="AN57" s="23"/>
    </row>
    <row r="58" spans="1:40" ht="17.100000000000001" customHeight="1">
      <c r="A58" s="15" t="s">
        <v>1625</v>
      </c>
      <c r="B58" s="14"/>
      <c r="C58" s="14"/>
      <c r="D58" s="14"/>
      <c r="E58" s="14"/>
      <c r="F58" s="14"/>
      <c r="G58" s="14"/>
      <c r="H58" s="14"/>
      <c r="I58" s="14"/>
      <c r="J58" s="14"/>
      <c r="K58" s="14"/>
      <c r="L58" s="14"/>
      <c r="M58" s="14"/>
      <c r="N58" s="14"/>
      <c r="O58" s="14"/>
      <c r="P58" s="14"/>
      <c r="Q58" s="14"/>
      <c r="R58" s="14"/>
      <c r="S58" s="14"/>
      <c r="T58" s="14"/>
      <c r="U58" s="14"/>
      <c r="V58" s="14"/>
      <c r="W58" s="14"/>
      <c r="X58" s="14"/>
      <c r="Y58" s="14"/>
      <c r="Z58" s="23"/>
      <c r="AA58" s="23"/>
      <c r="AB58" s="23"/>
      <c r="AC58" s="23"/>
      <c r="AD58" s="23"/>
      <c r="AE58" s="23"/>
      <c r="AF58" s="23"/>
      <c r="AG58" s="23"/>
      <c r="AH58" s="23"/>
      <c r="AI58" s="23"/>
      <c r="AJ58" s="23"/>
      <c r="AK58" s="23"/>
      <c r="AL58" s="23"/>
      <c r="AM58" s="23"/>
      <c r="AN58" s="23"/>
    </row>
    <row r="59" spans="1:40" ht="17.100000000000001" customHeight="1">
      <c r="A59" s="15" t="s">
        <v>1626</v>
      </c>
      <c r="B59" s="14"/>
      <c r="C59" s="14"/>
      <c r="D59" s="14"/>
      <c r="E59" s="14"/>
      <c r="F59" s="14"/>
      <c r="G59" s="14"/>
      <c r="H59" s="14"/>
      <c r="I59" s="14"/>
      <c r="J59" s="14"/>
      <c r="K59" s="14"/>
      <c r="L59" s="14"/>
      <c r="M59" s="14"/>
      <c r="N59" s="14"/>
      <c r="O59" s="14"/>
      <c r="P59" s="14"/>
      <c r="Q59" s="14"/>
      <c r="R59" s="14"/>
      <c r="S59" s="14"/>
      <c r="T59" s="14"/>
      <c r="U59" s="14"/>
      <c r="V59" s="14"/>
      <c r="W59" s="14"/>
      <c r="X59" s="14"/>
      <c r="Y59" s="14"/>
      <c r="Z59" s="23"/>
      <c r="AA59" s="23"/>
      <c r="AB59" s="23"/>
      <c r="AC59" s="23"/>
      <c r="AD59" s="23"/>
      <c r="AE59" s="23"/>
      <c r="AF59" s="23"/>
      <c r="AG59" s="23"/>
      <c r="AH59" s="23"/>
      <c r="AI59" s="23"/>
      <c r="AJ59" s="23"/>
      <c r="AK59" s="23"/>
      <c r="AL59" s="23"/>
      <c r="AM59" s="23"/>
      <c r="AN59" s="23"/>
    </row>
    <row r="60" spans="1:40" ht="17.100000000000001" customHeight="1">
      <c r="A60" s="15" t="s">
        <v>1627</v>
      </c>
      <c r="B60" s="14"/>
      <c r="C60" s="14"/>
      <c r="D60" s="14"/>
      <c r="E60" s="14"/>
      <c r="F60" s="14"/>
      <c r="G60" s="14"/>
      <c r="H60" s="14"/>
      <c r="I60" s="14"/>
      <c r="J60" s="14"/>
      <c r="K60" s="14"/>
      <c r="L60" s="14"/>
      <c r="M60" s="14"/>
      <c r="N60" s="14"/>
      <c r="O60" s="14"/>
      <c r="P60" s="14"/>
      <c r="Q60" s="14"/>
      <c r="R60" s="14"/>
      <c r="S60" s="14"/>
      <c r="T60" s="14"/>
      <c r="U60" s="14"/>
      <c r="V60" s="14"/>
      <c r="W60" s="14"/>
      <c r="X60" s="14"/>
      <c r="Y60" s="14"/>
      <c r="Z60" s="23"/>
      <c r="AA60" s="23"/>
      <c r="AB60" s="23"/>
      <c r="AC60" s="23"/>
      <c r="AD60" s="23"/>
      <c r="AE60" s="23"/>
      <c r="AF60" s="23"/>
      <c r="AG60" s="23"/>
      <c r="AH60" s="23"/>
      <c r="AI60" s="23"/>
      <c r="AJ60" s="23"/>
      <c r="AK60" s="23"/>
      <c r="AL60" s="23"/>
      <c r="AM60" s="23"/>
      <c r="AN60" s="23"/>
    </row>
    <row r="61" spans="1:40" ht="17.100000000000001" customHeight="1">
      <c r="A61" s="15" t="s">
        <v>1628</v>
      </c>
      <c r="B61" s="14"/>
      <c r="C61" s="14"/>
      <c r="D61" s="14"/>
      <c r="E61" s="14"/>
      <c r="F61" s="14"/>
      <c r="G61" s="14"/>
      <c r="H61" s="14"/>
      <c r="I61" s="14"/>
      <c r="J61" s="14"/>
      <c r="K61" s="14"/>
      <c r="L61" s="14"/>
      <c r="M61" s="14"/>
      <c r="N61" s="14"/>
      <c r="O61" s="14"/>
      <c r="P61" s="14"/>
      <c r="Q61" s="14"/>
      <c r="R61" s="14"/>
      <c r="S61" s="14"/>
      <c r="T61" s="14"/>
      <c r="U61" s="14"/>
      <c r="V61" s="14"/>
      <c r="W61" s="14"/>
      <c r="X61" s="14"/>
      <c r="Y61" s="14"/>
      <c r="Z61" s="23"/>
      <c r="AA61" s="23"/>
      <c r="AB61" s="23"/>
      <c r="AC61" s="23"/>
      <c r="AD61" s="23"/>
      <c r="AE61" s="23"/>
      <c r="AF61" s="23"/>
      <c r="AG61" s="23"/>
      <c r="AH61" s="23"/>
      <c r="AI61" s="23"/>
      <c r="AJ61" s="23"/>
      <c r="AK61" s="23"/>
      <c r="AL61" s="23"/>
      <c r="AM61" s="23"/>
      <c r="AN61" s="23"/>
    </row>
    <row r="62" spans="1:40" ht="17.100000000000001" customHeight="1">
      <c r="A62" s="15" t="s">
        <v>1629</v>
      </c>
      <c r="B62" s="14"/>
      <c r="C62" s="14"/>
      <c r="D62" s="14"/>
      <c r="E62" s="14"/>
      <c r="F62" s="14"/>
      <c r="G62" s="14"/>
      <c r="H62" s="14"/>
      <c r="I62" s="14"/>
      <c r="J62" s="14"/>
      <c r="K62" s="14"/>
      <c r="L62" s="14"/>
      <c r="M62" s="14"/>
      <c r="N62" s="14"/>
      <c r="O62" s="14"/>
      <c r="P62" s="14"/>
      <c r="Q62" s="14"/>
      <c r="R62" s="14"/>
      <c r="S62" s="14"/>
      <c r="T62" s="14"/>
      <c r="U62" s="14"/>
      <c r="V62" s="14"/>
      <c r="W62" s="14"/>
      <c r="X62" s="14"/>
      <c r="Y62" s="14"/>
      <c r="Z62" s="23"/>
      <c r="AA62" s="23"/>
      <c r="AB62" s="23"/>
      <c r="AC62" s="23"/>
      <c r="AD62" s="23"/>
      <c r="AE62" s="23"/>
      <c r="AF62" s="23"/>
      <c r="AG62" s="23"/>
      <c r="AH62" s="23"/>
      <c r="AI62" s="23"/>
      <c r="AJ62" s="23"/>
      <c r="AK62" s="23"/>
      <c r="AL62" s="23"/>
      <c r="AM62" s="23"/>
      <c r="AN62" s="23"/>
    </row>
    <row r="63" spans="1:40" ht="17.100000000000001" customHeight="1">
      <c r="A63" s="15" t="s">
        <v>1630</v>
      </c>
      <c r="B63" s="14"/>
      <c r="C63" s="14"/>
      <c r="D63" s="14"/>
      <c r="E63" s="14"/>
      <c r="F63" s="14"/>
      <c r="G63" s="14"/>
      <c r="H63" s="14"/>
      <c r="I63" s="14"/>
      <c r="J63" s="14"/>
      <c r="K63" s="14"/>
      <c r="L63" s="14"/>
      <c r="M63" s="14"/>
      <c r="N63" s="14"/>
      <c r="O63" s="14"/>
      <c r="P63" s="14"/>
      <c r="Q63" s="14"/>
      <c r="R63" s="14"/>
      <c r="S63" s="14"/>
      <c r="T63" s="14"/>
      <c r="U63" s="14"/>
      <c r="V63" s="14"/>
      <c r="W63" s="14"/>
      <c r="X63" s="14"/>
      <c r="Y63" s="14"/>
      <c r="Z63" s="23"/>
      <c r="AA63" s="23"/>
      <c r="AB63" s="23"/>
      <c r="AC63" s="23"/>
      <c r="AD63" s="23"/>
      <c r="AE63" s="23"/>
      <c r="AF63" s="23"/>
      <c r="AG63" s="23"/>
      <c r="AH63" s="23"/>
      <c r="AI63" s="23"/>
      <c r="AJ63" s="23"/>
      <c r="AK63" s="23"/>
      <c r="AL63" s="23"/>
      <c r="AM63" s="23"/>
      <c r="AN63" s="23"/>
    </row>
    <row r="64" spans="1:40">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row>
    <row r="65" spans="1:40">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row>
    <row r="66" spans="1:40">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row>
    <row r="67" spans="1:40">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row>
    <row r="68" spans="1:40">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row>
    <row r="69" spans="1:40">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row>
    <row r="70" spans="1:4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row>
    <row r="71" spans="1:40">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row>
    <row r="72" spans="1:40">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row>
    <row r="73" spans="1:40">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row>
    <row r="74" spans="1:40">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row>
    <row r="75" spans="1:40">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row>
    <row r="76" spans="1:40">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row>
    <row r="77" spans="1:40">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row>
    <row r="78" spans="1:40">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row>
    <row r="79" spans="1:40">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row>
    <row r="80" spans="1:4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row>
    <row r="81" spans="1:40">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row>
    <row r="82" spans="1:40">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row>
    <row r="83" spans="1:40">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row>
    <row r="84" spans="1:40">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row>
    <row r="85" spans="1:40">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row>
    <row r="86" spans="1:40">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row>
    <row r="87" spans="1:40">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row>
    <row r="88" spans="1:40">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row>
    <row r="89" spans="1:40">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row>
    <row r="90" spans="1:4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row>
    <row r="91" spans="1:40">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row>
    <row r="92" spans="1:40">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row>
    <row r="93" spans="1:40">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row>
    <row r="94" spans="1:40">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row>
    <row r="95" spans="1:40">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row>
    <row r="96" spans="1:40">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row>
    <row r="97" spans="1:40">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row>
    <row r="98" spans="1:40">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row>
    <row r="99" spans="1:40">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row>
    <row r="100" spans="1:4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row>
    <row r="101" spans="1:40">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row>
    <row r="102" spans="1:40">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row>
    <row r="103" spans="1:40">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row>
    <row r="104" spans="1:40">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row>
    <row r="105" spans="1:40">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row>
    <row r="106" spans="1:40">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row>
    <row r="107" spans="1:40">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row>
    <row r="108" spans="1:40">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row>
    <row r="109" spans="1:40">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row>
    <row r="110" spans="1:4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row>
    <row r="111" spans="1:40">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row>
    <row r="112" spans="1:40">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row>
    <row r="113" spans="1:40">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row>
    <row r="114" spans="1:40">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row>
    <row r="115" spans="1:40">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row>
    <row r="116" spans="1:40">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row>
    <row r="117" spans="1:40">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row>
    <row r="118" spans="1:40">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row>
    <row r="119" spans="1:40">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row>
    <row r="120" spans="1:4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row>
    <row r="121" spans="1:40">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row>
    <row r="122" spans="1:40">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row>
    <row r="123" spans="1:40">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row>
    <row r="124" spans="1:40">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row>
    <row r="125" spans="1:40">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row>
    <row r="126" spans="1:40">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row>
    <row r="127" spans="1:40">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row>
    <row r="128" spans="1:40">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row>
    <row r="129" spans="1:40">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row>
    <row r="130" spans="1:4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row>
    <row r="131" spans="1:40">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row>
    <row r="132" spans="1:40">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row>
    <row r="133" spans="1:40">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row>
    <row r="134" spans="1:40">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row>
    <row r="135" spans="1:40">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row>
    <row r="136" spans="1:40">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row>
    <row r="137" spans="1:40">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row>
    <row r="138" spans="1:40">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row>
    <row r="139" spans="1:40">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row>
    <row r="140" spans="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row>
    <row r="141" spans="1:40">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row>
    <row r="142" spans="1:40">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row>
    <row r="143" spans="1:40">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row>
    <row r="144" spans="1:40">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row>
    <row r="145" spans="1:40">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row>
    <row r="146" spans="1:40">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row>
    <row r="147" spans="1:40">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row>
    <row r="148" spans="1:40">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row>
    <row r="149" spans="1:40">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row>
    <row r="150" spans="1:4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row>
    <row r="151" spans="1:40">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row>
    <row r="152" spans="1:40">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row>
    <row r="153" spans="1:40">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row>
    <row r="154" spans="1:40">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row>
    <row r="155" spans="1:40">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row>
    <row r="156" spans="1:40">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row>
    <row r="157" spans="1:40">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row>
    <row r="158" spans="1:40">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row>
    <row r="159" spans="1:40">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row>
    <row r="160" spans="1:4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row>
    <row r="161" spans="1:40">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row>
    <row r="162" spans="1:40">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row>
    <row r="163" spans="1:40">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row>
    <row r="164" spans="1:40">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row>
    <row r="165" spans="1:40">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row>
    <row r="166" spans="1:40">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row>
    <row r="167" spans="1:40">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row>
    <row r="168" spans="1:40">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row>
    <row r="169" spans="1:40">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row>
    <row r="170" spans="1:4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row>
    <row r="171" spans="1:40">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row>
    <row r="172" spans="1:40">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row>
    <row r="173" spans="1:40">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row>
    <row r="174" spans="1:40">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row>
    <row r="175" spans="1:40">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row>
    <row r="176" spans="1:40">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row>
    <row r="177" spans="1:40">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row>
    <row r="178" spans="1:40">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row>
    <row r="179" spans="1:40">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row>
    <row r="180" spans="1:4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row>
    <row r="181" spans="1:40">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row>
    <row r="182" spans="1:40">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row>
    <row r="183" spans="1:40">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row>
    <row r="184" spans="1:40">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row>
    <row r="185" spans="1:40">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row>
    <row r="186" spans="1:40">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row>
    <row r="187" spans="1:40">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row>
    <row r="188" spans="1:40">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row>
    <row r="189" spans="1:40">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row>
    <row r="190" spans="1:4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row>
    <row r="191" spans="1:40">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row>
    <row r="192" spans="1:40">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row>
    <row r="193" spans="1:40">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row>
    <row r="194" spans="1:40">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row>
    <row r="195" spans="1:40">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row>
    <row r="196" spans="1:40">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row>
    <row r="197" spans="1:40">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row>
    <row r="198" spans="1:40">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row>
    <row r="199" spans="1:40">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row>
    <row r="200" spans="1:4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row>
    <row r="201" spans="1:40">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row>
    <row r="202" spans="1:40">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row>
    <row r="203" spans="1:40">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row>
    <row r="204" spans="1:40">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row>
    <row r="205" spans="1:40">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row>
    <row r="206" spans="1:40">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row>
    <row r="207" spans="1:40">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row>
    <row r="208" spans="1:40">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row>
    <row r="209" spans="1:40">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row>
    <row r="210" spans="1:4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row>
    <row r="211" spans="1:40">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row>
    <row r="212" spans="1:40">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row>
    <row r="213" spans="1:40">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row>
    <row r="214" spans="1:40">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row>
    <row r="215" spans="1:40">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row>
    <row r="216" spans="1:40">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row>
    <row r="217" spans="1:40">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row>
    <row r="218" spans="1:40">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row>
    <row r="219" spans="1:40">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row>
    <row r="220" spans="1:4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row>
    <row r="221" spans="1:40">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row>
    <row r="222" spans="1:40">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row>
    <row r="223" spans="1:40">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row>
    <row r="224" spans="1:40">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row>
    <row r="225" spans="1:40">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row>
    <row r="226" spans="1:40">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row>
    <row r="227" spans="1:40">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row>
    <row r="228" spans="1:40">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row>
    <row r="229" spans="1:40">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row>
    <row r="230" spans="1:4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row>
    <row r="231" spans="1:40">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row>
    <row r="232" spans="1:40">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row>
    <row r="233" spans="1:40">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row>
    <row r="234" spans="1:40">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row>
    <row r="235" spans="1:40">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row>
    <row r="236" spans="1:40">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row>
    <row r="237" spans="1:40">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row>
    <row r="238" spans="1:40">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row>
    <row r="239" spans="1:40">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row>
    <row r="240" spans="1: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row>
    <row r="241" spans="1:40">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row>
    <row r="242" spans="1:40">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row>
    <row r="243" spans="1:40">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row>
    <row r="244" spans="1:40">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row>
    <row r="245" spans="1:40">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row>
    <row r="246" spans="1:40">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row>
    <row r="247" spans="1:40">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row>
    <row r="248" spans="1:40">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row>
    <row r="249" spans="1:40">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row>
    <row r="250" spans="1:4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row>
    <row r="251" spans="1:40">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row>
    <row r="252" spans="1:40">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row>
    <row r="253" spans="1:40">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row>
    <row r="254" spans="1:40">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row>
    <row r="255" spans="1:40">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row>
    <row r="256" spans="1:40">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row>
    <row r="257" spans="1:40">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row>
    <row r="258" spans="1:40">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row>
    <row r="259" spans="1:40">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row>
    <row r="260" spans="1:4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row>
    <row r="261" spans="1:40">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row>
    <row r="262" spans="1:40">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row>
    <row r="263" spans="1:40">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row>
    <row r="264" spans="1:40">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row>
    <row r="265" spans="1:40">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row>
    <row r="266" spans="1:40">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row>
    <row r="267" spans="1:40">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row>
    <row r="268" spans="1:40">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row>
    <row r="269" spans="1:40">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row>
    <row r="270" spans="1:4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row>
    <row r="271" spans="1:40">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row>
    <row r="272" spans="1:40">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row>
    <row r="273" spans="1:40">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row>
    <row r="274" spans="1:40">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row>
    <row r="275" spans="1:40">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row>
    <row r="276" spans="1:40">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row>
    <row r="277" spans="1:40">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row>
    <row r="278" spans="1:40">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row>
    <row r="279" spans="1:40">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row>
    <row r="280" spans="1:4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row>
    <row r="281" spans="1:40">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row>
    <row r="282" spans="1:40">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row>
    <row r="283" spans="1:40">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row>
    <row r="284" spans="1:40">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row>
    <row r="285" spans="1:40">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row>
    <row r="286" spans="1:40">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row>
    <row r="287" spans="1:40">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row>
    <row r="288" spans="1:40">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row>
    <row r="289" spans="1:40">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row>
    <row r="290" spans="1:4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row>
    <row r="291" spans="1:40">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row>
    <row r="292" spans="1:40">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row>
    <row r="293" spans="1:40">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row>
    <row r="294" spans="1:40">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row>
    <row r="295" spans="1:40">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row>
    <row r="296" spans="1:40">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row>
    <row r="297" spans="1:40">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row>
    <row r="298" spans="1:40">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row>
    <row r="299" spans="1:40">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row>
    <row r="300" spans="1:4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row>
    <row r="301" spans="1:40">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row>
    <row r="302" spans="1:40">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row>
    <row r="303" spans="1:40">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row>
    <row r="304" spans="1:40">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row>
    <row r="305" spans="1:40">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row>
    <row r="306" spans="1:40">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row>
    <row r="307" spans="1:40">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row>
    <row r="308" spans="1:40">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row>
    <row r="309" spans="1:40">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row>
    <row r="310" spans="1:4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row>
    <row r="311" spans="1:40">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row>
    <row r="312" spans="1:40">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row>
    <row r="313" spans="1:40">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row>
    <row r="314" spans="1:40">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row>
    <row r="315" spans="1:40">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row>
    <row r="316" spans="1:40">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row>
    <row r="317" spans="1:40">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row>
    <row r="318" spans="1:40">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row>
    <row r="319" spans="1:40">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row>
    <row r="320" spans="1:4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row>
    <row r="321" spans="1:40">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row>
    <row r="322" spans="1:40">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row>
    <row r="323" spans="1:40">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row>
    <row r="324" spans="1:40">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row>
    <row r="325" spans="1:40">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row>
    <row r="326" spans="1:40">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row>
    <row r="327" spans="1:40">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row>
    <row r="328" spans="1:40">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row>
    <row r="329" spans="1:40">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row>
    <row r="330" spans="1:4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row>
    <row r="331" spans="1:40">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row>
    <row r="332" spans="1:40">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row>
    <row r="333" spans="1:40">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row>
    <row r="334" spans="1:40">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row>
    <row r="335" spans="1:40">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row>
    <row r="336" spans="1:40">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row>
    <row r="337" spans="1:40">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row>
    <row r="338" spans="1:40">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row>
    <row r="339" spans="1:40">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row>
    <row r="340" spans="1: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row>
    <row r="341" spans="1:40">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row>
    <row r="342" spans="1:40">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row>
    <row r="343" spans="1:40">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row>
    <row r="344" spans="1:40">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row>
    <row r="345" spans="1:40">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row>
    <row r="346" spans="1:40">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row>
    <row r="347" spans="1:40">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row>
    <row r="348" spans="1:40">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row>
    <row r="349" spans="1:40">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row>
    <row r="350" spans="1:4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row>
    <row r="351" spans="1:40">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row>
    <row r="352" spans="1:40">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row>
    <row r="353" spans="1:40">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row>
    <row r="354" spans="1:40">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row>
    <row r="355" spans="1:40">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row>
    <row r="356" spans="1:40">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row>
    <row r="357" spans="1:40">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row>
    <row r="358" spans="1:40">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row>
    <row r="359" spans="1:40">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row>
    <row r="360" spans="1:4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row>
    <row r="361" spans="1:40">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row>
    <row r="362" spans="1:40">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row>
    <row r="363" spans="1:40">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row>
    <row r="364" spans="1:40">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row>
    <row r="365" spans="1:40">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row>
    <row r="366" spans="1:40">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row>
    <row r="367" spans="1:40">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row>
    <row r="368" spans="1:40">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row>
    <row r="369" spans="1:40">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row>
    <row r="370" spans="1:4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row>
    <row r="371" spans="1:40">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5" tint="-0.249977111117893"/>
  </sheetPr>
  <dimension ref="A1:AN92"/>
  <sheetViews>
    <sheetView showGridLines="0" workbookViewId="0"/>
  </sheetViews>
  <sheetFormatPr defaultRowHeight="15"/>
  <cols>
    <col min="1" max="1" width="10.875" customWidth="1"/>
    <col min="6" max="6" width="13.25" customWidth="1"/>
    <col min="17" max="17" width="11.125" customWidth="1"/>
    <col min="21" max="21" width="9.75" customWidth="1"/>
    <col min="28" max="28" width="9.75" customWidth="1"/>
    <col min="32" max="32" width="10.625" customWidth="1"/>
    <col min="34" max="34" width="11" customWidth="1"/>
    <col min="35" max="35" width="9.25" customWidth="1"/>
    <col min="37" max="37" width="18" customWidth="1"/>
    <col min="38" max="38" width="12.25" customWidth="1"/>
    <col min="39" max="39" width="15.25" customWidth="1"/>
    <col min="40" max="40" width="23" customWidth="1"/>
  </cols>
  <sheetData>
    <row r="1" spans="1:40" s="22" customFormat="1" ht="30.75" customHeight="1">
      <c r="H1" s="39" t="s">
        <v>4338</v>
      </c>
    </row>
    <row r="2" spans="1:40" s="22" customFormat="1" ht="33.950000000000003" customHeight="1">
      <c r="A2" s="38" t="s">
        <v>511</v>
      </c>
      <c r="B2" s="38"/>
      <c r="C2" s="38"/>
      <c r="D2" s="38"/>
      <c r="E2" s="38"/>
      <c r="F2" s="38"/>
      <c r="G2" s="38" t="s">
        <v>1631</v>
      </c>
      <c r="H2" s="38"/>
      <c r="I2" s="38"/>
      <c r="J2" s="38"/>
      <c r="K2" s="38"/>
      <c r="L2" s="38"/>
      <c r="M2" s="38" t="s">
        <v>1632</v>
      </c>
      <c r="N2" s="38"/>
      <c r="O2" s="38"/>
      <c r="P2" s="38"/>
      <c r="Q2" s="38"/>
      <c r="R2" s="38" t="s">
        <v>1633</v>
      </c>
      <c r="S2" s="38"/>
      <c r="T2" s="38"/>
      <c r="U2" s="38"/>
      <c r="V2" s="38"/>
      <c r="W2" s="38"/>
      <c r="X2" s="38"/>
      <c r="Y2" s="38" t="s">
        <v>1634</v>
      </c>
      <c r="Z2" s="38"/>
      <c r="AA2" s="38"/>
      <c r="AB2" s="38"/>
      <c r="AC2" s="38"/>
      <c r="AD2" s="38" t="s">
        <v>1635</v>
      </c>
      <c r="AE2" s="38"/>
      <c r="AF2" s="38"/>
      <c r="AG2" s="38"/>
      <c r="AH2" s="38"/>
      <c r="AI2" s="38" t="s">
        <v>1632</v>
      </c>
      <c r="AJ2" s="38"/>
      <c r="AK2" s="38"/>
      <c r="AL2" s="38"/>
      <c r="AM2" s="38"/>
      <c r="AN2" s="38"/>
    </row>
    <row r="3" spans="1:40" ht="18" customHeight="1">
      <c r="A3" s="112" t="s">
        <v>1636</v>
      </c>
      <c r="B3" s="112"/>
      <c r="C3" s="112"/>
      <c r="D3" s="112"/>
      <c r="E3" s="112"/>
      <c r="F3" s="112"/>
      <c r="G3" s="112" t="s">
        <v>1519</v>
      </c>
      <c r="H3" s="112"/>
      <c r="I3" s="112"/>
      <c r="J3" s="112"/>
      <c r="K3" s="112"/>
      <c r="L3" s="112"/>
      <c r="M3" s="112" t="s">
        <v>1520</v>
      </c>
      <c r="N3" s="112"/>
      <c r="O3" s="112"/>
      <c r="P3" s="112"/>
      <c r="Q3" s="112"/>
      <c r="R3" s="112" t="s">
        <v>1637</v>
      </c>
      <c r="S3" s="112"/>
      <c r="T3" s="112"/>
      <c r="U3" s="112"/>
      <c r="V3" s="112"/>
      <c r="W3" s="112"/>
      <c r="X3" s="112"/>
      <c r="Y3" s="112" t="s">
        <v>1638</v>
      </c>
      <c r="Z3" s="112"/>
      <c r="AA3" s="112"/>
      <c r="AB3" s="112"/>
      <c r="AC3" s="112"/>
      <c r="AD3" s="112" t="s">
        <v>1639</v>
      </c>
      <c r="AE3" s="112"/>
      <c r="AF3" s="112"/>
      <c r="AG3" s="112"/>
      <c r="AH3" s="112"/>
      <c r="AI3" s="112" t="s">
        <v>1640</v>
      </c>
      <c r="AJ3" s="112"/>
      <c r="AK3" s="112"/>
      <c r="AL3" s="112"/>
      <c r="AM3" s="112"/>
      <c r="AN3" s="112"/>
    </row>
    <row r="4" spans="1:40" ht="18" customHeight="1">
      <c r="A4" s="112" t="s">
        <v>511</v>
      </c>
      <c r="B4" s="112"/>
      <c r="C4" s="112"/>
      <c r="D4" s="112"/>
      <c r="E4" s="112"/>
      <c r="F4" s="112"/>
      <c r="G4" s="112" t="s">
        <v>1631</v>
      </c>
      <c r="H4" s="112"/>
      <c r="I4" s="112"/>
      <c r="J4" s="112"/>
      <c r="K4" s="112"/>
      <c r="L4" s="112"/>
      <c r="M4" s="112" t="s">
        <v>1632</v>
      </c>
      <c r="N4" s="112"/>
      <c r="O4" s="112"/>
      <c r="P4" s="112"/>
      <c r="Q4" s="112"/>
      <c r="R4" s="112" t="s">
        <v>1633</v>
      </c>
      <c r="S4" s="112"/>
      <c r="T4" s="112"/>
      <c r="U4" s="112"/>
      <c r="V4" s="112"/>
      <c r="W4" s="112"/>
      <c r="X4" s="112"/>
      <c r="Y4" s="112" t="s">
        <v>1634</v>
      </c>
      <c r="Z4" s="112"/>
      <c r="AA4" s="112"/>
      <c r="AB4" s="112"/>
      <c r="AC4" s="112"/>
      <c r="AD4" s="112" t="s">
        <v>1635</v>
      </c>
      <c r="AE4" s="112"/>
      <c r="AF4" s="112"/>
      <c r="AG4" s="112"/>
      <c r="AH4" s="112"/>
      <c r="AI4" s="112" t="s">
        <v>1632</v>
      </c>
      <c r="AJ4" s="112"/>
      <c r="AK4" s="112"/>
      <c r="AL4" s="112"/>
      <c r="AM4" s="112"/>
      <c r="AN4" s="112"/>
    </row>
    <row r="5" spans="1:40" ht="18" customHeight="1">
      <c r="A5" s="112" t="s">
        <v>1641</v>
      </c>
      <c r="B5" s="112"/>
      <c r="C5" s="112"/>
      <c r="D5" s="112"/>
      <c r="E5" s="112"/>
      <c r="F5" s="112"/>
      <c r="G5" s="112" t="s">
        <v>1524</v>
      </c>
      <c r="H5" s="112"/>
      <c r="I5" s="112"/>
      <c r="J5" s="112"/>
      <c r="K5" s="112"/>
      <c r="L5" s="112"/>
      <c r="M5" s="112" t="s">
        <v>634</v>
      </c>
      <c r="N5" s="112"/>
      <c r="O5" s="112"/>
      <c r="P5" s="112"/>
      <c r="Q5" s="112"/>
      <c r="R5" s="112" t="s">
        <v>1642</v>
      </c>
      <c r="S5" s="112"/>
      <c r="T5" s="112"/>
      <c r="U5" s="112"/>
      <c r="V5" s="112"/>
      <c r="W5" s="112"/>
      <c r="X5" s="112"/>
      <c r="Y5" s="113" t="s">
        <v>1643</v>
      </c>
      <c r="Z5" s="112"/>
      <c r="AA5" s="112"/>
      <c r="AB5" s="112"/>
      <c r="AC5" s="112"/>
      <c r="AD5" s="112" t="s">
        <v>634</v>
      </c>
      <c r="AE5" s="112"/>
      <c r="AF5" s="112"/>
      <c r="AG5" s="112"/>
      <c r="AH5" s="112"/>
      <c r="AI5" s="112" t="s">
        <v>1644</v>
      </c>
      <c r="AJ5" s="112"/>
      <c r="AK5" s="112"/>
      <c r="AL5" s="112"/>
      <c r="AM5" s="112"/>
      <c r="AN5" s="112"/>
    </row>
    <row r="6" spans="1:40" ht="18" customHeight="1">
      <c r="A6" s="112" t="s">
        <v>1645</v>
      </c>
      <c r="B6" s="112"/>
      <c r="C6" s="112"/>
      <c r="D6" s="112"/>
      <c r="E6" s="112"/>
      <c r="F6" s="112"/>
      <c r="G6" s="112"/>
      <c r="H6" s="112"/>
      <c r="I6" s="112"/>
      <c r="J6" s="112"/>
      <c r="K6" s="112"/>
      <c r="L6" s="112"/>
      <c r="M6" s="112" t="s">
        <v>1527</v>
      </c>
      <c r="N6" s="112"/>
      <c r="O6" s="112"/>
      <c r="P6" s="112"/>
      <c r="Q6" s="112"/>
      <c r="R6" s="112" t="s">
        <v>1525</v>
      </c>
      <c r="S6" s="112"/>
      <c r="T6" s="112"/>
      <c r="U6" s="112"/>
      <c r="V6" s="112"/>
      <c r="W6" s="112"/>
      <c r="X6" s="112"/>
      <c r="Y6" s="112" t="s">
        <v>634</v>
      </c>
      <c r="Z6" s="112"/>
      <c r="AA6" s="112"/>
      <c r="AB6" s="112"/>
      <c r="AC6" s="112"/>
      <c r="AD6" s="112" t="s">
        <v>1615</v>
      </c>
      <c r="AE6" s="112"/>
      <c r="AF6" s="112"/>
      <c r="AG6" s="112"/>
      <c r="AH6" s="112"/>
      <c r="AI6" s="112" t="s">
        <v>634</v>
      </c>
      <c r="AJ6" s="112"/>
      <c r="AK6" s="112"/>
      <c r="AL6" s="112"/>
      <c r="AM6" s="112"/>
      <c r="AN6" s="112"/>
    </row>
    <row r="7" spans="1:40" ht="18" customHeight="1">
      <c r="A7" s="112"/>
      <c r="B7" s="112"/>
      <c r="C7" s="112"/>
      <c r="D7" s="112"/>
      <c r="E7" s="112"/>
      <c r="F7" s="112"/>
      <c r="G7" s="112" t="s">
        <v>1529</v>
      </c>
      <c r="H7" s="112"/>
      <c r="I7" s="112"/>
      <c r="J7" s="112"/>
      <c r="K7" s="112"/>
      <c r="L7" s="112"/>
      <c r="M7" s="112"/>
      <c r="N7" s="112"/>
      <c r="O7" s="112"/>
      <c r="P7" s="112"/>
      <c r="Q7" s="112"/>
      <c r="R7" s="112" t="s">
        <v>1646</v>
      </c>
      <c r="S7" s="112"/>
      <c r="T7" s="112"/>
      <c r="U7" s="112"/>
      <c r="V7" s="112"/>
      <c r="W7" s="112"/>
      <c r="X7" s="112"/>
      <c r="Y7" s="112" t="s">
        <v>1615</v>
      </c>
      <c r="Z7" s="112"/>
      <c r="AA7" s="112"/>
      <c r="AB7" s="112"/>
      <c r="AC7" s="112"/>
      <c r="AD7" s="112"/>
      <c r="AE7" s="112"/>
      <c r="AF7" s="112"/>
      <c r="AG7" s="112"/>
      <c r="AH7" s="112"/>
      <c r="AI7" s="112" t="s">
        <v>1615</v>
      </c>
      <c r="AJ7" s="112"/>
      <c r="AK7" s="112"/>
      <c r="AL7" s="112"/>
      <c r="AM7" s="112"/>
      <c r="AN7" s="112"/>
    </row>
    <row r="8" spans="1:40" ht="18" customHeight="1">
      <c r="A8" s="112" t="s">
        <v>511</v>
      </c>
      <c r="B8" s="112"/>
      <c r="C8" s="112"/>
      <c r="D8" s="112"/>
      <c r="E8" s="112"/>
      <c r="F8" s="112"/>
      <c r="G8" s="112"/>
      <c r="H8" s="112"/>
      <c r="I8" s="112"/>
      <c r="J8" s="112"/>
      <c r="K8" s="112"/>
      <c r="L8" s="112"/>
      <c r="M8" s="112" t="s">
        <v>639</v>
      </c>
      <c r="N8" s="112"/>
      <c r="O8" s="112"/>
      <c r="P8" s="112"/>
      <c r="Q8" s="112"/>
      <c r="R8" s="112" t="s">
        <v>1647</v>
      </c>
      <c r="S8" s="112"/>
      <c r="T8" s="112"/>
      <c r="U8" s="112"/>
      <c r="V8" s="112"/>
      <c r="W8" s="112"/>
      <c r="X8" s="112"/>
      <c r="Y8" s="112"/>
      <c r="Z8" s="112"/>
      <c r="AA8" s="112"/>
      <c r="AB8" s="112"/>
      <c r="AC8" s="112"/>
      <c r="AD8" s="112" t="s">
        <v>639</v>
      </c>
      <c r="AE8" s="112"/>
      <c r="AF8" s="112"/>
      <c r="AG8" s="112"/>
      <c r="AH8" s="112"/>
      <c r="AI8" s="112"/>
      <c r="AJ8" s="112"/>
      <c r="AK8" s="112"/>
      <c r="AL8" s="112"/>
      <c r="AM8" s="112"/>
      <c r="AN8" s="112"/>
    </row>
    <row r="9" spans="1:40" ht="18" customHeight="1">
      <c r="A9" s="112" t="s">
        <v>1648</v>
      </c>
      <c r="B9" s="112"/>
      <c r="C9" s="112"/>
      <c r="D9" s="112"/>
      <c r="E9" s="112"/>
      <c r="F9" s="112"/>
      <c r="G9" s="112" t="s">
        <v>1535</v>
      </c>
      <c r="H9" s="112"/>
      <c r="I9" s="112"/>
      <c r="J9" s="112"/>
      <c r="K9" s="112"/>
      <c r="L9" s="112"/>
      <c r="M9" s="112" t="s">
        <v>1536</v>
      </c>
      <c r="N9" s="112"/>
      <c r="O9" s="112"/>
      <c r="P9" s="112"/>
      <c r="Q9" s="112"/>
      <c r="R9" s="112" t="s">
        <v>1649</v>
      </c>
      <c r="S9" s="112"/>
      <c r="T9" s="112"/>
      <c r="U9" s="112"/>
      <c r="V9" s="112"/>
      <c r="W9" s="112"/>
      <c r="X9" s="112"/>
      <c r="Y9" s="113" t="s">
        <v>1650</v>
      </c>
      <c r="Z9" s="112"/>
      <c r="AA9" s="112"/>
      <c r="AB9" s="112"/>
      <c r="AC9" s="112"/>
      <c r="AD9" s="112" t="s">
        <v>1651</v>
      </c>
      <c r="AE9" s="112"/>
      <c r="AF9" s="112"/>
      <c r="AG9" s="112"/>
      <c r="AH9" s="112"/>
      <c r="AI9" s="112" t="s">
        <v>1652</v>
      </c>
      <c r="AJ9" s="112"/>
      <c r="AK9" s="112"/>
      <c r="AL9" s="112"/>
      <c r="AM9" s="112"/>
      <c r="AN9" s="112"/>
    </row>
    <row r="10" spans="1:40" ht="18" customHeight="1">
      <c r="A10" s="112" t="s">
        <v>511</v>
      </c>
      <c r="B10" s="112"/>
      <c r="C10" s="112"/>
      <c r="D10" s="112"/>
      <c r="E10" s="112"/>
      <c r="F10" s="112"/>
      <c r="G10" s="112" t="s">
        <v>1539</v>
      </c>
      <c r="H10" s="112"/>
      <c r="I10" s="112"/>
      <c r="J10" s="112"/>
      <c r="K10" s="112"/>
      <c r="L10" s="112"/>
      <c r="M10" s="112" t="s">
        <v>1540</v>
      </c>
      <c r="N10" s="112"/>
      <c r="O10" s="112"/>
      <c r="P10" s="112"/>
      <c r="Q10" s="112"/>
      <c r="R10" s="112" t="s">
        <v>1653</v>
      </c>
      <c r="S10" s="112"/>
      <c r="T10" s="112"/>
      <c r="U10" s="112"/>
      <c r="V10" s="112"/>
      <c r="W10" s="112"/>
      <c r="X10" s="112"/>
      <c r="Y10" s="112" t="s">
        <v>639</v>
      </c>
      <c r="Z10" s="112"/>
      <c r="AA10" s="112"/>
      <c r="AB10" s="112"/>
      <c r="AC10" s="112"/>
      <c r="AD10" s="112" t="s">
        <v>1654</v>
      </c>
      <c r="AE10" s="112"/>
      <c r="AF10" s="112"/>
      <c r="AG10" s="112"/>
      <c r="AH10" s="112"/>
      <c r="AI10" s="112" t="s">
        <v>639</v>
      </c>
      <c r="AJ10" s="112"/>
      <c r="AK10" s="112"/>
      <c r="AL10" s="112"/>
      <c r="AM10" s="112"/>
      <c r="AN10" s="112"/>
    </row>
    <row r="11" spans="1:40" ht="18" customHeight="1">
      <c r="A11" s="112" t="s">
        <v>1524</v>
      </c>
      <c r="B11" s="112"/>
      <c r="C11" s="112"/>
      <c r="D11" s="112"/>
      <c r="E11" s="112"/>
      <c r="F11" s="112"/>
      <c r="G11" s="112" t="s">
        <v>1542</v>
      </c>
      <c r="H11" s="112"/>
      <c r="I11" s="112"/>
      <c r="J11" s="112"/>
      <c r="K11" s="112"/>
      <c r="L11" s="112"/>
      <c r="M11" s="112" t="s">
        <v>1543</v>
      </c>
      <c r="N11" s="112"/>
      <c r="O11" s="112"/>
      <c r="P11" s="112"/>
      <c r="Q11" s="112"/>
      <c r="R11" s="112" t="s">
        <v>1655</v>
      </c>
      <c r="S11" s="112"/>
      <c r="T11" s="112"/>
      <c r="U11" s="112"/>
      <c r="V11" s="112"/>
      <c r="W11" s="112"/>
      <c r="X11" s="112"/>
      <c r="Y11" s="112" t="s">
        <v>1536</v>
      </c>
      <c r="Z11" s="112"/>
      <c r="AA11" s="112"/>
      <c r="AB11" s="112"/>
      <c r="AC11" s="112"/>
      <c r="AD11" s="112" t="s">
        <v>1536</v>
      </c>
      <c r="AE11" s="112"/>
      <c r="AF11" s="112"/>
      <c r="AG11" s="112"/>
      <c r="AH11" s="112"/>
      <c r="AI11" s="112" t="s">
        <v>1651</v>
      </c>
      <c r="AJ11" s="112"/>
      <c r="AK11" s="112"/>
      <c r="AL11" s="112"/>
      <c r="AM11" s="112"/>
      <c r="AN11" s="112"/>
    </row>
    <row r="12" spans="1:40" ht="18" customHeight="1">
      <c r="A12" s="112"/>
      <c r="B12" s="112"/>
      <c r="C12" s="112"/>
      <c r="D12" s="112"/>
      <c r="E12" s="112"/>
      <c r="F12" s="112"/>
      <c r="G12" s="112" t="s">
        <v>1546</v>
      </c>
      <c r="H12" s="112"/>
      <c r="I12" s="112"/>
      <c r="J12" s="112"/>
      <c r="K12" s="112"/>
      <c r="L12" s="112"/>
      <c r="M12" s="112" t="s">
        <v>1547</v>
      </c>
      <c r="N12" s="112"/>
      <c r="O12" s="112"/>
      <c r="P12" s="112"/>
      <c r="Q12" s="112"/>
      <c r="R12" s="112" t="s">
        <v>1656</v>
      </c>
      <c r="S12" s="112"/>
      <c r="T12" s="112"/>
      <c r="U12" s="112"/>
      <c r="V12" s="112"/>
      <c r="W12" s="112"/>
      <c r="X12" s="112"/>
      <c r="Y12" s="112" t="s">
        <v>1657</v>
      </c>
      <c r="Z12" s="112"/>
      <c r="AA12" s="112"/>
      <c r="AB12" s="112"/>
      <c r="AC12" s="112"/>
      <c r="AD12" s="112" t="s">
        <v>1658</v>
      </c>
      <c r="AE12" s="112"/>
      <c r="AF12" s="112"/>
      <c r="AG12" s="112"/>
      <c r="AH12" s="112"/>
      <c r="AI12" s="112" t="s">
        <v>1654</v>
      </c>
      <c r="AJ12" s="112"/>
      <c r="AK12" s="112"/>
      <c r="AL12" s="112"/>
      <c r="AM12" s="112"/>
      <c r="AN12" s="112"/>
    </row>
    <row r="13" spans="1:40" ht="18" customHeight="1">
      <c r="A13" s="112" t="s">
        <v>1529</v>
      </c>
      <c r="B13" s="112"/>
      <c r="C13" s="112"/>
      <c r="D13" s="112"/>
      <c r="E13" s="112"/>
      <c r="F13" s="112"/>
      <c r="G13" s="112" t="s">
        <v>1550</v>
      </c>
      <c r="H13" s="112"/>
      <c r="I13" s="112"/>
      <c r="J13" s="112"/>
      <c r="K13" s="112"/>
      <c r="L13" s="112"/>
      <c r="M13" s="112" t="s">
        <v>1551</v>
      </c>
      <c r="N13" s="112"/>
      <c r="O13" s="112"/>
      <c r="P13" s="112"/>
      <c r="Q13" s="112"/>
      <c r="R13" s="112" t="s">
        <v>1659</v>
      </c>
      <c r="S13" s="112"/>
      <c r="T13" s="112"/>
      <c r="U13" s="112"/>
      <c r="V13" s="112"/>
      <c r="W13" s="112"/>
      <c r="X13" s="112"/>
      <c r="Y13" s="112" t="s">
        <v>1660</v>
      </c>
      <c r="Z13" s="112"/>
      <c r="AA13" s="112"/>
      <c r="AB13" s="112"/>
      <c r="AC13" s="112"/>
      <c r="AD13" s="112" t="s">
        <v>1661</v>
      </c>
      <c r="AE13" s="112"/>
      <c r="AF13" s="112"/>
      <c r="AG13" s="112"/>
      <c r="AH13" s="112"/>
      <c r="AI13" s="112" t="s">
        <v>1536</v>
      </c>
      <c r="AJ13" s="112"/>
      <c r="AK13" s="112"/>
      <c r="AL13" s="112"/>
      <c r="AM13" s="112"/>
      <c r="AN13" s="112"/>
    </row>
    <row r="14" spans="1:40" ht="18" customHeight="1">
      <c r="A14" s="112"/>
      <c r="B14" s="112"/>
      <c r="C14" s="112"/>
      <c r="D14" s="112"/>
      <c r="E14" s="112"/>
      <c r="F14" s="112"/>
      <c r="G14" s="112" t="s">
        <v>1554</v>
      </c>
      <c r="H14" s="112"/>
      <c r="I14" s="112"/>
      <c r="J14" s="112"/>
      <c r="K14" s="112"/>
      <c r="L14" s="112"/>
      <c r="M14" s="112"/>
      <c r="N14" s="112"/>
      <c r="O14" s="112"/>
      <c r="P14" s="112"/>
      <c r="Q14" s="112"/>
      <c r="R14" s="112" t="s">
        <v>1662</v>
      </c>
      <c r="S14" s="112"/>
      <c r="T14" s="112"/>
      <c r="U14" s="112"/>
      <c r="V14" s="112"/>
      <c r="W14" s="112"/>
      <c r="X14" s="112"/>
      <c r="Y14" s="112" t="s">
        <v>1547</v>
      </c>
      <c r="Z14" s="112"/>
      <c r="AA14" s="112"/>
      <c r="AB14" s="112"/>
      <c r="AC14" s="112"/>
      <c r="AD14" s="112" t="s">
        <v>1663</v>
      </c>
      <c r="AE14" s="112"/>
      <c r="AF14" s="112"/>
      <c r="AG14" s="112"/>
      <c r="AH14" s="112"/>
      <c r="AI14" s="112" t="s">
        <v>1658</v>
      </c>
      <c r="AJ14" s="112"/>
      <c r="AK14" s="112"/>
      <c r="AL14" s="112"/>
      <c r="AM14" s="112"/>
      <c r="AN14" s="112"/>
    </row>
    <row r="15" spans="1:40" ht="18" customHeight="1">
      <c r="A15" s="112" t="s">
        <v>1664</v>
      </c>
      <c r="B15" s="112"/>
      <c r="C15" s="112"/>
      <c r="D15" s="112"/>
      <c r="E15" s="112"/>
      <c r="F15" s="112"/>
      <c r="G15" s="112" t="s">
        <v>1557</v>
      </c>
      <c r="H15" s="112"/>
      <c r="I15" s="112"/>
      <c r="J15" s="112"/>
      <c r="K15" s="112"/>
      <c r="L15" s="112"/>
      <c r="M15" s="112" t="s">
        <v>639</v>
      </c>
      <c r="N15" s="112"/>
      <c r="O15" s="112"/>
      <c r="P15" s="112"/>
      <c r="Q15" s="112"/>
      <c r="R15" s="112"/>
      <c r="S15" s="112"/>
      <c r="T15" s="112"/>
      <c r="U15" s="112"/>
      <c r="V15" s="112"/>
      <c r="W15" s="112"/>
      <c r="X15" s="112"/>
      <c r="Y15" s="112" t="s">
        <v>1551</v>
      </c>
      <c r="Z15" s="112"/>
      <c r="AA15" s="112"/>
      <c r="AB15" s="112"/>
      <c r="AC15" s="112"/>
      <c r="AD15" s="112" t="s">
        <v>1665</v>
      </c>
      <c r="AE15" s="112"/>
      <c r="AF15" s="112"/>
      <c r="AG15" s="112"/>
      <c r="AH15" s="112"/>
      <c r="AI15" s="112" t="s">
        <v>1661</v>
      </c>
      <c r="AJ15" s="112"/>
      <c r="AK15" s="112"/>
      <c r="AL15" s="112"/>
      <c r="AM15" s="112"/>
      <c r="AN15" s="112"/>
    </row>
    <row r="16" spans="1:40" ht="18" customHeight="1">
      <c r="A16" s="112" t="s">
        <v>1539</v>
      </c>
      <c r="B16" s="112"/>
      <c r="C16" s="112"/>
      <c r="D16" s="112"/>
      <c r="E16" s="112"/>
      <c r="F16" s="112"/>
      <c r="G16" s="112" t="s">
        <v>1559</v>
      </c>
      <c r="H16" s="112"/>
      <c r="I16" s="112"/>
      <c r="J16" s="112"/>
      <c r="K16" s="112"/>
      <c r="L16" s="112"/>
      <c r="M16" s="112" t="s">
        <v>641</v>
      </c>
      <c r="N16" s="112"/>
      <c r="O16" s="112"/>
      <c r="P16" s="112"/>
      <c r="Q16" s="112"/>
      <c r="R16" s="112" t="s">
        <v>1666</v>
      </c>
      <c r="S16" s="112"/>
      <c r="T16" s="112"/>
      <c r="U16" s="112"/>
      <c r="V16" s="112"/>
      <c r="W16" s="112"/>
      <c r="X16" s="112"/>
      <c r="Y16" s="112"/>
      <c r="Z16" s="112"/>
      <c r="AA16" s="112"/>
      <c r="AB16" s="112"/>
      <c r="AC16" s="112"/>
      <c r="AD16" s="112" t="s">
        <v>1660</v>
      </c>
      <c r="AE16" s="112"/>
      <c r="AF16" s="112"/>
      <c r="AG16" s="112"/>
      <c r="AH16" s="112"/>
      <c r="AI16" s="112" t="s">
        <v>1663</v>
      </c>
      <c r="AJ16" s="112"/>
      <c r="AK16" s="112"/>
      <c r="AL16" s="112"/>
      <c r="AM16" s="112"/>
      <c r="AN16" s="112"/>
    </row>
    <row r="17" spans="1:40" ht="18" customHeight="1">
      <c r="A17" s="112" t="s">
        <v>1667</v>
      </c>
      <c r="B17" s="112"/>
      <c r="C17" s="112"/>
      <c r="D17" s="112"/>
      <c r="E17" s="112"/>
      <c r="F17" s="112"/>
      <c r="G17" s="112" t="s">
        <v>1563</v>
      </c>
      <c r="H17" s="112"/>
      <c r="I17" s="112"/>
      <c r="J17" s="112"/>
      <c r="K17" s="112"/>
      <c r="L17" s="112"/>
      <c r="M17" s="112" t="s">
        <v>1540</v>
      </c>
      <c r="N17" s="112"/>
      <c r="O17" s="112"/>
      <c r="P17" s="112"/>
      <c r="Q17" s="112"/>
      <c r="R17" s="112" t="s">
        <v>1525</v>
      </c>
      <c r="S17" s="112"/>
      <c r="T17" s="112"/>
      <c r="U17" s="112"/>
      <c r="V17" s="112"/>
      <c r="W17" s="112"/>
      <c r="X17" s="112"/>
      <c r="Y17" s="113" t="s">
        <v>1668</v>
      </c>
      <c r="Z17" s="112"/>
      <c r="AA17" s="112"/>
      <c r="AB17" s="112"/>
      <c r="AC17" s="112"/>
      <c r="AD17" s="112" t="s">
        <v>1669</v>
      </c>
      <c r="AE17" s="112"/>
      <c r="AF17" s="112"/>
      <c r="AG17" s="112"/>
      <c r="AH17" s="112"/>
      <c r="AI17" s="112" t="s">
        <v>1665</v>
      </c>
      <c r="AJ17" s="112"/>
      <c r="AK17" s="112"/>
      <c r="AL17" s="112"/>
      <c r="AM17" s="112"/>
      <c r="AN17" s="112"/>
    </row>
    <row r="18" spans="1:40" ht="18" customHeight="1">
      <c r="A18" s="112" t="s">
        <v>1670</v>
      </c>
      <c r="B18" s="112"/>
      <c r="C18" s="112"/>
      <c r="D18" s="112"/>
      <c r="E18" s="112"/>
      <c r="F18" s="112"/>
      <c r="G18" s="112" t="s">
        <v>1567</v>
      </c>
      <c r="H18" s="112"/>
      <c r="I18" s="112"/>
      <c r="J18" s="112"/>
      <c r="K18" s="112"/>
      <c r="L18" s="112"/>
      <c r="M18" s="112" t="s">
        <v>1543</v>
      </c>
      <c r="N18" s="112"/>
      <c r="O18" s="112"/>
      <c r="P18" s="112"/>
      <c r="Q18" s="112"/>
      <c r="R18" s="112" t="s">
        <v>1671</v>
      </c>
      <c r="S18" s="112"/>
      <c r="T18" s="112"/>
      <c r="U18" s="112"/>
      <c r="V18" s="112"/>
      <c r="W18" s="112"/>
      <c r="X18" s="112"/>
      <c r="Y18" s="112" t="s">
        <v>639</v>
      </c>
      <c r="Z18" s="112"/>
      <c r="AA18" s="112"/>
      <c r="AB18" s="112"/>
      <c r="AC18" s="112"/>
      <c r="AD18" s="112"/>
      <c r="AE18" s="112"/>
      <c r="AF18" s="112"/>
      <c r="AG18" s="112"/>
      <c r="AH18" s="112"/>
      <c r="AI18" s="112" t="s">
        <v>1660</v>
      </c>
      <c r="AJ18" s="112"/>
      <c r="AK18" s="112"/>
      <c r="AL18" s="112"/>
      <c r="AM18" s="112"/>
      <c r="AN18" s="112"/>
    </row>
    <row r="19" spans="1:40" ht="18" customHeight="1">
      <c r="A19" s="112" t="s">
        <v>1672</v>
      </c>
      <c r="B19" s="112"/>
      <c r="C19" s="112"/>
      <c r="D19" s="112"/>
      <c r="E19" s="112"/>
      <c r="F19" s="112"/>
      <c r="G19" s="112" t="s">
        <v>1570</v>
      </c>
      <c r="H19" s="112"/>
      <c r="I19" s="112"/>
      <c r="J19" s="112"/>
      <c r="K19" s="112"/>
      <c r="L19" s="112"/>
      <c r="M19" s="112" t="s">
        <v>1571</v>
      </c>
      <c r="N19" s="112"/>
      <c r="O19" s="112"/>
      <c r="P19" s="112"/>
      <c r="Q19" s="112"/>
      <c r="R19" s="112" t="s">
        <v>1673</v>
      </c>
      <c r="S19" s="112"/>
      <c r="T19" s="112"/>
      <c r="U19" s="112"/>
      <c r="V19" s="112"/>
      <c r="W19" s="112"/>
      <c r="X19" s="112"/>
      <c r="Y19" s="112" t="s">
        <v>1536</v>
      </c>
      <c r="Z19" s="112"/>
      <c r="AA19" s="112"/>
      <c r="AB19" s="112"/>
      <c r="AC19" s="112"/>
      <c r="AD19" s="112" t="s">
        <v>1674</v>
      </c>
      <c r="AE19" s="112"/>
      <c r="AF19" s="112"/>
      <c r="AG19" s="112"/>
      <c r="AH19" s="112"/>
      <c r="AI19" s="112" t="s">
        <v>1669</v>
      </c>
      <c r="AJ19" s="112"/>
      <c r="AK19" s="112"/>
      <c r="AL19" s="112"/>
      <c r="AM19" s="112"/>
      <c r="AN19" s="112"/>
    </row>
    <row r="20" spans="1:40" ht="18" customHeight="1">
      <c r="A20" s="112" t="s">
        <v>1675</v>
      </c>
      <c r="B20" s="112"/>
      <c r="C20" s="112"/>
      <c r="D20" s="112"/>
      <c r="E20" s="112"/>
      <c r="F20" s="112"/>
      <c r="G20" s="112" t="s">
        <v>1573</v>
      </c>
      <c r="H20" s="112"/>
      <c r="I20" s="112"/>
      <c r="J20" s="112"/>
      <c r="K20" s="112"/>
      <c r="L20" s="112"/>
      <c r="M20" s="112" t="s">
        <v>1574</v>
      </c>
      <c r="N20" s="112"/>
      <c r="O20" s="112"/>
      <c r="P20" s="112"/>
      <c r="Q20" s="112"/>
      <c r="R20" s="112"/>
      <c r="S20" s="112"/>
      <c r="T20" s="112"/>
      <c r="U20" s="112"/>
      <c r="V20" s="112"/>
      <c r="W20" s="112"/>
      <c r="X20" s="112"/>
      <c r="Y20" s="112" t="s">
        <v>1658</v>
      </c>
      <c r="Z20" s="112"/>
      <c r="AA20" s="112"/>
      <c r="AB20" s="112"/>
      <c r="AC20" s="112"/>
      <c r="AD20" s="112" t="s">
        <v>1660</v>
      </c>
      <c r="AE20" s="112"/>
      <c r="AF20" s="112"/>
      <c r="AG20" s="112"/>
      <c r="AH20" s="112"/>
      <c r="AI20" s="112"/>
      <c r="AJ20" s="112"/>
      <c r="AK20" s="112"/>
      <c r="AL20" s="112"/>
      <c r="AM20" s="112"/>
      <c r="AN20" s="112"/>
    </row>
    <row r="21" spans="1:40" ht="18" customHeight="1">
      <c r="A21" s="112" t="s">
        <v>1676</v>
      </c>
      <c r="B21" s="112"/>
      <c r="C21" s="112"/>
      <c r="D21" s="112"/>
      <c r="E21" s="112"/>
      <c r="F21" s="112"/>
      <c r="G21" s="112" t="s">
        <v>1576</v>
      </c>
      <c r="H21" s="112"/>
      <c r="I21" s="112"/>
      <c r="J21" s="112"/>
      <c r="K21" s="112"/>
      <c r="L21" s="112"/>
      <c r="M21" s="112"/>
      <c r="N21" s="112"/>
      <c r="O21" s="112"/>
      <c r="P21" s="112"/>
      <c r="Q21" s="112"/>
      <c r="R21" s="112" t="s">
        <v>1677</v>
      </c>
      <c r="S21" s="112"/>
      <c r="T21" s="112"/>
      <c r="U21" s="112"/>
      <c r="V21" s="112"/>
      <c r="W21" s="112"/>
      <c r="X21" s="112"/>
      <c r="Y21" s="112" t="s">
        <v>1678</v>
      </c>
      <c r="Z21" s="112"/>
      <c r="AA21" s="112"/>
      <c r="AB21" s="112"/>
      <c r="AC21" s="112"/>
      <c r="AD21" s="112" t="s">
        <v>1551</v>
      </c>
      <c r="AE21" s="112"/>
      <c r="AF21" s="112"/>
      <c r="AG21" s="112"/>
      <c r="AH21" s="112"/>
      <c r="AI21" s="112" t="s">
        <v>1679</v>
      </c>
      <c r="AJ21" s="112"/>
      <c r="AK21" s="112"/>
      <c r="AL21" s="112"/>
      <c r="AM21" s="112"/>
      <c r="AN21" s="112"/>
    </row>
    <row r="22" spans="1:40" ht="18" customHeight="1">
      <c r="A22" s="112" t="s">
        <v>1680</v>
      </c>
      <c r="B22" s="112"/>
      <c r="C22" s="112"/>
      <c r="D22" s="112"/>
      <c r="E22" s="112"/>
      <c r="F22" s="112"/>
      <c r="G22" s="112" t="s">
        <v>1578</v>
      </c>
      <c r="H22" s="112"/>
      <c r="I22" s="112"/>
      <c r="J22" s="112"/>
      <c r="K22" s="112"/>
      <c r="L22" s="112"/>
      <c r="M22" s="112" t="s">
        <v>639</v>
      </c>
      <c r="N22" s="112"/>
      <c r="O22" s="112"/>
      <c r="P22" s="112"/>
      <c r="Q22" s="112"/>
      <c r="R22" s="112" t="s">
        <v>1525</v>
      </c>
      <c r="S22" s="112"/>
      <c r="T22" s="112"/>
      <c r="U22" s="112"/>
      <c r="V22" s="112"/>
      <c r="W22" s="112"/>
      <c r="X22" s="112"/>
      <c r="Y22" s="112" t="s">
        <v>1660</v>
      </c>
      <c r="Z22" s="112"/>
      <c r="AA22" s="112"/>
      <c r="AB22" s="112"/>
      <c r="AC22" s="112"/>
      <c r="AD22" s="112"/>
      <c r="AE22" s="112"/>
      <c r="AF22" s="112"/>
      <c r="AG22" s="112"/>
      <c r="AH22" s="112"/>
      <c r="AI22" s="112" t="s">
        <v>1674</v>
      </c>
      <c r="AJ22" s="112"/>
      <c r="AK22" s="112"/>
      <c r="AL22" s="112"/>
      <c r="AM22" s="112"/>
      <c r="AN22" s="112"/>
    </row>
    <row r="23" spans="1:40" ht="18" customHeight="1">
      <c r="A23" s="112" t="s">
        <v>1681</v>
      </c>
      <c r="B23" s="112"/>
      <c r="C23" s="112"/>
      <c r="D23" s="112"/>
      <c r="E23" s="112"/>
      <c r="F23" s="112"/>
      <c r="G23" s="112"/>
      <c r="H23" s="112"/>
      <c r="I23" s="112"/>
      <c r="J23" s="112"/>
      <c r="K23" s="112"/>
      <c r="L23" s="112"/>
      <c r="M23" s="112" t="s">
        <v>1581</v>
      </c>
      <c r="N23" s="112"/>
      <c r="O23" s="112"/>
      <c r="P23" s="112"/>
      <c r="Q23" s="112"/>
      <c r="R23" s="112" t="s">
        <v>1682</v>
      </c>
      <c r="S23" s="112"/>
      <c r="T23" s="112"/>
      <c r="U23" s="112"/>
      <c r="V23" s="112"/>
      <c r="W23" s="112"/>
      <c r="X23" s="112"/>
      <c r="Y23" s="112" t="s">
        <v>1683</v>
      </c>
      <c r="Z23" s="112"/>
      <c r="AA23" s="112"/>
      <c r="AB23" s="112"/>
      <c r="AC23" s="112"/>
      <c r="AD23" s="112" t="s">
        <v>1684</v>
      </c>
      <c r="AE23" s="112"/>
      <c r="AF23" s="112"/>
      <c r="AG23" s="112"/>
      <c r="AH23" s="112"/>
      <c r="AI23" s="112" t="s">
        <v>1660</v>
      </c>
      <c r="AJ23" s="112"/>
      <c r="AK23" s="112"/>
      <c r="AL23" s="112"/>
      <c r="AM23" s="112"/>
      <c r="AN23" s="112"/>
    </row>
    <row r="24" spans="1:40" ht="18" customHeight="1">
      <c r="A24" s="112" t="s">
        <v>1685</v>
      </c>
      <c r="B24" s="112"/>
      <c r="C24" s="112"/>
      <c r="D24" s="112"/>
      <c r="E24" s="112"/>
      <c r="F24" s="112"/>
      <c r="G24" s="112" t="s">
        <v>574</v>
      </c>
      <c r="H24" s="112"/>
      <c r="I24" s="112"/>
      <c r="J24" s="112"/>
      <c r="K24" s="112"/>
      <c r="L24" s="112"/>
      <c r="M24" s="112" t="s">
        <v>1583</v>
      </c>
      <c r="N24" s="112"/>
      <c r="O24" s="112"/>
      <c r="P24" s="112"/>
      <c r="Q24" s="112"/>
      <c r="R24" s="112" t="s">
        <v>1686</v>
      </c>
      <c r="S24" s="112"/>
      <c r="T24" s="112"/>
      <c r="U24" s="112"/>
      <c r="V24" s="112"/>
      <c r="W24" s="112"/>
      <c r="X24" s="112"/>
      <c r="Y24" s="112" t="s">
        <v>1536</v>
      </c>
      <c r="Z24" s="112"/>
      <c r="AA24" s="112"/>
      <c r="AB24" s="112"/>
      <c r="AC24" s="112"/>
      <c r="AD24" s="112" t="s">
        <v>1660</v>
      </c>
      <c r="AE24" s="112"/>
      <c r="AF24" s="112"/>
      <c r="AG24" s="112"/>
      <c r="AH24" s="112"/>
      <c r="AI24" s="112" t="s">
        <v>1551</v>
      </c>
      <c r="AJ24" s="112"/>
      <c r="AK24" s="112"/>
      <c r="AL24" s="112"/>
      <c r="AM24" s="112"/>
      <c r="AN24" s="112"/>
    </row>
    <row r="25" spans="1:40" ht="18" customHeight="1">
      <c r="A25" s="112" t="s">
        <v>1570</v>
      </c>
      <c r="B25" s="112"/>
      <c r="C25" s="112"/>
      <c r="D25" s="112"/>
      <c r="E25" s="112"/>
      <c r="F25" s="112"/>
      <c r="G25" s="112"/>
      <c r="H25" s="112"/>
      <c r="I25" s="112"/>
      <c r="J25" s="112"/>
      <c r="K25" s="112"/>
      <c r="L25" s="112"/>
      <c r="M25" s="112" t="s">
        <v>1543</v>
      </c>
      <c r="N25" s="112"/>
      <c r="O25" s="112"/>
      <c r="P25" s="112"/>
      <c r="Q25" s="112"/>
      <c r="R25" s="112"/>
      <c r="S25" s="112"/>
      <c r="T25" s="112"/>
      <c r="U25" s="112"/>
      <c r="V25" s="112"/>
      <c r="W25" s="112"/>
      <c r="X25" s="112"/>
      <c r="Y25" s="112" t="s">
        <v>1687</v>
      </c>
      <c r="Z25" s="112"/>
      <c r="AA25" s="112"/>
      <c r="AB25" s="112"/>
      <c r="AC25" s="112"/>
      <c r="AD25" s="112" t="s">
        <v>1688</v>
      </c>
      <c r="AE25" s="112"/>
      <c r="AF25" s="112"/>
      <c r="AG25" s="112"/>
      <c r="AH25" s="112"/>
      <c r="AI25" s="112"/>
      <c r="AJ25" s="112"/>
      <c r="AK25" s="112"/>
      <c r="AL25" s="112"/>
      <c r="AM25" s="112"/>
      <c r="AN25" s="112"/>
    </row>
    <row r="26" spans="1:40" ht="18" customHeight="1">
      <c r="A26" s="112" t="s">
        <v>1689</v>
      </c>
      <c r="B26" s="112"/>
      <c r="C26" s="112"/>
      <c r="D26" s="112"/>
      <c r="E26" s="112"/>
      <c r="F26" s="112"/>
      <c r="G26" s="112" t="s">
        <v>1631</v>
      </c>
      <c r="H26" s="112"/>
      <c r="I26" s="112"/>
      <c r="J26" s="112"/>
      <c r="K26" s="112"/>
      <c r="L26" s="112"/>
      <c r="M26" s="112" t="s">
        <v>1587</v>
      </c>
      <c r="N26" s="112"/>
      <c r="O26" s="112"/>
      <c r="P26" s="112"/>
      <c r="Q26" s="112"/>
      <c r="R26" s="112" t="s">
        <v>1690</v>
      </c>
      <c r="S26" s="112"/>
      <c r="T26" s="112"/>
      <c r="U26" s="112"/>
      <c r="V26" s="112"/>
      <c r="W26" s="112"/>
      <c r="X26" s="112"/>
      <c r="Y26" s="112" t="s">
        <v>1691</v>
      </c>
      <c r="Z26" s="112"/>
      <c r="AA26" s="112"/>
      <c r="AB26" s="112"/>
      <c r="AC26" s="112"/>
      <c r="AD26" s="112"/>
      <c r="AE26" s="112"/>
      <c r="AF26" s="112"/>
      <c r="AG26" s="112"/>
      <c r="AH26" s="112"/>
      <c r="AI26" s="112" t="s">
        <v>1692</v>
      </c>
      <c r="AJ26" s="112"/>
      <c r="AK26" s="112"/>
      <c r="AL26" s="112"/>
      <c r="AM26" s="112"/>
      <c r="AN26" s="112"/>
    </row>
    <row r="27" spans="1:40" ht="18" customHeight="1">
      <c r="A27" s="112" t="s">
        <v>1693</v>
      </c>
      <c r="B27" s="112"/>
      <c r="C27" s="112"/>
      <c r="D27" s="112"/>
      <c r="E27" s="112"/>
      <c r="F27" s="112"/>
      <c r="G27" s="112" t="s">
        <v>1694</v>
      </c>
      <c r="H27" s="113"/>
      <c r="I27" s="112"/>
      <c r="J27" s="112"/>
      <c r="K27" s="112"/>
      <c r="L27" s="112"/>
      <c r="M27" s="112" t="s">
        <v>1592</v>
      </c>
      <c r="N27" s="112"/>
      <c r="O27" s="112"/>
      <c r="P27" s="112"/>
      <c r="Q27" s="112"/>
      <c r="R27" s="112" t="s">
        <v>1525</v>
      </c>
      <c r="S27" s="112"/>
      <c r="T27" s="112"/>
      <c r="U27" s="112"/>
      <c r="V27" s="112"/>
      <c r="W27" s="112"/>
      <c r="X27" s="112"/>
      <c r="Y27" s="112" t="s">
        <v>1536</v>
      </c>
      <c r="Z27" s="112"/>
      <c r="AA27" s="112"/>
      <c r="AB27" s="112"/>
      <c r="AC27" s="112"/>
      <c r="AD27" s="112" t="s">
        <v>639</v>
      </c>
      <c r="AE27" s="112"/>
      <c r="AF27" s="112"/>
      <c r="AG27" s="112"/>
      <c r="AH27" s="112"/>
      <c r="AI27" s="112" t="s">
        <v>1684</v>
      </c>
      <c r="AJ27" s="112"/>
      <c r="AK27" s="112"/>
      <c r="AL27" s="112"/>
      <c r="AM27" s="112"/>
      <c r="AN27" s="112"/>
    </row>
    <row r="28" spans="1:40" ht="18" customHeight="1">
      <c r="A28" s="112" t="s">
        <v>1695</v>
      </c>
      <c r="B28" s="112"/>
      <c r="C28" s="112"/>
      <c r="D28" s="112"/>
      <c r="E28" s="112"/>
      <c r="F28" s="112"/>
      <c r="G28" s="112" t="s">
        <v>1631</v>
      </c>
      <c r="H28" s="112"/>
      <c r="I28" s="112"/>
      <c r="J28" s="112"/>
      <c r="K28" s="112"/>
      <c r="L28" s="112"/>
      <c r="M28" s="112"/>
      <c r="N28" s="112"/>
      <c r="O28" s="112"/>
      <c r="P28" s="112"/>
      <c r="Q28" s="112"/>
      <c r="R28" s="112" t="s">
        <v>1696</v>
      </c>
      <c r="S28" s="112"/>
      <c r="T28" s="112"/>
      <c r="U28" s="112"/>
      <c r="V28" s="112"/>
      <c r="W28" s="112"/>
      <c r="X28" s="112"/>
      <c r="Y28" s="112" t="s">
        <v>1697</v>
      </c>
      <c r="Z28" s="112"/>
      <c r="AA28" s="112"/>
      <c r="AB28" s="112"/>
      <c r="AC28" s="112"/>
      <c r="AD28" s="112" t="s">
        <v>1651</v>
      </c>
      <c r="AE28" s="112"/>
      <c r="AF28" s="112"/>
      <c r="AG28" s="112"/>
      <c r="AH28" s="112"/>
      <c r="AI28" s="112" t="s">
        <v>1660</v>
      </c>
      <c r="AJ28" s="112"/>
      <c r="AK28" s="112"/>
      <c r="AL28" s="112"/>
      <c r="AM28" s="112"/>
      <c r="AN28" s="112"/>
    </row>
    <row r="29" spans="1:40" ht="18" customHeight="1">
      <c r="A29" s="112"/>
      <c r="B29" s="112"/>
      <c r="C29" s="112"/>
      <c r="D29" s="112"/>
      <c r="E29" s="112"/>
      <c r="F29" s="112"/>
      <c r="G29" s="112" t="s">
        <v>634</v>
      </c>
      <c r="H29" s="112"/>
      <c r="I29" s="112"/>
      <c r="J29" s="112"/>
      <c r="K29" s="112"/>
      <c r="L29" s="112"/>
      <c r="M29" s="112" t="s">
        <v>1634</v>
      </c>
      <c r="N29" s="112"/>
      <c r="O29" s="112"/>
      <c r="P29" s="112"/>
      <c r="Q29" s="112"/>
      <c r="R29" s="112" t="s">
        <v>1698</v>
      </c>
      <c r="S29" s="112"/>
      <c r="T29" s="112"/>
      <c r="U29" s="112"/>
      <c r="V29" s="112"/>
      <c r="W29" s="112"/>
      <c r="X29" s="112"/>
      <c r="Y29" s="112"/>
      <c r="Z29" s="112"/>
      <c r="AA29" s="112"/>
      <c r="AB29" s="112"/>
      <c r="AC29" s="112"/>
      <c r="AD29" s="112" t="s">
        <v>1654</v>
      </c>
      <c r="AE29" s="112"/>
      <c r="AF29" s="112"/>
      <c r="AG29" s="112"/>
      <c r="AH29" s="112"/>
      <c r="AI29" s="112" t="s">
        <v>1688</v>
      </c>
      <c r="AJ29" s="112"/>
      <c r="AK29" s="112"/>
      <c r="AL29" s="112"/>
      <c r="AM29" s="112"/>
      <c r="AN29" s="112"/>
    </row>
    <row r="30" spans="1:40" ht="18" customHeight="1">
      <c r="A30" s="112" t="s">
        <v>574</v>
      </c>
      <c r="B30" s="112"/>
      <c r="C30" s="112"/>
      <c r="D30" s="112"/>
      <c r="E30" s="112"/>
      <c r="F30" s="112"/>
      <c r="G30" s="112" t="s">
        <v>1615</v>
      </c>
      <c r="H30" s="112"/>
      <c r="I30" s="112"/>
      <c r="J30" s="112"/>
      <c r="K30" s="112"/>
      <c r="L30" s="112"/>
      <c r="M30" s="112" t="s">
        <v>1699</v>
      </c>
      <c r="N30" s="112"/>
      <c r="O30" s="112"/>
      <c r="P30" s="112"/>
      <c r="Q30" s="112"/>
      <c r="R30" s="112"/>
      <c r="S30" s="112"/>
      <c r="T30" s="112"/>
      <c r="U30" s="112"/>
      <c r="V30" s="112"/>
      <c r="W30" s="112"/>
      <c r="X30" s="112"/>
      <c r="Y30" s="113" t="s">
        <v>1700</v>
      </c>
      <c r="Z30" s="112"/>
      <c r="AA30" s="112"/>
      <c r="AB30" s="112"/>
      <c r="AC30" s="112"/>
      <c r="AD30" s="112" t="s">
        <v>1536</v>
      </c>
      <c r="AE30" s="112"/>
      <c r="AF30" s="112"/>
      <c r="AG30" s="112"/>
      <c r="AH30" s="112"/>
      <c r="AI30" s="112"/>
      <c r="AJ30" s="112"/>
      <c r="AK30" s="112"/>
      <c r="AL30" s="112"/>
      <c r="AM30" s="112"/>
      <c r="AN30" s="112"/>
    </row>
    <row r="31" spans="1:40" ht="18" customHeight="1">
      <c r="A31" s="112"/>
      <c r="B31" s="112"/>
      <c r="C31" s="112"/>
      <c r="D31" s="112"/>
      <c r="E31" s="112"/>
      <c r="F31" s="112"/>
      <c r="G31" s="112"/>
      <c r="H31" s="112"/>
      <c r="I31" s="112"/>
      <c r="J31" s="112"/>
      <c r="K31" s="112"/>
      <c r="L31" s="112"/>
      <c r="M31" s="112" t="s">
        <v>1634</v>
      </c>
      <c r="N31" s="112"/>
      <c r="O31" s="112"/>
      <c r="P31" s="112"/>
      <c r="Q31" s="112"/>
      <c r="R31" s="112" t="s">
        <v>1701</v>
      </c>
      <c r="S31" s="112"/>
      <c r="T31" s="112"/>
      <c r="U31" s="112"/>
      <c r="V31" s="112"/>
      <c r="W31" s="112"/>
      <c r="X31" s="112"/>
      <c r="Y31" s="112" t="s">
        <v>639</v>
      </c>
      <c r="Z31" s="112"/>
      <c r="AA31" s="112"/>
      <c r="AB31" s="112"/>
      <c r="AC31" s="112"/>
      <c r="AD31" s="112" t="s">
        <v>1687</v>
      </c>
      <c r="AE31" s="112"/>
      <c r="AF31" s="112"/>
      <c r="AG31" s="112"/>
      <c r="AH31" s="112"/>
      <c r="AI31" s="112" t="s">
        <v>1702</v>
      </c>
      <c r="AJ31" s="112"/>
      <c r="AK31" s="112"/>
      <c r="AL31" s="112"/>
      <c r="AM31" s="112"/>
      <c r="AN31" s="112"/>
    </row>
    <row r="32" spans="1:40" ht="18" customHeight="1">
      <c r="A32" s="112" t="s">
        <v>511</v>
      </c>
      <c r="B32" s="112"/>
      <c r="C32" s="112"/>
      <c r="D32" s="112"/>
      <c r="E32" s="112"/>
      <c r="F32" s="112"/>
      <c r="G32" s="112"/>
      <c r="H32" s="112"/>
      <c r="I32" s="112"/>
      <c r="J32" s="112"/>
      <c r="K32" s="112"/>
      <c r="L32" s="112"/>
      <c r="M32" s="112" t="s">
        <v>1703</v>
      </c>
      <c r="N32" s="112"/>
      <c r="O32" s="112"/>
      <c r="P32" s="112"/>
      <c r="Q32" s="112"/>
      <c r="R32" s="112" t="s">
        <v>1704</v>
      </c>
      <c r="S32" s="112"/>
      <c r="T32" s="112"/>
      <c r="U32" s="112"/>
      <c r="V32" s="112"/>
      <c r="W32" s="112"/>
      <c r="X32" s="112"/>
      <c r="Y32" s="112" t="s">
        <v>1705</v>
      </c>
      <c r="Z32" s="112"/>
      <c r="AA32" s="112"/>
      <c r="AB32" s="112"/>
      <c r="AC32" s="112"/>
      <c r="AD32" s="112" t="s">
        <v>1660</v>
      </c>
      <c r="AE32" s="112"/>
      <c r="AF32" s="112"/>
      <c r="AG32" s="112"/>
      <c r="AH32" s="112"/>
      <c r="AI32" s="112" t="s">
        <v>639</v>
      </c>
      <c r="AJ32" s="112"/>
      <c r="AK32" s="112"/>
      <c r="AL32" s="112"/>
      <c r="AM32" s="112"/>
      <c r="AN32" s="112"/>
    </row>
    <row r="33" spans="1:40" ht="18" customHeight="1">
      <c r="A33" s="112" t="s">
        <v>1706</v>
      </c>
      <c r="B33" s="112"/>
      <c r="C33" s="112"/>
      <c r="D33" s="112"/>
      <c r="E33" s="112"/>
      <c r="F33" s="112"/>
      <c r="G33" s="112"/>
      <c r="H33" s="112"/>
      <c r="I33" s="112"/>
      <c r="J33" s="112"/>
      <c r="K33" s="112"/>
      <c r="L33" s="112"/>
      <c r="M33" s="112" t="s">
        <v>1707</v>
      </c>
      <c r="N33" s="112"/>
      <c r="O33" s="112"/>
      <c r="P33" s="112"/>
      <c r="Q33" s="112"/>
      <c r="R33" s="112" t="s">
        <v>1708</v>
      </c>
      <c r="S33" s="112"/>
      <c r="T33" s="112"/>
      <c r="U33" s="112"/>
      <c r="V33" s="112"/>
      <c r="W33" s="112"/>
      <c r="X33" s="112"/>
      <c r="Y33" s="112" t="s">
        <v>1660</v>
      </c>
      <c r="Z33" s="112"/>
      <c r="AA33" s="112"/>
      <c r="AB33" s="112"/>
      <c r="AC33" s="112"/>
      <c r="AD33" s="112" t="s">
        <v>1709</v>
      </c>
      <c r="AE33" s="112"/>
      <c r="AF33" s="112"/>
      <c r="AG33" s="112"/>
      <c r="AH33" s="112"/>
      <c r="AI33" s="112" t="s">
        <v>1651</v>
      </c>
      <c r="AJ33" s="112"/>
      <c r="AK33" s="112"/>
      <c r="AL33" s="112"/>
      <c r="AM33" s="112"/>
      <c r="AN33" s="112"/>
    </row>
    <row r="34" spans="1:40" ht="18" customHeight="1">
      <c r="A34" s="112" t="s">
        <v>511</v>
      </c>
      <c r="B34" s="112"/>
      <c r="C34" s="112"/>
      <c r="D34" s="112"/>
      <c r="E34" s="112"/>
      <c r="F34" s="112"/>
      <c r="G34" s="112"/>
      <c r="H34" s="112"/>
      <c r="I34" s="112"/>
      <c r="J34" s="112"/>
      <c r="K34" s="112"/>
      <c r="L34" s="112"/>
      <c r="M34" s="112" t="s">
        <v>1710</v>
      </c>
      <c r="N34" s="112"/>
      <c r="O34" s="112"/>
      <c r="P34" s="112"/>
      <c r="Q34" s="112"/>
      <c r="R34" s="112" t="s">
        <v>1711</v>
      </c>
      <c r="S34" s="112"/>
      <c r="T34" s="112"/>
      <c r="U34" s="112"/>
      <c r="V34" s="112"/>
      <c r="W34" s="112"/>
      <c r="X34" s="112"/>
      <c r="Y34" s="112" t="s">
        <v>1712</v>
      </c>
      <c r="Z34" s="112"/>
      <c r="AA34" s="112"/>
      <c r="AB34" s="112"/>
      <c r="AC34" s="112"/>
      <c r="AD34" s="112" t="s">
        <v>1713</v>
      </c>
      <c r="AE34" s="112"/>
      <c r="AF34" s="112"/>
      <c r="AG34" s="112"/>
      <c r="AH34" s="112"/>
      <c r="AI34" s="112" t="s">
        <v>1654</v>
      </c>
      <c r="AJ34" s="112"/>
      <c r="AK34" s="112"/>
      <c r="AL34" s="112"/>
      <c r="AM34" s="112"/>
      <c r="AN34" s="112"/>
    </row>
    <row r="35" spans="1:40" ht="18" customHeight="1">
      <c r="A35" s="112"/>
      <c r="B35" s="112"/>
      <c r="C35" s="112"/>
      <c r="D35" s="112"/>
      <c r="E35" s="112"/>
      <c r="F35" s="112"/>
      <c r="G35" s="112"/>
      <c r="H35" s="112"/>
      <c r="I35" s="112"/>
      <c r="J35" s="112"/>
      <c r="K35" s="112"/>
      <c r="L35" s="112"/>
      <c r="M35" s="112" t="s">
        <v>1714</v>
      </c>
      <c r="N35" s="112"/>
      <c r="O35" s="112"/>
      <c r="P35" s="112"/>
      <c r="Q35" s="112"/>
      <c r="R35" s="112" t="s">
        <v>1715</v>
      </c>
      <c r="S35" s="112"/>
      <c r="T35" s="112"/>
      <c r="U35" s="112"/>
      <c r="V35" s="112"/>
      <c r="W35" s="112"/>
      <c r="X35" s="112"/>
      <c r="Y35" s="112" t="s">
        <v>1716</v>
      </c>
      <c r="Z35" s="112"/>
      <c r="AA35" s="112"/>
      <c r="AB35" s="112"/>
      <c r="AC35" s="112"/>
      <c r="AD35" s="112"/>
      <c r="AE35" s="112"/>
      <c r="AF35" s="112"/>
      <c r="AG35" s="112"/>
      <c r="AH35" s="112"/>
      <c r="AI35" s="112" t="s">
        <v>1536</v>
      </c>
      <c r="AJ35" s="112"/>
      <c r="AK35" s="112"/>
      <c r="AL35" s="112"/>
      <c r="AM35" s="112"/>
      <c r="AN35" s="112"/>
    </row>
    <row r="36" spans="1:40" ht="18" customHeight="1">
      <c r="A36" s="112" t="s">
        <v>580</v>
      </c>
      <c r="B36" s="112"/>
      <c r="C36" s="112"/>
      <c r="D36" s="112"/>
      <c r="E36" s="112"/>
      <c r="F36" s="112"/>
      <c r="G36" s="112"/>
      <c r="H36" s="112"/>
      <c r="I36" s="112"/>
      <c r="J36" s="112"/>
      <c r="K36" s="112"/>
      <c r="L36" s="112"/>
      <c r="M36" s="112" t="s">
        <v>1717</v>
      </c>
      <c r="N36" s="112"/>
      <c r="O36" s="112"/>
      <c r="P36" s="112"/>
      <c r="Q36" s="112"/>
      <c r="R36" s="112" t="s">
        <v>1718</v>
      </c>
      <c r="S36" s="112"/>
      <c r="T36" s="112"/>
      <c r="U36" s="112"/>
      <c r="V36" s="112"/>
      <c r="W36" s="112"/>
      <c r="X36" s="112"/>
      <c r="Y36" s="112"/>
      <c r="Z36" s="112"/>
      <c r="AA36" s="112"/>
      <c r="AB36" s="112"/>
      <c r="AC36" s="112"/>
      <c r="AD36" s="112"/>
      <c r="AE36" s="112"/>
      <c r="AF36" s="112"/>
      <c r="AG36" s="112"/>
      <c r="AH36" s="112"/>
      <c r="AI36" s="112" t="s">
        <v>1687</v>
      </c>
      <c r="AJ36" s="112"/>
      <c r="AK36" s="112"/>
      <c r="AL36" s="112"/>
      <c r="AM36" s="112"/>
      <c r="AN36" s="112"/>
    </row>
    <row r="37" spans="1:40" ht="18" customHeight="1">
      <c r="A37" s="112" t="s">
        <v>1719</v>
      </c>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3" t="s">
        <v>1720</v>
      </c>
      <c r="Z37" s="112"/>
      <c r="AA37" s="112"/>
      <c r="AB37" s="112"/>
      <c r="AC37" s="112"/>
      <c r="AD37" s="112" t="s">
        <v>639</v>
      </c>
      <c r="AE37" s="112"/>
      <c r="AF37" s="112"/>
      <c r="AG37" s="112"/>
      <c r="AH37" s="112"/>
      <c r="AI37" s="112" t="s">
        <v>1660</v>
      </c>
      <c r="AJ37" s="112"/>
      <c r="AK37" s="112"/>
      <c r="AL37" s="112"/>
      <c r="AM37" s="112"/>
      <c r="AN37" s="112"/>
    </row>
    <row r="38" spans="1:40" ht="18" customHeight="1">
      <c r="A38" s="112" t="s">
        <v>1608</v>
      </c>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t="s">
        <v>652</v>
      </c>
      <c r="Z38" s="112"/>
      <c r="AA38" s="112"/>
      <c r="AB38" s="112"/>
      <c r="AC38" s="112"/>
      <c r="AD38" s="112" t="s">
        <v>1651</v>
      </c>
      <c r="AE38" s="112"/>
      <c r="AF38" s="112"/>
      <c r="AG38" s="112"/>
      <c r="AH38" s="112"/>
      <c r="AI38" s="112" t="s">
        <v>1721</v>
      </c>
      <c r="AJ38" s="112"/>
      <c r="AK38" s="112"/>
      <c r="AL38" s="112"/>
      <c r="AM38" s="112"/>
      <c r="AN38" s="112"/>
    </row>
    <row r="39" spans="1:40" ht="18" customHeight="1">
      <c r="A39" s="112" t="s">
        <v>586</v>
      </c>
      <c r="B39" s="112"/>
      <c r="C39" s="112"/>
      <c r="D39" s="112"/>
      <c r="E39" s="112"/>
      <c r="F39" s="112"/>
      <c r="G39" s="112"/>
      <c r="H39" s="112"/>
      <c r="I39" s="112" t="s">
        <v>1722</v>
      </c>
      <c r="J39" s="112"/>
      <c r="K39" s="112"/>
      <c r="L39" s="112"/>
      <c r="M39" s="112"/>
      <c r="N39" s="112"/>
      <c r="O39" s="112"/>
      <c r="P39" s="112"/>
      <c r="Q39" s="112"/>
      <c r="R39" s="112"/>
      <c r="S39" s="112"/>
      <c r="T39" s="112"/>
      <c r="U39" s="112"/>
      <c r="V39" s="112"/>
      <c r="W39" s="112"/>
      <c r="X39" s="112"/>
      <c r="Y39" s="112" t="s">
        <v>1660</v>
      </c>
      <c r="Z39" s="112"/>
      <c r="AA39" s="112"/>
      <c r="AB39" s="112"/>
      <c r="AC39" s="112"/>
      <c r="AD39" s="112" t="s">
        <v>1654</v>
      </c>
      <c r="AE39" s="112"/>
      <c r="AF39" s="112"/>
      <c r="AG39" s="112"/>
      <c r="AH39" s="112"/>
      <c r="AI39" s="112"/>
      <c r="AJ39" s="112"/>
      <c r="AK39" s="112"/>
      <c r="AL39" s="112"/>
      <c r="AM39" s="112"/>
      <c r="AN39" s="112"/>
    </row>
    <row r="40" spans="1:40" ht="18" customHeight="1">
      <c r="A40" s="112" t="s">
        <v>588</v>
      </c>
      <c r="B40" s="112"/>
      <c r="C40" s="112"/>
      <c r="D40" s="112"/>
      <c r="E40" s="112"/>
      <c r="F40" s="112"/>
      <c r="G40" s="112"/>
      <c r="H40" s="112"/>
      <c r="I40" s="112" t="s">
        <v>1723</v>
      </c>
      <c r="J40" s="112"/>
      <c r="K40" s="112"/>
      <c r="L40" s="112"/>
      <c r="M40" s="112"/>
      <c r="N40" s="112"/>
      <c r="O40" s="112"/>
      <c r="P40" s="112"/>
      <c r="Q40" s="112"/>
      <c r="R40" s="112"/>
      <c r="S40" s="112"/>
      <c r="T40" s="112"/>
      <c r="U40" s="112"/>
      <c r="V40" s="112"/>
      <c r="W40" s="112"/>
      <c r="X40" s="112"/>
      <c r="Y40" s="112" t="s">
        <v>1691</v>
      </c>
      <c r="Z40" s="112"/>
      <c r="AA40" s="112"/>
      <c r="AB40" s="112"/>
      <c r="AC40" s="112"/>
      <c r="AD40" s="112" t="s">
        <v>1536</v>
      </c>
      <c r="AE40" s="112"/>
      <c r="AF40" s="112"/>
      <c r="AG40" s="112"/>
      <c r="AH40" s="112"/>
      <c r="AI40" s="112" t="s">
        <v>1724</v>
      </c>
      <c r="AJ40" s="112"/>
      <c r="AK40" s="112"/>
      <c r="AL40" s="112"/>
      <c r="AM40" s="112"/>
      <c r="AN40" s="112"/>
    </row>
    <row r="41" spans="1:40" ht="18" customHeight="1">
      <c r="A41" s="112" t="s">
        <v>590</v>
      </c>
      <c r="B41" s="112"/>
      <c r="C41" s="112"/>
      <c r="D41" s="112"/>
      <c r="E41" s="112"/>
      <c r="F41" s="112"/>
      <c r="G41" s="112"/>
      <c r="H41" s="112"/>
      <c r="I41" s="112" t="s">
        <v>1722</v>
      </c>
      <c r="J41" s="112"/>
      <c r="K41" s="112"/>
      <c r="L41" s="112"/>
      <c r="M41" s="112"/>
      <c r="N41" s="112"/>
      <c r="O41" s="112"/>
      <c r="P41" s="112"/>
      <c r="Q41" s="112"/>
      <c r="R41" s="112"/>
      <c r="S41" s="112"/>
      <c r="T41" s="112"/>
      <c r="U41" s="112"/>
      <c r="V41" s="112"/>
      <c r="W41" s="112"/>
      <c r="X41" s="112"/>
      <c r="Y41" s="112" t="s">
        <v>1536</v>
      </c>
      <c r="Z41" s="112"/>
      <c r="AA41" s="112"/>
      <c r="AB41" s="112"/>
      <c r="AC41" s="112"/>
      <c r="AD41" s="112" t="s">
        <v>1687</v>
      </c>
      <c r="AE41" s="112"/>
      <c r="AF41" s="112"/>
      <c r="AG41" s="112"/>
      <c r="AH41" s="112"/>
      <c r="AI41" s="112" t="s">
        <v>1725</v>
      </c>
      <c r="AJ41" s="112"/>
      <c r="AK41" s="112"/>
      <c r="AL41" s="112"/>
      <c r="AM41" s="112"/>
      <c r="AN41" s="112"/>
    </row>
    <row r="42" spans="1:40" ht="18" customHeight="1">
      <c r="A42" s="112" t="s">
        <v>592</v>
      </c>
      <c r="B42" s="112"/>
      <c r="C42" s="112"/>
      <c r="D42" s="112"/>
      <c r="E42" s="112"/>
      <c r="F42" s="112"/>
      <c r="G42" s="112"/>
      <c r="H42" s="112"/>
      <c r="I42" s="112" t="s">
        <v>1726</v>
      </c>
      <c r="J42" s="112"/>
      <c r="K42" s="112"/>
      <c r="L42" s="112"/>
      <c r="M42" s="112"/>
      <c r="N42" s="112"/>
      <c r="O42" s="112"/>
      <c r="P42" s="112"/>
      <c r="Q42" s="112"/>
      <c r="R42" s="112"/>
      <c r="S42" s="112"/>
      <c r="T42" s="112"/>
      <c r="U42" s="112"/>
      <c r="V42" s="112"/>
      <c r="W42" s="112"/>
      <c r="X42" s="112"/>
      <c r="Y42" s="112" t="s">
        <v>1658</v>
      </c>
      <c r="Z42" s="112"/>
      <c r="AA42" s="112"/>
      <c r="AB42" s="112"/>
      <c r="AC42" s="112"/>
      <c r="AD42" s="112" t="s">
        <v>1660</v>
      </c>
      <c r="AE42" s="112"/>
      <c r="AF42" s="112"/>
      <c r="AG42" s="112"/>
      <c r="AH42" s="112"/>
      <c r="AI42" s="112" t="s">
        <v>1660</v>
      </c>
      <c r="AJ42" s="112"/>
      <c r="AK42" s="112"/>
      <c r="AL42" s="112"/>
      <c r="AM42" s="112"/>
      <c r="AN42" s="112"/>
    </row>
    <row r="43" spans="1:40" ht="18" customHeight="1">
      <c r="A43" s="112"/>
      <c r="B43" s="112"/>
      <c r="C43" s="112"/>
      <c r="D43" s="112"/>
      <c r="E43" s="112"/>
      <c r="F43" s="112"/>
      <c r="G43" s="112"/>
      <c r="H43" s="112"/>
      <c r="I43" s="112" t="s">
        <v>1727</v>
      </c>
      <c r="J43" s="112"/>
      <c r="K43" s="112"/>
      <c r="L43" s="112"/>
      <c r="M43" s="112"/>
      <c r="N43" s="112"/>
      <c r="O43" s="112"/>
      <c r="P43" s="112"/>
      <c r="Q43" s="112"/>
      <c r="R43" s="112"/>
      <c r="S43" s="112"/>
      <c r="T43" s="112"/>
      <c r="U43" s="112"/>
      <c r="V43" s="112"/>
      <c r="W43" s="112"/>
      <c r="X43" s="112"/>
      <c r="Y43" s="112" t="s">
        <v>1654</v>
      </c>
      <c r="Z43" s="112"/>
      <c r="AA43" s="112"/>
      <c r="AB43" s="112"/>
      <c r="AC43" s="112"/>
      <c r="AD43" s="112" t="s">
        <v>1728</v>
      </c>
      <c r="AE43" s="112"/>
      <c r="AF43" s="112"/>
      <c r="AG43" s="112"/>
      <c r="AH43" s="112"/>
      <c r="AI43" s="112" t="s">
        <v>1729</v>
      </c>
      <c r="AJ43" s="112"/>
      <c r="AK43" s="112"/>
      <c r="AL43" s="112"/>
      <c r="AM43" s="112"/>
      <c r="AN43" s="112"/>
    </row>
    <row r="44" spans="1:40" ht="18" customHeight="1">
      <c r="A44" s="112"/>
      <c r="B44" s="112"/>
      <c r="C44" s="112"/>
      <c r="D44" s="112"/>
      <c r="E44" s="112"/>
      <c r="F44" s="112"/>
      <c r="G44" s="112"/>
      <c r="H44" s="112"/>
      <c r="I44" s="112" t="s">
        <v>1730</v>
      </c>
      <c r="J44" s="112"/>
      <c r="K44" s="112"/>
      <c r="L44" s="112"/>
      <c r="M44" s="112"/>
      <c r="N44" s="112"/>
      <c r="O44" s="112"/>
      <c r="P44" s="112"/>
      <c r="Q44" s="112"/>
      <c r="R44" s="112"/>
      <c r="S44" s="112"/>
      <c r="T44" s="112"/>
      <c r="U44" s="112"/>
      <c r="V44" s="112"/>
      <c r="W44" s="112"/>
      <c r="X44" s="112"/>
      <c r="Y44" s="112" t="s">
        <v>1731</v>
      </c>
      <c r="Z44" s="112"/>
      <c r="AA44" s="112"/>
      <c r="AB44" s="112"/>
      <c r="AC44" s="112"/>
      <c r="AD44" s="112"/>
      <c r="AE44" s="112"/>
      <c r="AF44" s="112"/>
      <c r="AG44" s="112"/>
      <c r="AH44" s="112"/>
      <c r="AI44" s="112"/>
      <c r="AJ44" s="112"/>
      <c r="AK44" s="112"/>
      <c r="AL44" s="112"/>
      <c r="AM44" s="112"/>
      <c r="AN44" s="112"/>
    </row>
    <row r="45" spans="1:40" ht="18" customHeight="1">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c r="AG45" s="112"/>
      <c r="AH45" s="112"/>
      <c r="AI45" s="112" t="s">
        <v>1732</v>
      </c>
      <c r="AJ45" s="112"/>
      <c r="AK45" s="112"/>
      <c r="AL45" s="112"/>
      <c r="AM45" s="112"/>
      <c r="AN45" s="112"/>
    </row>
    <row r="46" spans="1:40" ht="18" customHeight="1">
      <c r="A46" s="113" t="s">
        <v>1733</v>
      </c>
      <c r="B46" s="112"/>
      <c r="C46" s="112"/>
      <c r="D46" s="112"/>
      <c r="E46" s="112"/>
      <c r="F46" s="112"/>
      <c r="G46" s="112"/>
      <c r="H46" s="112"/>
      <c r="I46" s="112" t="s">
        <v>1734</v>
      </c>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c r="AG46" s="112"/>
      <c r="AH46" s="112"/>
      <c r="AI46" s="112" t="s">
        <v>1735</v>
      </c>
      <c r="AJ46" s="112"/>
      <c r="AK46" s="112"/>
      <c r="AL46" s="112"/>
      <c r="AM46" s="112"/>
      <c r="AN46" s="112"/>
    </row>
    <row r="47" spans="1:40" ht="18" customHeight="1">
      <c r="A47" s="114" t="s">
        <v>1736</v>
      </c>
      <c r="B47" s="112"/>
      <c r="C47" s="112"/>
      <c r="D47" s="112"/>
      <c r="E47" s="112"/>
      <c r="F47" s="112"/>
      <c r="G47" s="112"/>
      <c r="H47" s="112"/>
      <c r="I47" s="112" t="s">
        <v>1737</v>
      </c>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t="s">
        <v>1660</v>
      </c>
      <c r="AJ47" s="112"/>
      <c r="AK47" s="112"/>
      <c r="AL47" s="112"/>
      <c r="AM47" s="112"/>
      <c r="AN47" s="112"/>
    </row>
    <row r="48" spans="1:40" ht="18" customHeight="1">
      <c r="A48" s="114" t="s">
        <v>1738</v>
      </c>
      <c r="B48" s="112"/>
      <c r="C48" s="112"/>
      <c r="D48" s="112"/>
      <c r="E48" s="112"/>
      <c r="F48" s="112"/>
      <c r="G48" s="112"/>
      <c r="H48" s="112"/>
      <c r="I48" s="112" t="s">
        <v>1739</v>
      </c>
      <c r="J48" s="112"/>
      <c r="K48" s="112"/>
      <c r="L48" s="112"/>
      <c r="M48" s="112"/>
      <c r="N48" s="112"/>
      <c r="O48" s="112"/>
      <c r="P48" s="112"/>
      <c r="Q48" s="112"/>
      <c r="R48" s="112"/>
      <c r="S48" s="112"/>
      <c r="T48" s="112"/>
      <c r="U48" s="112"/>
      <c r="V48" s="112"/>
      <c r="W48" s="112"/>
      <c r="X48" s="112"/>
      <c r="Y48" s="112" t="s">
        <v>1633</v>
      </c>
      <c r="Z48" s="112"/>
      <c r="AA48" s="112"/>
      <c r="AB48" s="112"/>
      <c r="AC48" s="112"/>
      <c r="AD48" s="112"/>
      <c r="AE48" s="112"/>
      <c r="AF48" s="112"/>
      <c r="AG48" s="112"/>
      <c r="AH48" s="112"/>
      <c r="AI48" s="112" t="s">
        <v>1740</v>
      </c>
      <c r="AJ48" s="112"/>
      <c r="AK48" s="112"/>
      <c r="AL48" s="112"/>
      <c r="AM48" s="112"/>
      <c r="AN48" s="112"/>
    </row>
    <row r="49" spans="1:40" ht="18" customHeight="1">
      <c r="A49" s="114" t="s">
        <v>1741</v>
      </c>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t="s">
        <v>1742</v>
      </c>
      <c r="Z49" s="112"/>
      <c r="AA49" s="112"/>
      <c r="AB49" s="112"/>
      <c r="AC49" s="112"/>
      <c r="AD49" s="112"/>
      <c r="AE49" s="112"/>
      <c r="AF49" s="112"/>
      <c r="AG49" s="112"/>
      <c r="AH49" s="112"/>
      <c r="AI49" s="112"/>
      <c r="AJ49" s="112"/>
      <c r="AK49" s="112"/>
      <c r="AL49" s="112"/>
      <c r="AM49" s="112"/>
      <c r="AN49" s="112"/>
    </row>
    <row r="50" spans="1:40" ht="18" customHeight="1">
      <c r="A50" s="114" t="s">
        <v>1743</v>
      </c>
      <c r="B50" s="112"/>
      <c r="C50" s="112"/>
      <c r="D50" s="112"/>
      <c r="E50" s="112"/>
      <c r="F50" s="112"/>
      <c r="G50" s="112"/>
      <c r="H50" s="112"/>
      <c r="I50" s="112" t="s">
        <v>1744</v>
      </c>
      <c r="J50" s="112"/>
      <c r="K50" s="112"/>
      <c r="L50" s="112"/>
      <c r="M50" s="112"/>
      <c r="N50" s="112"/>
      <c r="O50" s="112"/>
      <c r="P50" s="112"/>
      <c r="Q50" s="112"/>
      <c r="R50" s="112"/>
      <c r="S50" s="112"/>
      <c r="T50" s="112"/>
      <c r="U50" s="112"/>
      <c r="V50" s="112"/>
      <c r="W50" s="112"/>
      <c r="X50" s="112"/>
      <c r="Y50" s="112" t="s">
        <v>1633</v>
      </c>
      <c r="Z50" s="112"/>
      <c r="AA50" s="112"/>
      <c r="AB50" s="112"/>
      <c r="AC50" s="112"/>
      <c r="AD50" s="112"/>
      <c r="AE50" s="112"/>
      <c r="AF50" s="112"/>
      <c r="AG50" s="112"/>
      <c r="AH50" s="112"/>
      <c r="AI50" s="112" t="s">
        <v>1745</v>
      </c>
      <c r="AJ50" s="112"/>
      <c r="AK50" s="112"/>
      <c r="AL50" s="112"/>
      <c r="AM50" s="112"/>
      <c r="AN50" s="112"/>
    </row>
    <row r="51" spans="1:40" ht="18" customHeight="1">
      <c r="A51" s="114" t="s">
        <v>1746</v>
      </c>
      <c r="B51" s="112"/>
      <c r="C51" s="112"/>
      <c r="D51" s="112"/>
      <c r="E51" s="112"/>
      <c r="F51" s="112"/>
      <c r="G51" s="112"/>
      <c r="H51" s="112"/>
      <c r="I51" s="112" t="s">
        <v>1747</v>
      </c>
      <c r="J51" s="112"/>
      <c r="K51" s="112"/>
      <c r="L51" s="112"/>
      <c r="M51" s="112"/>
      <c r="N51" s="112"/>
      <c r="O51" s="112"/>
      <c r="P51" s="112"/>
      <c r="Q51" s="112"/>
      <c r="R51" s="112"/>
      <c r="S51" s="112"/>
      <c r="T51" s="112"/>
      <c r="U51" s="112"/>
      <c r="V51" s="112"/>
      <c r="W51" s="112"/>
      <c r="X51" s="112"/>
      <c r="Y51" s="112" t="s">
        <v>1748</v>
      </c>
      <c r="Z51" s="112"/>
      <c r="AA51" s="112"/>
      <c r="AB51" s="112"/>
      <c r="AC51" s="112"/>
      <c r="AD51" s="112"/>
      <c r="AE51" s="112"/>
      <c r="AF51" s="112"/>
      <c r="AG51" s="112"/>
      <c r="AH51" s="112"/>
      <c r="AI51" s="112" t="s">
        <v>639</v>
      </c>
      <c r="AJ51" s="112"/>
      <c r="AK51" s="112"/>
      <c r="AL51" s="112"/>
      <c r="AM51" s="112"/>
      <c r="AN51" s="112"/>
    </row>
    <row r="52" spans="1:40" ht="18" customHeight="1">
      <c r="A52" s="114" t="s">
        <v>1749</v>
      </c>
      <c r="B52" s="112"/>
      <c r="C52" s="112"/>
      <c r="D52" s="112"/>
      <c r="E52" s="112"/>
      <c r="F52" s="112"/>
      <c r="G52" s="112"/>
      <c r="H52" s="112"/>
      <c r="I52" s="112" t="s">
        <v>1750</v>
      </c>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t="s">
        <v>1651</v>
      </c>
      <c r="AJ52" s="112"/>
      <c r="AK52" s="112"/>
      <c r="AL52" s="112"/>
      <c r="AM52" s="112"/>
      <c r="AN52" s="112"/>
    </row>
    <row r="53" spans="1:40" ht="18" customHeight="1">
      <c r="A53" s="114" t="s">
        <v>1751</v>
      </c>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t="s">
        <v>1752</v>
      </c>
      <c r="Z53" s="112"/>
      <c r="AA53" s="112"/>
      <c r="AB53" s="112"/>
      <c r="AC53" s="112"/>
      <c r="AD53" s="112"/>
      <c r="AE53" s="112"/>
      <c r="AF53" s="112"/>
      <c r="AG53" s="112"/>
      <c r="AH53" s="112"/>
      <c r="AI53" s="112" t="s">
        <v>1753</v>
      </c>
      <c r="AJ53" s="112"/>
      <c r="AK53" s="112"/>
      <c r="AL53" s="112"/>
      <c r="AM53" s="112"/>
      <c r="AN53" s="112"/>
    </row>
    <row r="54" spans="1:40" ht="18" customHeight="1">
      <c r="A54" s="112"/>
      <c r="B54" s="112"/>
      <c r="C54" s="112"/>
      <c r="D54" s="112"/>
      <c r="E54" s="112"/>
      <c r="F54" s="112"/>
      <c r="G54" s="112"/>
      <c r="H54" s="112"/>
      <c r="I54" s="112" t="s">
        <v>1754</v>
      </c>
      <c r="J54" s="112"/>
      <c r="K54" s="112"/>
      <c r="L54" s="112"/>
      <c r="M54" s="112"/>
      <c r="N54" s="112"/>
      <c r="O54" s="112"/>
      <c r="P54" s="112"/>
      <c r="Q54" s="112"/>
      <c r="R54" s="112"/>
      <c r="S54" s="112"/>
      <c r="T54" s="112"/>
      <c r="U54" s="112"/>
      <c r="V54" s="112"/>
      <c r="W54" s="112"/>
      <c r="X54" s="112"/>
      <c r="Y54" s="112" t="s">
        <v>1755</v>
      </c>
      <c r="Z54" s="112"/>
      <c r="AA54" s="112"/>
      <c r="AB54" s="112"/>
      <c r="AC54" s="112"/>
      <c r="AD54" s="112"/>
      <c r="AE54" s="112"/>
      <c r="AF54" s="112"/>
      <c r="AG54" s="112"/>
      <c r="AH54" s="112"/>
      <c r="AI54" s="112" t="s">
        <v>643</v>
      </c>
      <c r="AJ54" s="112"/>
      <c r="AK54" s="112"/>
      <c r="AL54" s="112"/>
      <c r="AM54" s="112"/>
      <c r="AN54" s="112"/>
    </row>
    <row r="55" spans="1:40" ht="18" customHeight="1">
      <c r="A55" s="112"/>
      <c r="B55" s="112"/>
      <c r="C55" s="112"/>
      <c r="D55" s="112"/>
      <c r="E55" s="112"/>
      <c r="F55" s="112"/>
      <c r="G55" s="112"/>
      <c r="H55" s="112"/>
      <c r="I55" s="112" t="s">
        <v>1756</v>
      </c>
      <c r="J55" s="112"/>
      <c r="K55" s="112"/>
      <c r="L55" s="112"/>
      <c r="M55" s="112"/>
      <c r="N55" s="112"/>
      <c r="O55" s="112"/>
      <c r="P55" s="112"/>
      <c r="Q55" s="112"/>
      <c r="R55" s="112"/>
      <c r="S55" s="112"/>
      <c r="T55" s="112"/>
      <c r="U55" s="112"/>
      <c r="V55" s="112"/>
      <c r="W55" s="112"/>
      <c r="X55" s="112"/>
      <c r="Y55" s="112" t="s">
        <v>1757</v>
      </c>
      <c r="Z55" s="112"/>
      <c r="AA55" s="112"/>
      <c r="AB55" s="112"/>
      <c r="AC55" s="112"/>
      <c r="AD55" s="112"/>
      <c r="AE55" s="112"/>
      <c r="AF55" s="112"/>
      <c r="AG55" s="112"/>
      <c r="AH55" s="112"/>
      <c r="AI55" s="112" t="s">
        <v>1660</v>
      </c>
      <c r="AJ55" s="112"/>
      <c r="AK55" s="112"/>
      <c r="AL55" s="112"/>
      <c r="AM55" s="112"/>
      <c r="AN55" s="112"/>
    </row>
    <row r="56" spans="1:40" ht="18" customHeight="1">
      <c r="A56" s="112"/>
      <c r="B56" s="112"/>
      <c r="C56" s="112"/>
      <c r="D56" s="112"/>
      <c r="E56" s="112"/>
      <c r="F56" s="112"/>
      <c r="G56" s="112"/>
      <c r="H56" s="112"/>
      <c r="I56" s="112" t="s">
        <v>1536</v>
      </c>
      <c r="J56" s="112"/>
      <c r="K56" s="112"/>
      <c r="L56" s="112"/>
      <c r="M56" s="112"/>
      <c r="N56" s="113"/>
      <c r="O56" s="112"/>
      <c r="P56" s="112"/>
      <c r="Q56" s="112"/>
      <c r="R56" s="112"/>
      <c r="S56" s="112"/>
      <c r="T56" s="112"/>
      <c r="U56" s="112"/>
      <c r="V56" s="112"/>
      <c r="W56" s="112"/>
      <c r="X56" s="112"/>
      <c r="Y56" s="112" t="s">
        <v>1758</v>
      </c>
      <c r="Z56" s="112"/>
      <c r="AA56" s="112"/>
      <c r="AB56" s="112"/>
      <c r="AC56" s="112"/>
      <c r="AD56" s="112"/>
      <c r="AE56" s="112"/>
      <c r="AF56" s="112"/>
      <c r="AG56" s="112"/>
      <c r="AH56" s="112"/>
      <c r="AI56" s="112" t="s">
        <v>1759</v>
      </c>
      <c r="AJ56" s="112"/>
      <c r="AK56" s="112"/>
      <c r="AL56" s="112"/>
      <c r="AM56" s="112"/>
      <c r="AN56" s="112"/>
    </row>
    <row r="57" spans="1:40" ht="18" customHeight="1">
      <c r="A57" s="112"/>
      <c r="B57" s="112"/>
      <c r="C57" s="112"/>
      <c r="D57" s="112"/>
      <c r="E57" s="112"/>
      <c r="F57" s="112"/>
      <c r="G57" s="112"/>
      <c r="H57" s="112"/>
      <c r="I57" s="112" t="s">
        <v>1658</v>
      </c>
      <c r="J57" s="112"/>
      <c r="K57" s="112"/>
      <c r="L57" s="112"/>
      <c r="M57" s="112"/>
      <c r="N57" s="114"/>
      <c r="O57" s="112"/>
      <c r="P57" s="112"/>
      <c r="Q57" s="112"/>
      <c r="R57" s="112"/>
      <c r="S57" s="112"/>
      <c r="T57" s="112"/>
      <c r="U57" s="112"/>
      <c r="V57" s="112"/>
      <c r="W57" s="112"/>
      <c r="X57" s="112"/>
      <c r="Y57" s="112" t="s">
        <v>1760</v>
      </c>
      <c r="Z57" s="112"/>
      <c r="AA57" s="112"/>
      <c r="AB57" s="112"/>
      <c r="AC57" s="112"/>
      <c r="AD57" s="112"/>
      <c r="AE57" s="112"/>
      <c r="AF57" s="112"/>
      <c r="AG57" s="112"/>
      <c r="AH57" s="112"/>
      <c r="AI57" s="112" t="s">
        <v>648</v>
      </c>
      <c r="AJ57" s="112"/>
      <c r="AK57" s="112"/>
      <c r="AL57" s="112"/>
      <c r="AM57" s="112"/>
      <c r="AN57" s="112"/>
    </row>
    <row r="58" spans="1:40" ht="18" customHeight="1">
      <c r="A58" s="112"/>
      <c r="B58" s="112"/>
      <c r="C58" s="112"/>
      <c r="D58" s="112"/>
      <c r="E58" s="112"/>
      <c r="F58" s="112"/>
      <c r="G58" s="112"/>
      <c r="H58" s="112"/>
      <c r="I58" s="112" t="s">
        <v>1761</v>
      </c>
      <c r="J58" s="112"/>
      <c r="K58" s="112"/>
      <c r="L58" s="112"/>
      <c r="M58" s="112"/>
      <c r="N58" s="114"/>
      <c r="O58" s="112"/>
      <c r="P58" s="112"/>
      <c r="Q58" s="112"/>
      <c r="R58" s="112"/>
      <c r="S58" s="112"/>
      <c r="T58" s="112"/>
      <c r="U58" s="112"/>
      <c r="V58" s="112"/>
      <c r="W58" s="112"/>
      <c r="X58" s="112"/>
      <c r="Y58" s="112" t="s">
        <v>1762</v>
      </c>
      <c r="Z58" s="112"/>
      <c r="AA58" s="112"/>
      <c r="AB58" s="112"/>
      <c r="AC58" s="112"/>
      <c r="AD58" s="112"/>
      <c r="AE58" s="112"/>
      <c r="AF58" s="112"/>
      <c r="AG58" s="112"/>
      <c r="AH58" s="112"/>
      <c r="AI58" s="112"/>
      <c r="AJ58" s="112"/>
      <c r="AK58" s="112"/>
      <c r="AL58" s="112"/>
      <c r="AM58" s="112"/>
      <c r="AN58" s="112"/>
    </row>
    <row r="59" spans="1:40" ht="18" customHeight="1">
      <c r="A59" s="112"/>
      <c r="B59" s="112"/>
      <c r="C59" s="112"/>
      <c r="D59" s="112"/>
      <c r="E59" s="112"/>
      <c r="F59" s="112"/>
      <c r="G59" s="112"/>
      <c r="H59" s="112"/>
      <c r="I59" s="112" t="s">
        <v>1660</v>
      </c>
      <c r="J59" s="112"/>
      <c r="K59" s="112"/>
      <c r="L59" s="112"/>
      <c r="M59" s="112"/>
      <c r="N59" s="114"/>
      <c r="O59" s="112"/>
      <c r="P59" s="112"/>
      <c r="Q59" s="112"/>
      <c r="R59" s="112"/>
      <c r="S59" s="112"/>
      <c r="T59" s="112"/>
      <c r="U59" s="112"/>
      <c r="V59" s="112"/>
      <c r="W59" s="112"/>
      <c r="X59" s="112"/>
      <c r="Y59" s="112" t="s">
        <v>1763</v>
      </c>
      <c r="Z59" s="112"/>
      <c r="AA59" s="112"/>
      <c r="AB59" s="112"/>
      <c r="AC59" s="112"/>
      <c r="AD59" s="112"/>
      <c r="AE59" s="112"/>
      <c r="AF59" s="112"/>
      <c r="AG59" s="112"/>
      <c r="AH59" s="112"/>
      <c r="AI59" s="112" t="s">
        <v>1764</v>
      </c>
      <c r="AJ59" s="112"/>
      <c r="AK59" s="112"/>
      <c r="AL59" s="112"/>
      <c r="AM59" s="112"/>
      <c r="AN59" s="112"/>
    </row>
    <row r="60" spans="1:40" ht="18" customHeight="1">
      <c r="A60" s="112"/>
      <c r="B60" s="112"/>
      <c r="C60" s="112"/>
      <c r="D60" s="112"/>
      <c r="E60" s="112"/>
      <c r="F60" s="112"/>
      <c r="G60" s="112"/>
      <c r="H60" s="112"/>
      <c r="I60" s="112" t="s">
        <v>1765</v>
      </c>
      <c r="J60" s="112"/>
      <c r="K60" s="112"/>
      <c r="L60" s="112"/>
      <c r="M60" s="112"/>
      <c r="N60" s="114"/>
      <c r="O60" s="112"/>
      <c r="P60" s="112"/>
      <c r="Q60" s="112"/>
      <c r="R60" s="112"/>
      <c r="S60" s="112"/>
      <c r="T60" s="112"/>
      <c r="U60" s="112"/>
      <c r="V60" s="112"/>
      <c r="W60" s="112"/>
      <c r="X60" s="112"/>
      <c r="Y60" s="112" t="s">
        <v>1766</v>
      </c>
      <c r="Z60" s="112"/>
      <c r="AA60" s="112"/>
      <c r="AB60" s="112"/>
      <c r="AC60" s="112"/>
      <c r="AD60" s="112"/>
      <c r="AE60" s="112"/>
      <c r="AF60" s="112"/>
      <c r="AG60" s="112"/>
      <c r="AH60" s="112"/>
      <c r="AI60" s="112" t="s">
        <v>639</v>
      </c>
      <c r="AJ60" s="112"/>
      <c r="AK60" s="112"/>
      <c r="AL60" s="112"/>
      <c r="AM60" s="112"/>
      <c r="AN60" s="112"/>
    </row>
    <row r="61" spans="1:40" ht="18" customHeight="1">
      <c r="A61" s="112"/>
      <c r="B61" s="112"/>
      <c r="C61" s="112"/>
      <c r="D61" s="112"/>
      <c r="E61" s="112"/>
      <c r="F61" s="112"/>
      <c r="G61" s="112"/>
      <c r="H61" s="112"/>
      <c r="I61" s="112" t="s">
        <v>1767</v>
      </c>
      <c r="J61" s="112"/>
      <c r="K61" s="112"/>
      <c r="L61" s="112"/>
      <c r="M61" s="112"/>
      <c r="N61" s="114"/>
      <c r="O61" s="112"/>
      <c r="P61" s="112"/>
      <c r="Q61" s="112"/>
      <c r="R61" s="112"/>
      <c r="S61" s="112"/>
      <c r="T61" s="112"/>
      <c r="U61" s="112"/>
      <c r="V61" s="112"/>
      <c r="W61" s="112"/>
      <c r="X61" s="112"/>
      <c r="Y61" s="112"/>
      <c r="Z61" s="112"/>
      <c r="AA61" s="112"/>
      <c r="AB61" s="112"/>
      <c r="AC61" s="112"/>
      <c r="AD61" s="112"/>
      <c r="AE61" s="112"/>
      <c r="AF61" s="112"/>
      <c r="AG61" s="112"/>
      <c r="AH61" s="112"/>
      <c r="AI61" s="112" t="s">
        <v>1768</v>
      </c>
      <c r="AJ61" s="112"/>
      <c r="AK61" s="112"/>
      <c r="AL61" s="112"/>
      <c r="AM61" s="112"/>
      <c r="AN61" s="112"/>
    </row>
    <row r="62" spans="1:40" ht="18" customHeight="1">
      <c r="A62" s="112"/>
      <c r="B62" s="112"/>
      <c r="C62" s="112"/>
      <c r="D62" s="112"/>
      <c r="E62" s="112"/>
      <c r="F62" s="112"/>
      <c r="G62" s="112"/>
      <c r="H62" s="112"/>
      <c r="I62" s="112" t="s">
        <v>1688</v>
      </c>
      <c r="J62" s="112"/>
      <c r="K62" s="112"/>
      <c r="L62" s="112"/>
      <c r="M62" s="112"/>
      <c r="N62" s="114"/>
      <c r="O62" s="112"/>
      <c r="P62" s="112"/>
      <c r="Q62" s="112"/>
      <c r="R62" s="112"/>
      <c r="S62" s="112"/>
      <c r="T62" s="112"/>
      <c r="U62" s="112"/>
      <c r="V62" s="112"/>
      <c r="W62" s="112"/>
      <c r="X62" s="112"/>
      <c r="Y62" s="112" t="s">
        <v>1769</v>
      </c>
      <c r="Z62" s="112"/>
      <c r="AA62" s="112"/>
      <c r="AB62" s="112"/>
      <c r="AC62" s="112"/>
      <c r="AD62" s="112"/>
      <c r="AE62" s="112"/>
      <c r="AF62" s="112"/>
      <c r="AG62" s="112"/>
      <c r="AH62" s="112"/>
      <c r="AI62" s="112" t="s">
        <v>1770</v>
      </c>
      <c r="AJ62" s="112"/>
      <c r="AK62" s="112"/>
      <c r="AL62" s="112"/>
      <c r="AM62" s="112"/>
      <c r="AN62" s="112"/>
    </row>
    <row r="63" spans="1:40" ht="18" customHeight="1">
      <c r="A63" s="112"/>
      <c r="B63" s="112"/>
      <c r="C63" s="112"/>
      <c r="D63" s="112"/>
      <c r="E63" s="112"/>
      <c r="F63" s="112"/>
      <c r="G63" s="112"/>
      <c r="H63" s="112"/>
      <c r="I63" s="112"/>
      <c r="J63" s="112"/>
      <c r="K63" s="112"/>
      <c r="L63" s="112"/>
      <c r="M63" s="112"/>
      <c r="N63" s="114"/>
      <c r="O63" s="112"/>
      <c r="P63" s="112"/>
      <c r="Q63" s="112"/>
      <c r="R63" s="112"/>
      <c r="S63" s="112"/>
      <c r="T63" s="112"/>
      <c r="U63" s="112"/>
      <c r="V63" s="112"/>
      <c r="W63" s="112"/>
      <c r="X63" s="112"/>
      <c r="Y63" s="112" t="s">
        <v>1771</v>
      </c>
      <c r="Z63" s="112"/>
      <c r="AA63" s="112"/>
      <c r="AB63" s="115"/>
      <c r="AC63" s="112"/>
      <c r="AD63" s="112"/>
      <c r="AE63" s="112"/>
      <c r="AF63" s="112"/>
      <c r="AG63" s="112"/>
      <c r="AH63" s="112"/>
      <c r="AI63" s="112" t="s">
        <v>1772</v>
      </c>
      <c r="AJ63" s="112"/>
      <c r="AK63" s="112"/>
      <c r="AL63" s="112"/>
      <c r="AM63" s="112"/>
      <c r="AN63" s="112"/>
    </row>
    <row r="64" spans="1:40" ht="18" customHeight="1">
      <c r="A64" s="112"/>
      <c r="B64" s="112"/>
      <c r="C64" s="112"/>
      <c r="D64" s="112"/>
      <c r="E64" s="112"/>
      <c r="F64" s="112"/>
      <c r="G64" s="112"/>
      <c r="H64" s="112"/>
      <c r="I64" s="112" t="s">
        <v>1773</v>
      </c>
      <c r="J64" s="112"/>
      <c r="K64" s="112"/>
      <c r="L64" s="112"/>
      <c r="M64" s="112"/>
      <c r="N64" s="114"/>
      <c r="O64" s="112"/>
      <c r="P64" s="112"/>
      <c r="Q64" s="112"/>
      <c r="R64" s="112"/>
      <c r="S64" s="112"/>
      <c r="T64" s="112"/>
      <c r="U64" s="112"/>
      <c r="V64" s="112"/>
      <c r="W64" s="112"/>
      <c r="X64" s="112"/>
      <c r="Y64" s="112"/>
      <c r="Z64" s="112"/>
      <c r="AA64" s="112"/>
      <c r="AB64" s="112"/>
      <c r="AC64" s="112"/>
      <c r="AD64" s="112"/>
      <c r="AE64" s="112"/>
      <c r="AF64" s="112"/>
      <c r="AG64" s="112"/>
      <c r="AH64" s="112"/>
      <c r="AI64" s="112" t="s">
        <v>1774</v>
      </c>
      <c r="AJ64" s="112"/>
      <c r="AK64" s="112"/>
      <c r="AL64" s="112"/>
      <c r="AM64" s="112"/>
      <c r="AN64" s="112"/>
    </row>
    <row r="65" spans="1:40" ht="18" customHeight="1">
      <c r="A65" s="112"/>
      <c r="B65" s="112"/>
      <c r="C65" s="112"/>
      <c r="D65" s="112"/>
      <c r="E65" s="112"/>
      <c r="F65" s="112"/>
      <c r="G65" s="112"/>
      <c r="H65" s="112"/>
      <c r="I65" s="112" t="s">
        <v>1775</v>
      </c>
      <c r="J65" s="112"/>
      <c r="K65" s="112"/>
      <c r="L65" s="112"/>
      <c r="M65" s="112"/>
      <c r="N65" s="114"/>
      <c r="O65" s="112"/>
      <c r="P65" s="112"/>
      <c r="Q65" s="112"/>
      <c r="R65" s="112"/>
      <c r="S65" s="112"/>
      <c r="T65" s="112"/>
      <c r="U65" s="112"/>
      <c r="V65" s="112"/>
      <c r="W65" s="112"/>
      <c r="X65" s="112"/>
      <c r="Y65" s="112"/>
      <c r="Z65" s="112"/>
      <c r="AA65" s="112"/>
      <c r="AB65" s="112"/>
      <c r="AC65" s="112"/>
      <c r="AD65" s="112"/>
      <c r="AE65" s="112"/>
      <c r="AF65" s="112"/>
      <c r="AG65" s="112"/>
      <c r="AH65" s="112"/>
      <c r="AI65" s="112" t="s">
        <v>1615</v>
      </c>
      <c r="AJ65" s="112"/>
      <c r="AK65" s="112"/>
      <c r="AL65" s="112"/>
      <c r="AM65" s="112"/>
      <c r="AN65" s="112"/>
    </row>
    <row r="66" spans="1:40" ht="18" customHeight="1">
      <c r="A66" s="112"/>
      <c r="B66" s="112"/>
      <c r="C66" s="112"/>
      <c r="D66" s="112"/>
      <c r="E66" s="112"/>
      <c r="F66" s="112"/>
      <c r="G66" s="112"/>
      <c r="H66" s="112"/>
      <c r="I66" s="112" t="s">
        <v>1776</v>
      </c>
      <c r="J66" s="112"/>
      <c r="K66" s="112"/>
      <c r="L66" s="112"/>
      <c r="M66" s="112"/>
      <c r="N66" s="114"/>
      <c r="O66" s="112"/>
      <c r="P66" s="112"/>
      <c r="Q66" s="112"/>
      <c r="R66" s="112"/>
      <c r="S66" s="112"/>
      <c r="T66" s="112"/>
      <c r="U66" s="112"/>
      <c r="V66" s="112"/>
      <c r="W66" s="112"/>
      <c r="X66" s="112"/>
      <c r="Y66" s="112"/>
      <c r="Z66" s="112"/>
      <c r="AA66" s="112"/>
      <c r="AB66" s="112"/>
      <c r="AC66" s="112"/>
      <c r="AD66" s="112"/>
      <c r="AE66" s="112"/>
      <c r="AF66" s="112"/>
      <c r="AG66" s="112"/>
      <c r="AH66" s="112"/>
      <c r="AI66" s="112"/>
      <c r="AJ66" s="112"/>
      <c r="AK66" s="112"/>
      <c r="AL66" s="112"/>
      <c r="AM66" s="112"/>
      <c r="AN66" s="112"/>
    </row>
    <row r="67" spans="1:40" ht="18" customHeight="1">
      <c r="A67" s="112"/>
      <c r="B67" s="112"/>
      <c r="C67" s="112"/>
      <c r="D67" s="112"/>
      <c r="E67" s="112"/>
      <c r="F67" s="112"/>
      <c r="G67" s="112"/>
      <c r="H67" s="112"/>
      <c r="I67" s="112" t="s">
        <v>1777</v>
      </c>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c r="AG67" s="112"/>
      <c r="AH67" s="112"/>
      <c r="AI67" s="112" t="s">
        <v>1778</v>
      </c>
      <c r="AJ67" s="112"/>
      <c r="AK67" s="112"/>
      <c r="AL67" s="112"/>
      <c r="AM67" s="112"/>
      <c r="AN67" s="112"/>
    </row>
    <row r="68" spans="1:40" ht="18" customHeight="1">
      <c r="A68" s="112"/>
      <c r="B68" s="112"/>
      <c r="C68" s="112"/>
      <c r="D68" s="112"/>
      <c r="E68" s="112"/>
      <c r="F68" s="112"/>
      <c r="G68" s="112"/>
      <c r="H68" s="112"/>
      <c r="I68" s="112" t="s">
        <v>1779</v>
      </c>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c r="AG68" s="112"/>
      <c r="AH68" s="112"/>
      <c r="AI68" s="112" t="s">
        <v>639</v>
      </c>
      <c r="AJ68" s="112"/>
      <c r="AK68" s="112"/>
      <c r="AL68" s="112"/>
      <c r="AM68" s="112"/>
      <c r="AN68" s="112"/>
    </row>
    <row r="69" spans="1:40" ht="18" customHeight="1">
      <c r="A69" s="112"/>
      <c r="B69" s="112"/>
      <c r="C69" s="112"/>
      <c r="D69" s="112"/>
      <c r="E69" s="112"/>
      <c r="F69" s="112"/>
      <c r="G69" s="112"/>
      <c r="H69" s="112"/>
      <c r="I69" s="112" t="s">
        <v>1780</v>
      </c>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c r="AG69" s="112"/>
      <c r="AH69" s="112"/>
      <c r="AI69" s="112" t="s">
        <v>1536</v>
      </c>
      <c r="AJ69" s="112"/>
      <c r="AK69" s="112"/>
      <c r="AL69" s="112"/>
      <c r="AM69" s="112"/>
      <c r="AN69" s="112"/>
    </row>
    <row r="70" spans="1:40" ht="18" customHeight="1">
      <c r="A70" s="112"/>
      <c r="B70" s="112"/>
      <c r="C70" s="112"/>
      <c r="D70" s="112"/>
      <c r="E70" s="112"/>
      <c r="F70" s="112"/>
      <c r="G70" s="112"/>
      <c r="H70" s="112"/>
      <c r="I70" s="112"/>
      <c r="J70" s="112"/>
      <c r="K70" s="112"/>
      <c r="L70" s="112"/>
      <c r="M70" s="112" t="s">
        <v>1781</v>
      </c>
      <c r="N70" s="112"/>
      <c r="O70" s="112"/>
      <c r="P70" s="112"/>
      <c r="Q70" s="112"/>
      <c r="R70" s="112"/>
      <c r="S70" s="112"/>
      <c r="T70" s="112"/>
      <c r="U70" s="112"/>
      <c r="V70" s="112"/>
      <c r="W70" s="112"/>
      <c r="X70" s="112"/>
      <c r="Y70" s="112"/>
      <c r="Z70" s="112"/>
      <c r="AA70" s="112"/>
      <c r="AB70" s="112"/>
      <c r="AC70" s="112"/>
      <c r="AD70" s="112"/>
      <c r="AE70" s="112"/>
      <c r="AF70" s="112"/>
      <c r="AG70" s="112"/>
      <c r="AH70" s="112"/>
      <c r="AI70" s="112" t="s">
        <v>1658</v>
      </c>
      <c r="AJ70" s="112"/>
      <c r="AK70" s="112"/>
      <c r="AL70" s="112"/>
      <c r="AM70" s="112"/>
      <c r="AN70" s="112"/>
    </row>
    <row r="71" spans="1:40" ht="18" customHeight="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c r="AG71" s="112"/>
      <c r="AH71" s="112"/>
      <c r="AI71" s="112" t="s">
        <v>1678</v>
      </c>
      <c r="AJ71" s="112"/>
      <c r="AK71" s="112"/>
      <c r="AL71" s="112"/>
      <c r="AM71" s="112"/>
      <c r="AN71" s="112"/>
    </row>
    <row r="72" spans="1:40" ht="18" customHeight="1">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c r="AG72" s="112"/>
      <c r="AH72" s="112"/>
      <c r="AI72" s="112" t="s">
        <v>1660</v>
      </c>
      <c r="AJ72" s="112"/>
      <c r="AK72" s="112"/>
      <c r="AL72" s="112"/>
      <c r="AM72" s="112"/>
      <c r="AN72" s="112"/>
    </row>
    <row r="73" spans="1:40" ht="18" customHeight="1">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c r="AG73" s="112"/>
      <c r="AH73" s="112"/>
      <c r="AI73" s="112" t="s">
        <v>1767</v>
      </c>
      <c r="AJ73" s="112"/>
      <c r="AK73" s="112"/>
      <c r="AL73" s="112"/>
      <c r="AM73" s="112"/>
      <c r="AN73" s="112"/>
    </row>
    <row r="74" spans="1:40" ht="18" customHeight="1">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c r="AG74" s="112"/>
      <c r="AH74" s="112"/>
      <c r="AI74" s="112" t="s">
        <v>1782</v>
      </c>
      <c r="AJ74" s="112"/>
      <c r="AK74" s="112"/>
      <c r="AL74" s="112"/>
      <c r="AM74" s="112"/>
      <c r="AN74" s="112"/>
    </row>
    <row r="75" spans="1:40" ht="18" customHeight="1">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c r="AG75" s="112"/>
      <c r="AH75" s="112"/>
      <c r="AI75" s="112"/>
      <c r="AJ75" s="112"/>
      <c r="AK75" s="112"/>
      <c r="AL75" s="112"/>
      <c r="AM75" s="112"/>
      <c r="AN75" s="112"/>
    </row>
    <row r="76" spans="1:40" ht="18" customHeight="1">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c r="AG76" s="112"/>
      <c r="AH76" s="112"/>
      <c r="AI76" s="112"/>
      <c r="AJ76" s="112"/>
      <c r="AK76" s="112"/>
      <c r="AL76" s="112"/>
      <c r="AM76" s="112"/>
      <c r="AN76" s="112"/>
    </row>
    <row r="77" spans="1:40" ht="18" customHeight="1">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c r="AG77" s="112"/>
      <c r="AH77" s="116"/>
      <c r="AI77" s="112"/>
      <c r="AJ77" s="112"/>
      <c r="AK77" s="112"/>
      <c r="AL77" s="112"/>
      <c r="AM77" s="112"/>
      <c r="AN77" s="112"/>
    </row>
    <row r="78" spans="1:40" ht="18" customHeight="1">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c r="AG78" s="112"/>
      <c r="AH78" s="117"/>
      <c r="AI78" s="112"/>
      <c r="AJ78" s="112"/>
      <c r="AK78" s="112"/>
      <c r="AL78" s="112"/>
      <c r="AM78" s="118"/>
      <c r="AN78" s="119"/>
    </row>
    <row r="79" spans="1:40" ht="18" customHeight="1">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c r="AG79" s="112"/>
      <c r="AH79" s="117"/>
      <c r="AI79" s="112"/>
      <c r="AJ79" s="112"/>
      <c r="AK79" s="112"/>
      <c r="AL79" s="112"/>
      <c r="AM79" s="118"/>
      <c r="AN79" s="119"/>
    </row>
    <row r="80" spans="1:40" ht="18" customHeight="1">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c r="AG80" s="112"/>
      <c r="AH80" s="117"/>
      <c r="AI80" s="112"/>
      <c r="AJ80" s="112"/>
      <c r="AK80" s="112"/>
      <c r="AL80" s="112"/>
      <c r="AM80" s="118"/>
      <c r="AN80" s="119"/>
    </row>
    <row r="81" spans="1:40" ht="18" customHeight="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c r="AG81" s="112"/>
      <c r="AH81" s="117"/>
      <c r="AI81" s="112"/>
      <c r="AJ81" s="112"/>
      <c r="AK81" s="112"/>
      <c r="AL81" s="112"/>
      <c r="AM81" s="118"/>
      <c r="AN81" s="119"/>
    </row>
    <row r="82" spans="1:40" ht="18" customHeight="1">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c r="AG82" s="112"/>
      <c r="AH82" s="117"/>
      <c r="AI82" s="112"/>
      <c r="AJ82" s="112"/>
      <c r="AK82" s="112"/>
      <c r="AL82" s="112"/>
      <c r="AM82" s="118"/>
      <c r="AN82" s="119"/>
    </row>
    <row r="83" spans="1:40" ht="18" customHeight="1">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7"/>
      <c r="AI83" s="112"/>
      <c r="AJ83" s="112"/>
      <c r="AK83" s="112"/>
      <c r="AL83" s="112"/>
      <c r="AM83" s="118"/>
      <c r="AN83" s="119"/>
    </row>
    <row r="84" spans="1:40"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6"/>
      <c r="AI84" s="1"/>
      <c r="AJ84" s="1"/>
      <c r="AK84" s="1"/>
      <c r="AL84" s="1"/>
      <c r="AM84" s="7"/>
      <c r="AN84" s="5"/>
    </row>
    <row r="85" spans="1:40"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6"/>
      <c r="AI85" s="1"/>
      <c r="AJ85" s="1"/>
      <c r="AK85" s="1"/>
      <c r="AL85" s="1"/>
      <c r="AM85" s="7"/>
      <c r="AN85" s="5"/>
    </row>
    <row r="86" spans="1:40"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6"/>
      <c r="AI86" s="1"/>
      <c r="AJ86" s="1"/>
      <c r="AK86" s="1"/>
      <c r="AL86" s="1"/>
      <c r="AM86" s="1"/>
      <c r="AN86" s="1"/>
    </row>
    <row r="87" spans="1:40"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6"/>
      <c r="AI87" s="1"/>
      <c r="AJ87" s="1"/>
      <c r="AK87" s="1"/>
      <c r="AL87" s="1"/>
      <c r="AM87" s="1"/>
      <c r="AN87" s="1"/>
    </row>
    <row r="88" spans="1:40"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6"/>
      <c r="AI88" s="1"/>
      <c r="AJ88" s="1"/>
      <c r="AK88" s="1"/>
      <c r="AL88" s="1"/>
      <c r="AM88" s="1"/>
      <c r="AN88" s="1"/>
    </row>
    <row r="89" spans="1:40"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6"/>
      <c r="AI89" s="1"/>
      <c r="AJ89" s="1"/>
      <c r="AK89" s="1"/>
      <c r="AL89" s="1"/>
      <c r="AM89" s="1"/>
      <c r="AN89" s="1"/>
    </row>
    <row r="90" spans="1:40"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6"/>
      <c r="AI90" s="1"/>
      <c r="AJ90" s="1"/>
      <c r="AK90" s="1"/>
      <c r="AL90" s="1"/>
      <c r="AM90" s="1"/>
      <c r="AN90" s="1"/>
    </row>
    <row r="91" spans="1:40"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6"/>
      <c r="AI91" s="1"/>
      <c r="AJ91" s="1"/>
      <c r="AK91" s="1"/>
      <c r="AL91" s="1"/>
      <c r="AM91" s="1"/>
      <c r="AN91" s="1"/>
    </row>
    <row r="92" spans="1:40" ht="18"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8"/>
      <c r="AI92" s="2"/>
      <c r="AJ92" s="2"/>
      <c r="AK92" s="2"/>
      <c r="AL92" s="2"/>
      <c r="AM92" s="2"/>
      <c r="AN92"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4" tint="-0.249977111117893"/>
  </sheetPr>
  <dimension ref="A1:AD351"/>
  <sheetViews>
    <sheetView showGridLines="0" topLeftCell="A2" workbookViewId="0">
      <selection activeCell="A2" sqref="A2"/>
    </sheetView>
  </sheetViews>
  <sheetFormatPr defaultColWidth="9.125" defaultRowHeight="15"/>
  <cols>
    <col min="1" max="2" width="9.125" style="87"/>
    <col min="3" max="3" width="12.375" style="87" customWidth="1"/>
    <col min="4" max="4" width="10.125" style="87" customWidth="1"/>
    <col min="5" max="5" width="23.625" style="87" customWidth="1"/>
    <col min="6" max="16384" width="9.125" style="87"/>
  </cols>
  <sheetData>
    <row r="1" spans="1:30" s="167" customFormat="1" ht="30.75" customHeight="1">
      <c r="G1" s="52" t="s">
        <v>4337</v>
      </c>
    </row>
    <row r="2" spans="1:30" s="167" customFormat="1" ht="15" customHeight="1">
      <c r="A2" s="149" t="s">
        <v>477</v>
      </c>
      <c r="B2" s="149" t="s">
        <v>1783</v>
      </c>
      <c r="C2" s="149" t="s">
        <v>1784</v>
      </c>
      <c r="D2" s="149" t="s">
        <v>1785</v>
      </c>
      <c r="E2" s="149" t="s">
        <v>1786</v>
      </c>
      <c r="F2" s="198" t="s">
        <v>1787</v>
      </c>
      <c r="G2" s="149"/>
      <c r="H2" s="149"/>
      <c r="I2" s="149"/>
      <c r="J2" s="149"/>
      <c r="K2" s="149"/>
      <c r="L2" s="149"/>
      <c r="M2" s="149"/>
      <c r="N2" s="149"/>
      <c r="O2" s="149"/>
      <c r="P2" s="149"/>
      <c r="Q2" s="149"/>
      <c r="R2" s="149"/>
      <c r="S2" s="149"/>
      <c r="T2" s="149"/>
      <c r="U2" s="149"/>
      <c r="V2" s="149"/>
      <c r="W2" s="149"/>
      <c r="X2" s="149"/>
      <c r="Y2" s="149"/>
      <c r="Z2" s="149"/>
      <c r="AA2" s="149"/>
      <c r="AB2" s="149"/>
      <c r="AC2" s="149"/>
      <c r="AD2" s="149"/>
    </row>
    <row r="3" spans="1:30" ht="18" customHeight="1">
      <c r="A3" s="151">
        <v>2024</v>
      </c>
      <c r="B3" s="151" t="s">
        <v>99</v>
      </c>
      <c r="C3" s="151" t="s">
        <v>45</v>
      </c>
      <c r="D3" s="151">
        <v>22</v>
      </c>
      <c r="E3" s="151">
        <v>59.2</v>
      </c>
      <c r="F3" s="151" t="s">
        <v>1788</v>
      </c>
      <c r="G3" s="151"/>
      <c r="H3" s="151"/>
      <c r="I3" s="151"/>
      <c r="J3" s="199"/>
      <c r="K3" s="151"/>
      <c r="L3" s="151"/>
      <c r="M3" s="151"/>
      <c r="N3" s="151"/>
      <c r="O3" s="151"/>
      <c r="P3" s="151"/>
      <c r="Q3" s="151"/>
      <c r="R3" s="151"/>
      <c r="S3" s="151"/>
      <c r="T3" s="151"/>
      <c r="U3" s="151"/>
      <c r="V3" s="151"/>
      <c r="W3" s="151"/>
      <c r="X3" s="151"/>
      <c r="Y3" s="151"/>
      <c r="Z3" s="151"/>
      <c r="AA3" s="151"/>
      <c r="AB3" s="151"/>
      <c r="AC3" s="151"/>
      <c r="AD3" s="151"/>
    </row>
    <row r="4" spans="1:30" ht="18" customHeight="1">
      <c r="A4" s="151">
        <v>2024</v>
      </c>
      <c r="B4" s="151" t="s">
        <v>184</v>
      </c>
      <c r="C4" s="151" t="s">
        <v>68</v>
      </c>
      <c r="D4" s="151">
        <v>28</v>
      </c>
      <c r="E4" s="151">
        <v>61.4</v>
      </c>
      <c r="F4" s="151" t="s">
        <v>1788</v>
      </c>
      <c r="G4" s="151"/>
      <c r="H4" s="151"/>
      <c r="I4" s="151"/>
      <c r="J4" s="200"/>
      <c r="K4" s="151"/>
      <c r="L4" s="151"/>
      <c r="M4" s="151"/>
      <c r="N4" s="151"/>
      <c r="O4" s="151"/>
      <c r="P4" s="151"/>
      <c r="Q4" s="151"/>
      <c r="R4" s="151"/>
      <c r="S4" s="151"/>
      <c r="T4" s="151"/>
      <c r="U4" s="151"/>
      <c r="V4" s="151"/>
      <c r="W4" s="151"/>
      <c r="X4" s="151"/>
      <c r="Y4" s="151"/>
      <c r="Z4" s="151"/>
      <c r="AA4" s="151"/>
      <c r="AB4" s="151"/>
      <c r="AC4" s="151"/>
      <c r="AD4" s="151"/>
    </row>
    <row r="5" spans="1:30" ht="18" customHeight="1">
      <c r="A5" s="151">
        <v>2023</v>
      </c>
      <c r="B5" s="151" t="s">
        <v>99</v>
      </c>
      <c r="C5" s="151" t="s">
        <v>45</v>
      </c>
      <c r="D5" s="151">
        <v>22</v>
      </c>
      <c r="E5" s="151">
        <v>62.5</v>
      </c>
      <c r="F5" s="151" t="s">
        <v>1788</v>
      </c>
      <c r="G5" s="151"/>
      <c r="H5" s="151"/>
      <c r="I5" s="151"/>
      <c r="J5" s="200"/>
      <c r="K5" s="151"/>
      <c r="L5" s="151"/>
      <c r="M5" s="151"/>
      <c r="N5" s="151"/>
      <c r="O5" s="151"/>
      <c r="P5" s="151"/>
      <c r="Q5" s="151"/>
      <c r="R5" s="151"/>
      <c r="S5" s="151"/>
      <c r="T5" s="151"/>
      <c r="U5" s="151"/>
      <c r="V5" s="151"/>
      <c r="W5" s="151"/>
      <c r="X5" s="151"/>
      <c r="Y5" s="151"/>
      <c r="Z5" s="151"/>
      <c r="AA5" s="151"/>
      <c r="AB5" s="151"/>
      <c r="AC5" s="151"/>
      <c r="AD5" s="151"/>
    </row>
    <row r="6" spans="1:30" ht="18" customHeight="1">
      <c r="A6" s="151">
        <v>2023</v>
      </c>
      <c r="B6" s="151" t="s">
        <v>184</v>
      </c>
      <c r="C6" s="151" t="s">
        <v>68</v>
      </c>
      <c r="D6" s="151">
        <v>28</v>
      </c>
      <c r="E6" s="151">
        <v>63</v>
      </c>
      <c r="F6" s="151" t="s">
        <v>1788</v>
      </c>
      <c r="G6" s="151"/>
      <c r="H6" s="151"/>
      <c r="I6" s="151"/>
      <c r="J6" s="200"/>
      <c r="K6" s="151"/>
      <c r="L6" s="151"/>
      <c r="M6" s="151"/>
      <c r="N6" s="151"/>
      <c r="O6" s="151"/>
      <c r="P6" s="151"/>
      <c r="Q6" s="151"/>
      <c r="R6" s="151"/>
      <c r="S6" s="151"/>
      <c r="T6" s="151"/>
      <c r="U6" s="151"/>
      <c r="V6" s="151"/>
      <c r="W6" s="151"/>
      <c r="X6" s="151"/>
      <c r="Y6" s="151"/>
      <c r="Z6" s="151"/>
      <c r="AA6" s="151"/>
      <c r="AB6" s="151"/>
      <c r="AC6" s="151"/>
      <c r="AD6" s="151"/>
    </row>
    <row r="7" spans="1:30" ht="18" customHeight="1">
      <c r="A7" s="151">
        <v>2022</v>
      </c>
      <c r="B7" s="151" t="s">
        <v>99</v>
      </c>
      <c r="C7" s="151" t="s">
        <v>45</v>
      </c>
      <c r="D7" s="151">
        <v>22</v>
      </c>
      <c r="E7" s="151">
        <v>65.599999999999994</v>
      </c>
      <c r="F7" s="151" t="s">
        <v>1788</v>
      </c>
      <c r="G7" s="151"/>
      <c r="H7" s="151"/>
      <c r="I7" s="151"/>
      <c r="J7" s="200"/>
      <c r="K7" s="151"/>
      <c r="L7" s="151"/>
      <c r="M7" s="151"/>
      <c r="N7" s="151"/>
      <c r="O7" s="151"/>
      <c r="P7" s="151"/>
      <c r="Q7" s="151"/>
      <c r="R7" s="151"/>
      <c r="S7" s="151"/>
      <c r="T7" s="151"/>
      <c r="U7" s="151"/>
      <c r="V7" s="151"/>
      <c r="W7" s="151"/>
      <c r="X7" s="151"/>
      <c r="Y7" s="151"/>
      <c r="Z7" s="151"/>
      <c r="AA7" s="151"/>
      <c r="AB7" s="151"/>
      <c r="AC7" s="151"/>
      <c r="AD7" s="151"/>
    </row>
    <row r="8" spans="1:30" ht="18" customHeight="1">
      <c r="A8" s="151">
        <v>2022</v>
      </c>
      <c r="B8" s="151" t="s">
        <v>184</v>
      </c>
      <c r="C8" s="151" t="s">
        <v>68</v>
      </c>
      <c r="D8" s="151">
        <v>28</v>
      </c>
      <c r="E8" s="151">
        <v>63.9</v>
      </c>
      <c r="F8" s="151" t="s">
        <v>1788</v>
      </c>
      <c r="G8" s="151"/>
      <c r="H8" s="151"/>
      <c r="I8" s="151"/>
      <c r="J8" s="200"/>
      <c r="K8" s="151"/>
      <c r="L8" s="151"/>
      <c r="M8" s="151"/>
      <c r="N8" s="151"/>
      <c r="O8" s="151"/>
      <c r="P8" s="151"/>
      <c r="Q8" s="151"/>
      <c r="R8" s="151"/>
      <c r="S8" s="151"/>
      <c r="T8" s="151"/>
      <c r="U8" s="151"/>
      <c r="V8" s="151"/>
      <c r="W8" s="151"/>
      <c r="X8" s="151"/>
      <c r="Y8" s="151"/>
      <c r="Z8" s="151"/>
      <c r="AA8" s="151"/>
      <c r="AB8" s="151"/>
      <c r="AC8" s="151"/>
      <c r="AD8" s="151"/>
    </row>
    <row r="9" spans="1:30" ht="18" customHeight="1">
      <c r="A9" s="151">
        <v>2021</v>
      </c>
      <c r="B9" s="151" t="s">
        <v>99</v>
      </c>
      <c r="C9" s="151" t="s">
        <v>45</v>
      </c>
      <c r="D9" s="151">
        <v>22</v>
      </c>
      <c r="E9" s="151">
        <v>68.3</v>
      </c>
      <c r="F9" s="151" t="s">
        <v>1788</v>
      </c>
      <c r="G9" s="151"/>
      <c r="H9" s="151"/>
      <c r="I9" s="151"/>
      <c r="J9" s="200"/>
      <c r="K9" s="151"/>
      <c r="L9" s="151"/>
      <c r="M9" s="151"/>
      <c r="N9" s="151"/>
      <c r="O9" s="151"/>
      <c r="P9" s="151"/>
      <c r="Q9" s="151"/>
      <c r="R9" s="151"/>
      <c r="S9" s="151"/>
      <c r="T9" s="151"/>
      <c r="U9" s="151"/>
      <c r="V9" s="151"/>
      <c r="W9" s="151"/>
      <c r="X9" s="151"/>
      <c r="Y9" s="151"/>
      <c r="Z9" s="151"/>
      <c r="AA9" s="151"/>
      <c r="AB9" s="151"/>
      <c r="AC9" s="151"/>
      <c r="AD9" s="151"/>
    </row>
    <row r="10" spans="1:30" ht="18" customHeight="1">
      <c r="A10" s="151">
        <v>2021</v>
      </c>
      <c r="B10" s="151" t="s">
        <v>184</v>
      </c>
      <c r="C10" s="151" t="s">
        <v>68</v>
      </c>
      <c r="D10" s="151">
        <v>28</v>
      </c>
      <c r="E10" s="151">
        <v>65.2</v>
      </c>
      <c r="F10" s="151" t="s">
        <v>1788</v>
      </c>
      <c r="G10" s="151"/>
      <c r="H10" s="151"/>
      <c r="I10" s="151"/>
      <c r="J10" s="151"/>
      <c r="K10" s="151"/>
      <c r="L10" s="151"/>
      <c r="M10" s="151"/>
      <c r="N10" s="151"/>
      <c r="O10" s="151"/>
      <c r="P10" s="151"/>
      <c r="Q10" s="151"/>
      <c r="R10" s="151"/>
      <c r="S10" s="151"/>
      <c r="T10" s="155"/>
      <c r="U10" s="151"/>
      <c r="V10" s="151"/>
      <c r="W10" s="151"/>
      <c r="X10" s="151"/>
      <c r="Y10" s="151"/>
      <c r="Z10" s="151"/>
      <c r="AA10" s="151"/>
      <c r="AB10" s="151"/>
      <c r="AC10" s="151"/>
      <c r="AD10" s="151"/>
    </row>
    <row r="11" spans="1:30" ht="18" customHeight="1">
      <c r="A11" s="151">
        <v>2020</v>
      </c>
      <c r="B11" s="151" t="s">
        <v>99</v>
      </c>
      <c r="C11" s="151" t="s">
        <v>45</v>
      </c>
      <c r="D11" s="151">
        <v>22</v>
      </c>
      <c r="E11" s="151">
        <v>68.3</v>
      </c>
      <c r="F11" s="151" t="s">
        <v>1788</v>
      </c>
      <c r="G11" s="151"/>
      <c r="H11" s="151"/>
      <c r="I11" s="151"/>
      <c r="J11" s="151"/>
      <c r="K11" s="151"/>
      <c r="L11" s="151"/>
      <c r="M11" s="151"/>
      <c r="N11" s="151"/>
      <c r="O11" s="151"/>
      <c r="P11" s="151"/>
      <c r="Q11" s="151"/>
      <c r="R11" s="151"/>
      <c r="S11" s="151"/>
      <c r="T11" s="155"/>
      <c r="U11" s="151"/>
      <c r="V11" s="151"/>
      <c r="W11" s="151"/>
      <c r="X11" s="151"/>
      <c r="Y11" s="151"/>
      <c r="Z11" s="151"/>
      <c r="AA11" s="151"/>
      <c r="AB11" s="151"/>
      <c r="AC11" s="151"/>
      <c r="AD11" s="151"/>
    </row>
    <row r="12" spans="1:30" ht="18" customHeight="1">
      <c r="A12" s="151">
        <v>2020</v>
      </c>
      <c r="B12" s="151" t="s">
        <v>184</v>
      </c>
      <c r="C12" s="151" t="s">
        <v>68</v>
      </c>
      <c r="D12" s="151">
        <v>28</v>
      </c>
      <c r="E12" s="151">
        <v>64.5</v>
      </c>
      <c r="F12" s="151" t="s">
        <v>1788</v>
      </c>
      <c r="G12" s="151"/>
      <c r="H12" s="151"/>
      <c r="I12" s="151"/>
      <c r="J12" s="151"/>
      <c r="K12" s="151"/>
      <c r="L12" s="151"/>
      <c r="M12" s="151"/>
      <c r="N12" s="151"/>
      <c r="O12" s="151"/>
      <c r="P12" s="151"/>
      <c r="Q12" s="151"/>
      <c r="R12" s="151"/>
      <c r="S12" s="151"/>
      <c r="T12" s="151"/>
      <c r="U12" s="151"/>
      <c r="V12" s="151"/>
      <c r="W12" s="151"/>
      <c r="X12" s="151"/>
      <c r="Y12" s="151"/>
      <c r="Z12" s="151"/>
      <c r="AA12" s="151"/>
      <c r="AB12" s="151"/>
      <c r="AC12" s="151"/>
      <c r="AD12" s="151"/>
    </row>
    <row r="13" spans="1:30" ht="18" customHeight="1">
      <c r="A13" s="151">
        <v>2019</v>
      </c>
      <c r="B13" s="151" t="s">
        <v>99</v>
      </c>
      <c r="C13" s="151" t="s">
        <v>45</v>
      </c>
      <c r="D13" s="151">
        <v>22</v>
      </c>
      <c r="E13" s="151">
        <v>74.7</v>
      </c>
      <c r="F13" s="151" t="s">
        <v>1788</v>
      </c>
      <c r="G13" s="151"/>
      <c r="H13" s="151"/>
      <c r="I13" s="151"/>
      <c r="J13" s="151"/>
      <c r="K13" s="151"/>
      <c r="L13" s="151"/>
      <c r="M13" s="151"/>
      <c r="N13" s="151"/>
      <c r="O13" s="151"/>
      <c r="P13" s="151"/>
      <c r="Q13" s="151"/>
      <c r="R13" s="151"/>
      <c r="S13" s="151"/>
      <c r="T13" s="151"/>
      <c r="U13" s="151"/>
      <c r="V13" s="151"/>
      <c r="W13" s="151"/>
      <c r="X13" s="151"/>
      <c r="Y13" s="151"/>
      <c r="Z13" s="151"/>
      <c r="AA13" s="151"/>
      <c r="AB13" s="151"/>
      <c r="AC13" s="151"/>
      <c r="AD13" s="151"/>
    </row>
    <row r="14" spans="1:30" ht="18" customHeight="1">
      <c r="A14" s="151">
        <v>2019</v>
      </c>
      <c r="B14" s="151" t="s">
        <v>184</v>
      </c>
      <c r="C14" s="151" t="s">
        <v>68</v>
      </c>
      <c r="D14" s="151">
        <v>28</v>
      </c>
      <c r="E14" s="151">
        <v>67.099999999999994</v>
      </c>
      <c r="F14" s="151" t="s">
        <v>1788</v>
      </c>
      <c r="G14" s="151"/>
      <c r="H14" s="151"/>
      <c r="I14" s="151"/>
      <c r="J14" s="151"/>
      <c r="K14" s="151"/>
      <c r="L14" s="151"/>
      <c r="M14" s="151"/>
      <c r="N14" s="151"/>
      <c r="O14" s="151"/>
      <c r="P14" s="151"/>
      <c r="Q14" s="151"/>
      <c r="R14" s="151"/>
      <c r="S14" s="151"/>
      <c r="T14" s="151"/>
      <c r="U14" s="151"/>
      <c r="V14" s="151"/>
      <c r="W14" s="151"/>
      <c r="X14" s="151"/>
      <c r="Y14" s="151"/>
      <c r="Z14" s="151"/>
      <c r="AA14" s="151"/>
      <c r="AB14" s="151"/>
      <c r="AC14" s="151"/>
      <c r="AD14" s="151"/>
    </row>
    <row r="15" spans="1:30" ht="18" customHeight="1">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c r="AA15" s="151"/>
      <c r="AB15" s="151"/>
      <c r="AC15" s="151"/>
      <c r="AD15" s="151"/>
    </row>
    <row r="16" spans="1:30" ht="18" customHeight="1">
      <c r="A16" s="151" t="s">
        <v>1789</v>
      </c>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1"/>
      <c r="AC16" s="151"/>
      <c r="AD16" s="151"/>
    </row>
    <row r="17" spans="1:30" ht="18" customHeight="1">
      <c r="A17" s="151" t="s">
        <v>1790</v>
      </c>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c r="AA17" s="151"/>
      <c r="AB17" s="151"/>
      <c r="AC17" s="151"/>
      <c r="AD17" s="151"/>
    </row>
    <row r="18" spans="1:30" ht="18" customHeight="1">
      <c r="A18" s="151" t="s">
        <v>1791</v>
      </c>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c r="AA18" s="151"/>
      <c r="AB18" s="151"/>
      <c r="AC18" s="151"/>
      <c r="AD18" s="151"/>
    </row>
    <row r="19" spans="1:30" ht="18" customHeight="1">
      <c r="A19" s="151" t="s">
        <v>1792</v>
      </c>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c r="AA19" s="151"/>
      <c r="AB19" s="151"/>
      <c r="AC19" s="151"/>
      <c r="AD19" s="151"/>
    </row>
    <row r="20" spans="1:30" ht="18" customHeight="1">
      <c r="A20" s="151" t="s">
        <v>1793</v>
      </c>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row>
    <row r="21" spans="1:30" ht="18" customHeight="1">
      <c r="A21" s="151" t="s">
        <v>1794</v>
      </c>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row>
    <row r="22" spans="1:30" ht="18" customHeight="1">
      <c r="A22" s="151" t="s">
        <v>1795</v>
      </c>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row>
    <row r="23" spans="1:30" ht="18" customHeight="1">
      <c r="A23" s="151" t="s">
        <v>1796</v>
      </c>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row>
    <row r="24" spans="1:30" ht="18" customHeight="1">
      <c r="A24" s="151" t="s">
        <v>1797</v>
      </c>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c r="AA24" s="151"/>
      <c r="AB24" s="151"/>
      <c r="AC24" s="151"/>
      <c r="AD24" s="151"/>
    </row>
    <row r="25" spans="1:30" ht="18" customHeight="1">
      <c r="A25" s="151" t="s">
        <v>1798</v>
      </c>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c r="AA25" s="151"/>
      <c r="AB25" s="151"/>
      <c r="AC25" s="151"/>
      <c r="AD25" s="151"/>
    </row>
    <row r="26" spans="1:30" ht="18" customHeight="1">
      <c r="A26" s="151" t="s">
        <v>1799</v>
      </c>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row>
    <row r="27" spans="1:30" ht="18" customHeight="1">
      <c r="A27" s="151" t="s">
        <v>1800</v>
      </c>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c r="AA27" s="151"/>
      <c r="AB27" s="151"/>
      <c r="AC27" s="151"/>
      <c r="AD27" s="151"/>
    </row>
    <row r="28" spans="1:30" ht="18" customHeight="1">
      <c r="A28" s="151" t="s">
        <v>1801</v>
      </c>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c r="AA28" s="151"/>
      <c r="AB28" s="151"/>
      <c r="AC28" s="151"/>
      <c r="AD28" s="151"/>
    </row>
    <row r="29" spans="1:30" ht="18" customHeight="1">
      <c r="A29" s="151" t="s">
        <v>1802</v>
      </c>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c r="AA29" s="151"/>
      <c r="AB29" s="151"/>
      <c r="AC29" s="151"/>
      <c r="AD29" s="151"/>
    </row>
    <row r="30" spans="1:30" ht="18" customHeight="1">
      <c r="A30" s="151"/>
      <c r="B30" s="151"/>
      <c r="C30" s="151"/>
      <c r="D30" s="151"/>
      <c r="E30" s="151"/>
      <c r="F30" s="151"/>
      <c r="G30" s="151"/>
      <c r="H30" s="151"/>
      <c r="I30" s="151"/>
      <c r="J30" s="151"/>
      <c r="K30" s="151"/>
      <c r="L30" s="151"/>
      <c r="M30" s="151"/>
      <c r="N30" s="151"/>
      <c r="O30" s="151"/>
      <c r="P30" s="151"/>
      <c r="Q30" s="151"/>
      <c r="R30" s="151"/>
      <c r="S30" s="151"/>
      <c r="T30" s="155"/>
      <c r="U30" s="151"/>
      <c r="V30" s="151"/>
      <c r="W30" s="151"/>
      <c r="X30" s="151"/>
      <c r="Y30" s="151"/>
      <c r="Z30" s="151"/>
      <c r="AA30" s="151"/>
      <c r="AB30" s="151"/>
      <c r="AC30" s="151"/>
      <c r="AD30" s="151"/>
    </row>
    <row r="31" spans="1:30" ht="18" customHeight="1">
      <c r="A31" s="151"/>
      <c r="B31" s="151"/>
      <c r="C31" s="151"/>
      <c r="D31" s="151"/>
      <c r="E31" s="151"/>
      <c r="F31" s="151"/>
      <c r="G31" s="151"/>
      <c r="H31" s="151"/>
      <c r="I31" s="151"/>
      <c r="J31" s="151"/>
      <c r="K31" s="151"/>
      <c r="L31" s="151"/>
      <c r="M31" s="151"/>
      <c r="N31" s="151"/>
      <c r="O31" s="151"/>
      <c r="P31" s="151"/>
      <c r="Q31" s="151"/>
      <c r="R31" s="151"/>
      <c r="S31" s="151"/>
      <c r="T31" s="155"/>
      <c r="U31" s="151"/>
      <c r="V31" s="151"/>
      <c r="W31" s="151"/>
      <c r="X31" s="151"/>
      <c r="Y31" s="151"/>
      <c r="Z31" s="151"/>
      <c r="AA31" s="151"/>
      <c r="AB31" s="151"/>
      <c r="AC31" s="151"/>
      <c r="AD31" s="151"/>
    </row>
    <row r="32" spans="1:30" ht="18" customHeight="1">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c r="AA32" s="151"/>
      <c r="AB32" s="151"/>
      <c r="AC32" s="151"/>
      <c r="AD32" s="151"/>
    </row>
    <row r="33" spans="1:30" ht="18" customHeight="1">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row>
    <row r="34" spans="1:30" ht="18" customHeight="1">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c r="AA34" s="151"/>
      <c r="AB34" s="151"/>
      <c r="AC34" s="151"/>
      <c r="AD34" s="151"/>
    </row>
    <row r="35" spans="1:30" ht="18" customHeight="1">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row>
    <row r="36" spans="1:30" ht="18" customHeight="1">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1"/>
    </row>
    <row r="37" spans="1:30" ht="18" customHeight="1">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c r="AA37" s="151"/>
      <c r="AB37" s="151"/>
      <c r="AC37" s="151"/>
      <c r="AD37" s="151"/>
    </row>
    <row r="38" spans="1:30" ht="18" customHeight="1">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1"/>
    </row>
    <row r="39" spans="1:30" ht="18" customHeight="1">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c r="AA39" s="151"/>
      <c r="AB39" s="151"/>
      <c r="AC39" s="151"/>
      <c r="AD39" s="151"/>
    </row>
    <row r="40" spans="1:30" ht="18" customHeight="1">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c r="AA40" s="151"/>
      <c r="AB40" s="151"/>
      <c r="AC40" s="151"/>
      <c r="AD40" s="151"/>
    </row>
    <row r="41" spans="1:30" ht="18" customHeight="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c r="AA41" s="151"/>
      <c r="AB41" s="151"/>
      <c r="AC41" s="151"/>
      <c r="AD41" s="151"/>
    </row>
    <row r="42" spans="1:30" ht="18" customHeight="1">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1"/>
    </row>
    <row r="43" spans="1:30" ht="18" customHeight="1">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c r="AA43" s="151"/>
      <c r="AB43" s="151"/>
      <c r="AC43" s="151"/>
      <c r="AD43" s="151"/>
    </row>
    <row r="44" spans="1:30" ht="18" customHeight="1">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c r="AA44" s="151"/>
      <c r="AB44" s="151"/>
      <c r="AC44" s="151"/>
      <c r="AD44" s="151"/>
    </row>
    <row r="45" spans="1:30" ht="18" customHeight="1">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row>
    <row r="46" spans="1:30" ht="18" customHeight="1">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c r="AA46" s="151"/>
      <c r="AB46" s="151"/>
      <c r="AC46" s="151"/>
      <c r="AD46" s="151"/>
    </row>
    <row r="47" spans="1:30" ht="18" customHeight="1">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c r="AA47" s="151"/>
      <c r="AB47" s="151"/>
      <c r="AC47" s="151"/>
      <c r="AD47" s="151"/>
    </row>
    <row r="48" spans="1:30" ht="18" customHeight="1">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1"/>
    </row>
    <row r="49" spans="1:30" ht="18" customHeight="1">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c r="AA49" s="151"/>
      <c r="AB49" s="151"/>
      <c r="AC49" s="151"/>
      <c r="AD49" s="151"/>
    </row>
    <row r="50" spans="1:30" ht="18" customHeight="1">
      <c r="A50" s="151"/>
      <c r="B50" s="151"/>
      <c r="C50" s="151"/>
      <c r="D50" s="151"/>
      <c r="E50" s="151"/>
      <c r="F50" s="151"/>
      <c r="G50" s="151"/>
      <c r="H50" s="151"/>
      <c r="I50" s="151"/>
      <c r="J50" s="151"/>
      <c r="K50" s="151"/>
      <c r="L50" s="151"/>
      <c r="M50" s="151"/>
      <c r="N50" s="151"/>
      <c r="O50" s="151"/>
      <c r="P50" s="151"/>
      <c r="Q50" s="151"/>
      <c r="R50" s="151"/>
      <c r="S50" s="151"/>
      <c r="T50" s="155"/>
      <c r="U50" s="151"/>
      <c r="V50" s="151"/>
      <c r="W50" s="151"/>
      <c r="X50" s="151"/>
      <c r="Y50" s="151"/>
      <c r="Z50" s="151"/>
      <c r="AA50" s="151"/>
      <c r="AB50" s="151"/>
      <c r="AC50" s="151"/>
      <c r="AD50" s="151"/>
    </row>
    <row r="51" spans="1:30" ht="18" customHeight="1">
      <c r="A51" s="151"/>
      <c r="B51" s="151"/>
      <c r="C51" s="151"/>
      <c r="D51" s="151"/>
      <c r="E51" s="151"/>
      <c r="F51" s="151"/>
      <c r="G51" s="151"/>
      <c r="H51" s="151"/>
      <c r="I51" s="151"/>
      <c r="J51" s="151"/>
      <c r="K51" s="151"/>
      <c r="L51" s="151"/>
      <c r="M51" s="151"/>
      <c r="N51" s="151"/>
      <c r="O51" s="151"/>
      <c r="P51" s="151"/>
      <c r="Q51" s="151"/>
      <c r="R51" s="151"/>
      <c r="S51" s="151"/>
      <c r="T51" s="155"/>
      <c r="U51" s="151"/>
      <c r="V51" s="151"/>
      <c r="W51" s="151"/>
      <c r="X51" s="151"/>
      <c r="Y51" s="151"/>
      <c r="Z51" s="151"/>
      <c r="AA51" s="151"/>
      <c r="AB51" s="151"/>
      <c r="AC51" s="151"/>
      <c r="AD51" s="151"/>
    </row>
    <row r="52" spans="1:30" ht="18" customHeight="1">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row>
    <row r="53" spans="1:30" ht="18" customHeight="1">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row>
    <row r="54" spans="1:30" ht="18" customHeight="1">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c r="AA54" s="151"/>
      <c r="AB54" s="151"/>
      <c r="AC54" s="151"/>
      <c r="AD54" s="151"/>
    </row>
    <row r="55" spans="1:30" ht="18" customHeight="1">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c r="AA55" s="151"/>
      <c r="AB55" s="151"/>
      <c r="AC55" s="151"/>
      <c r="AD55" s="151"/>
    </row>
    <row r="56" spans="1:30" ht="18" customHeight="1">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row>
    <row r="57" spans="1:30" ht="18" customHeight="1">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c r="AA57" s="151"/>
      <c r="AB57" s="151"/>
      <c r="AC57" s="151"/>
      <c r="AD57" s="151"/>
    </row>
    <row r="58" spans="1:30" ht="18" customHeight="1">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c r="AA58" s="151"/>
      <c r="AB58" s="151"/>
      <c r="AC58" s="151"/>
      <c r="AD58" s="151"/>
    </row>
    <row r="59" spans="1:30" ht="18" customHeight="1">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c r="AA59" s="151"/>
      <c r="AB59" s="151"/>
      <c r="AC59" s="151"/>
      <c r="AD59" s="151"/>
    </row>
    <row r="60" spans="1:30" ht="18" customHeight="1">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c r="AA60" s="151"/>
      <c r="AB60" s="151"/>
      <c r="AC60" s="151"/>
      <c r="AD60" s="151"/>
    </row>
    <row r="61" spans="1:30" ht="18" customHeight="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c r="AA61" s="151"/>
      <c r="AB61" s="151"/>
      <c r="AC61" s="151"/>
      <c r="AD61" s="151"/>
    </row>
    <row r="62" spans="1:30" ht="18" customHeight="1">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c r="AA62" s="151"/>
      <c r="AB62" s="151"/>
      <c r="AC62" s="151"/>
      <c r="AD62" s="151"/>
    </row>
    <row r="63" spans="1:30" ht="18" customHeight="1">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c r="AA63" s="151"/>
      <c r="AB63" s="151"/>
      <c r="AC63" s="151"/>
      <c r="AD63" s="151"/>
    </row>
    <row r="64" spans="1:30" ht="18" customHeight="1">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c r="AA64" s="151"/>
      <c r="AB64" s="151"/>
      <c r="AC64" s="151"/>
      <c r="AD64" s="151"/>
    </row>
    <row r="65" spans="1:30" ht="18" customHeight="1">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c r="AA65" s="151"/>
      <c r="AB65" s="151"/>
      <c r="AC65" s="151"/>
      <c r="AD65" s="151"/>
    </row>
    <row r="66" spans="1:30" ht="18" customHeight="1">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c r="AA66" s="151"/>
      <c r="AB66" s="151"/>
      <c r="AC66" s="151"/>
      <c r="AD66" s="151"/>
    </row>
    <row r="67" spans="1:30" ht="18" customHeight="1">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c r="AA67" s="151"/>
      <c r="AB67" s="151"/>
      <c r="AC67" s="151"/>
      <c r="AD67" s="151"/>
    </row>
    <row r="68" spans="1:30" ht="18" customHeight="1">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c r="AA68" s="151"/>
      <c r="AB68" s="151"/>
      <c r="AC68" s="151"/>
      <c r="AD68" s="151"/>
    </row>
    <row r="69" spans="1:30" ht="18" customHeight="1">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c r="AA69" s="151"/>
      <c r="AB69" s="151"/>
      <c r="AC69" s="151"/>
      <c r="AD69" s="151"/>
    </row>
    <row r="70" spans="1:30" ht="18" customHeight="1">
      <c r="A70" s="151"/>
      <c r="B70" s="151"/>
      <c r="C70" s="151"/>
      <c r="D70" s="151"/>
      <c r="E70" s="151"/>
      <c r="F70" s="151"/>
      <c r="G70" s="151"/>
      <c r="H70" s="151"/>
      <c r="I70" s="151"/>
      <c r="J70" s="151"/>
      <c r="K70" s="151"/>
      <c r="L70" s="151"/>
      <c r="M70" s="151"/>
      <c r="N70" s="151"/>
      <c r="O70" s="151"/>
      <c r="P70" s="151"/>
      <c r="Q70" s="151"/>
      <c r="R70" s="151"/>
      <c r="S70" s="151"/>
      <c r="T70" s="155"/>
      <c r="U70" s="151"/>
      <c r="V70" s="151"/>
      <c r="W70" s="151"/>
      <c r="X70" s="151"/>
      <c r="Y70" s="151"/>
      <c r="Z70" s="151"/>
      <c r="AA70" s="151"/>
      <c r="AB70" s="151"/>
      <c r="AC70" s="151"/>
      <c r="AD70" s="151"/>
    </row>
    <row r="71" spans="1:30" ht="18" customHeight="1">
      <c r="A71" s="151"/>
      <c r="B71" s="151"/>
      <c r="C71" s="151"/>
      <c r="D71" s="151"/>
      <c r="E71" s="151"/>
      <c r="F71" s="151"/>
      <c r="G71" s="151"/>
      <c r="H71" s="151"/>
      <c r="I71" s="151"/>
      <c r="J71" s="151"/>
      <c r="K71" s="151"/>
      <c r="L71" s="151"/>
      <c r="M71" s="151"/>
      <c r="N71" s="151"/>
      <c r="O71" s="151"/>
      <c r="P71" s="151"/>
      <c r="Q71" s="151"/>
      <c r="R71" s="151"/>
      <c r="S71" s="151"/>
      <c r="T71" s="155"/>
      <c r="U71" s="151"/>
      <c r="V71" s="151"/>
      <c r="W71" s="151"/>
      <c r="X71" s="151"/>
      <c r="Y71" s="151"/>
      <c r="Z71" s="151"/>
      <c r="AA71" s="151"/>
      <c r="AB71" s="151"/>
      <c r="AC71" s="151"/>
      <c r="AD71" s="151"/>
    </row>
    <row r="72" spans="1:30" ht="18" customHeight="1">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row>
    <row r="73" spans="1:30" ht="18" customHeight="1">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row>
    <row r="74" spans="1:30" ht="18" customHeight="1">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row>
    <row r="75" spans="1:30" ht="18" customHeight="1">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row>
    <row r="76" spans="1:30" ht="18" customHeight="1">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c r="AA76" s="151"/>
      <c r="AB76" s="151"/>
      <c r="AC76" s="151"/>
      <c r="AD76" s="151"/>
    </row>
    <row r="77" spans="1:30" ht="18" customHeight="1">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c r="AA77" s="151"/>
      <c r="AB77" s="151"/>
      <c r="AC77" s="151"/>
      <c r="AD77" s="151"/>
    </row>
    <row r="78" spans="1:30" ht="18" customHeight="1">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c r="AA78" s="151"/>
      <c r="AB78" s="151"/>
      <c r="AC78" s="151"/>
      <c r="AD78" s="151"/>
    </row>
    <row r="79" spans="1:30" ht="18" customHeight="1">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c r="AA79" s="151"/>
      <c r="AB79" s="151"/>
      <c r="AC79" s="151"/>
      <c r="AD79" s="151"/>
    </row>
    <row r="80" spans="1:30" ht="18" customHeight="1">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c r="AA80" s="151"/>
      <c r="AB80" s="151"/>
      <c r="AC80" s="151"/>
      <c r="AD80" s="151"/>
    </row>
    <row r="81" spans="1:30" ht="18" customHeight="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c r="AA81" s="151"/>
      <c r="AB81" s="151"/>
      <c r="AC81" s="151"/>
      <c r="AD81" s="151"/>
    </row>
    <row r="82" spans="1:30" ht="18" customHeight="1">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row>
    <row r="83" spans="1:30" ht="18" customHeight="1">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c r="AA83" s="151"/>
      <c r="AB83" s="151"/>
      <c r="AC83" s="151"/>
      <c r="AD83" s="151"/>
    </row>
    <row r="84" spans="1:30" ht="18" customHeight="1">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c r="AA84" s="151"/>
      <c r="AB84" s="151"/>
      <c r="AC84" s="151"/>
      <c r="AD84" s="151"/>
    </row>
    <row r="85" spans="1:30" ht="18" customHeight="1">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c r="AA85" s="151"/>
      <c r="AB85" s="151"/>
      <c r="AC85" s="151"/>
      <c r="AD85" s="151"/>
    </row>
    <row r="86" spans="1:30" ht="18" customHeight="1">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c r="AA86" s="151"/>
      <c r="AB86" s="151"/>
      <c r="AC86" s="151"/>
      <c r="AD86" s="151"/>
    </row>
    <row r="87" spans="1:30" ht="18" customHeight="1">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c r="AA87" s="151"/>
      <c r="AB87" s="151"/>
      <c r="AC87" s="151"/>
      <c r="AD87" s="151"/>
    </row>
    <row r="88" spans="1:30" ht="18" customHeight="1">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row>
    <row r="89" spans="1:30" ht="18" customHeight="1">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c r="AA89" s="151"/>
      <c r="AB89" s="151"/>
      <c r="AC89" s="151"/>
      <c r="AD89" s="151"/>
    </row>
    <row r="90" spans="1:30" ht="18" customHeight="1">
      <c r="A90" s="151"/>
      <c r="B90" s="151"/>
      <c r="C90" s="151"/>
      <c r="D90" s="151"/>
      <c r="E90" s="151"/>
      <c r="F90" s="151"/>
      <c r="G90" s="151"/>
      <c r="H90" s="151"/>
      <c r="I90" s="151"/>
      <c r="J90" s="151"/>
      <c r="K90" s="151"/>
      <c r="L90" s="151"/>
      <c r="M90" s="151"/>
      <c r="N90" s="151"/>
      <c r="O90" s="151"/>
      <c r="P90" s="151"/>
      <c r="Q90" s="151"/>
      <c r="R90" s="151"/>
      <c r="S90" s="151"/>
      <c r="T90" s="155"/>
      <c r="U90" s="151"/>
      <c r="V90" s="151"/>
      <c r="W90" s="151"/>
      <c r="X90" s="151"/>
      <c r="Y90" s="151"/>
      <c r="Z90" s="151"/>
      <c r="AA90" s="151"/>
      <c r="AB90" s="151"/>
      <c r="AC90" s="151"/>
      <c r="AD90" s="151"/>
    </row>
    <row r="91" spans="1:30" ht="18" customHeight="1">
      <c r="A91" s="151"/>
      <c r="B91" s="151"/>
      <c r="C91" s="151"/>
      <c r="D91" s="151"/>
      <c r="E91" s="151"/>
      <c r="F91" s="151"/>
      <c r="G91" s="151"/>
      <c r="H91" s="151"/>
      <c r="I91" s="151"/>
      <c r="J91" s="151"/>
      <c r="K91" s="151"/>
      <c r="L91" s="151"/>
      <c r="M91" s="151"/>
      <c r="N91" s="151"/>
      <c r="O91" s="151"/>
      <c r="P91" s="151"/>
      <c r="Q91" s="151"/>
      <c r="R91" s="151"/>
      <c r="S91" s="151"/>
      <c r="T91" s="155"/>
      <c r="U91" s="151"/>
      <c r="V91" s="151"/>
      <c r="W91" s="151"/>
      <c r="X91" s="151"/>
      <c r="Y91" s="151"/>
      <c r="Z91" s="151"/>
      <c r="AA91" s="151"/>
      <c r="AB91" s="151"/>
      <c r="AC91" s="151"/>
      <c r="AD91" s="151"/>
    </row>
    <row r="92" spans="1:30" ht="18" customHeight="1">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c r="AA92" s="151"/>
      <c r="AB92" s="151"/>
      <c r="AC92" s="151"/>
      <c r="AD92" s="151"/>
    </row>
    <row r="93" spans="1:30" ht="18" customHeight="1">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c r="AA93" s="151"/>
      <c r="AB93" s="151"/>
      <c r="AC93" s="151"/>
      <c r="AD93" s="151"/>
    </row>
    <row r="94" spans="1:30" ht="18" customHeight="1">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c r="AA94" s="151"/>
      <c r="AB94" s="151"/>
      <c r="AC94" s="151"/>
      <c r="AD94" s="151"/>
    </row>
    <row r="95" spans="1:30" ht="18" customHeight="1">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c r="AA95" s="151"/>
      <c r="AB95" s="151"/>
      <c r="AC95" s="151"/>
      <c r="AD95" s="151"/>
    </row>
    <row r="96" spans="1:30" ht="18" customHeight="1">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c r="AA96" s="151"/>
      <c r="AB96" s="151"/>
      <c r="AC96" s="151"/>
      <c r="AD96" s="151"/>
    </row>
    <row r="97" spans="1:30" ht="18" customHeight="1">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c r="AA97" s="151"/>
      <c r="AB97" s="151"/>
      <c r="AC97" s="151"/>
      <c r="AD97" s="151"/>
    </row>
    <row r="98" spans="1:30" ht="18" customHeight="1">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c r="AA98" s="151"/>
      <c r="AB98" s="151"/>
      <c r="AC98" s="151"/>
      <c r="AD98" s="151"/>
    </row>
    <row r="99" spans="1:30" ht="18" customHeight="1">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c r="AC99" s="151"/>
      <c r="AD99" s="151"/>
    </row>
    <row r="100" spans="1:30" ht="18" customHeight="1">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c r="AC100" s="151"/>
      <c r="AD100" s="151"/>
    </row>
    <row r="101" spans="1:30" ht="18" customHeight="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c r="AC101" s="151"/>
      <c r="AD101" s="151"/>
    </row>
    <row r="102" spans="1:30" ht="18" customHeight="1">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c r="AC102" s="151"/>
      <c r="AD102" s="151"/>
    </row>
    <row r="103" spans="1:30" ht="18" customHeight="1">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c r="AC103" s="151"/>
      <c r="AD103" s="151"/>
    </row>
    <row r="104" spans="1:30" ht="18" customHeight="1">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c r="AC104" s="151"/>
      <c r="AD104" s="151"/>
    </row>
    <row r="105" spans="1:30" ht="18" customHeight="1">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c r="AC105" s="151"/>
      <c r="AD105" s="151"/>
    </row>
    <row r="106" spans="1:30" ht="18" customHeight="1">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c r="AC106" s="151"/>
      <c r="AD106" s="151"/>
    </row>
    <row r="107" spans="1:30" ht="18" customHeight="1">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c r="AC107" s="151"/>
      <c r="AD107" s="151"/>
    </row>
    <row r="108" spans="1:30" ht="18" customHeight="1">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c r="AC108" s="151"/>
      <c r="AD108" s="151"/>
    </row>
    <row r="109" spans="1:30" ht="18" customHeight="1">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c r="AC109" s="151"/>
      <c r="AD109" s="151"/>
    </row>
    <row r="110" spans="1:30" ht="18" customHeight="1">
      <c r="A110" s="151"/>
      <c r="B110" s="151"/>
      <c r="C110" s="151"/>
      <c r="D110" s="151"/>
      <c r="E110" s="151"/>
      <c r="F110" s="151"/>
      <c r="G110" s="151"/>
      <c r="H110" s="151"/>
      <c r="I110" s="151"/>
      <c r="J110" s="151"/>
      <c r="K110" s="151"/>
      <c r="L110" s="151"/>
      <c r="M110" s="151"/>
      <c r="N110" s="151"/>
      <c r="O110" s="151"/>
      <c r="P110" s="151"/>
      <c r="Q110" s="151"/>
      <c r="R110" s="151"/>
      <c r="S110" s="151"/>
      <c r="T110" s="155"/>
      <c r="U110" s="151"/>
      <c r="V110" s="151"/>
      <c r="W110" s="151"/>
      <c r="X110" s="151"/>
      <c r="Y110" s="151"/>
      <c r="Z110" s="151"/>
      <c r="AA110" s="151"/>
      <c r="AB110" s="151"/>
      <c r="AC110" s="151"/>
      <c r="AD110" s="151"/>
    </row>
    <row r="111" spans="1:30" ht="18" customHeight="1">
      <c r="A111" s="151"/>
      <c r="B111" s="151"/>
      <c r="C111" s="151"/>
      <c r="D111" s="151"/>
      <c r="E111" s="151"/>
      <c r="F111" s="151"/>
      <c r="G111" s="151"/>
      <c r="H111" s="151"/>
      <c r="I111" s="151"/>
      <c r="J111" s="151"/>
      <c r="K111" s="151"/>
      <c r="L111" s="151"/>
      <c r="M111" s="151"/>
      <c r="N111" s="151"/>
      <c r="O111" s="151"/>
      <c r="P111" s="151"/>
      <c r="Q111" s="151"/>
      <c r="R111" s="151"/>
      <c r="S111" s="151"/>
      <c r="T111" s="155"/>
      <c r="U111" s="151"/>
      <c r="V111" s="151"/>
      <c r="W111" s="151"/>
      <c r="X111" s="151"/>
      <c r="Y111" s="151"/>
      <c r="Z111" s="151"/>
      <c r="AA111" s="151"/>
      <c r="AB111" s="151"/>
      <c r="AC111" s="151"/>
      <c r="AD111" s="151"/>
    </row>
    <row r="112" spans="1:30" ht="18" customHeight="1">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c r="AC112" s="151"/>
      <c r="AD112" s="151"/>
    </row>
    <row r="113" spans="1:30" ht="18" customHeight="1">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c r="AC113" s="151"/>
      <c r="AD113" s="151"/>
    </row>
    <row r="114" spans="1:30" ht="18" customHeight="1">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c r="AC114" s="151"/>
      <c r="AD114" s="151"/>
    </row>
    <row r="115" spans="1:30" ht="18" customHeight="1">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c r="AC115" s="151"/>
      <c r="AD115" s="151"/>
    </row>
    <row r="116" spans="1:30" ht="18" customHeight="1">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c r="AC116" s="151"/>
      <c r="AD116" s="151"/>
    </row>
    <row r="117" spans="1:30" ht="18" customHeight="1">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c r="AC117" s="151"/>
      <c r="AD117" s="151"/>
    </row>
    <row r="118" spans="1:30" ht="18" customHeight="1">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c r="AC118" s="151"/>
      <c r="AD118" s="151"/>
    </row>
    <row r="119" spans="1:30" ht="18" customHeight="1">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c r="AC119" s="151"/>
      <c r="AD119" s="151"/>
    </row>
    <row r="120" spans="1:30" ht="18" customHeight="1">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c r="AA120" s="151"/>
      <c r="AB120" s="151"/>
      <c r="AC120" s="151"/>
      <c r="AD120" s="151"/>
    </row>
    <row r="121" spans="1:30" ht="18" customHeight="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c r="AA121" s="151"/>
      <c r="AB121" s="151"/>
      <c r="AC121" s="151"/>
      <c r="AD121" s="151"/>
    </row>
    <row r="122" spans="1:30" ht="18" customHeight="1">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c r="AA122" s="151"/>
      <c r="AB122" s="151"/>
      <c r="AC122" s="151"/>
      <c r="AD122" s="151"/>
    </row>
    <row r="123" spans="1:30" ht="18" customHeight="1">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c r="AA123" s="151"/>
      <c r="AB123" s="151"/>
      <c r="AC123" s="151"/>
      <c r="AD123" s="151"/>
    </row>
    <row r="124" spans="1:30" ht="18" customHeight="1">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c r="AA124" s="151"/>
      <c r="AB124" s="151"/>
      <c r="AC124" s="151"/>
      <c r="AD124" s="151"/>
    </row>
    <row r="125" spans="1:30" ht="18" customHeight="1">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c r="AA125" s="151"/>
      <c r="AB125" s="151"/>
      <c r="AC125" s="151"/>
      <c r="AD125" s="151"/>
    </row>
    <row r="126" spans="1:30" ht="18" customHeight="1">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c r="AA126" s="151"/>
      <c r="AB126" s="151"/>
      <c r="AC126" s="151"/>
      <c r="AD126" s="151"/>
    </row>
    <row r="127" spans="1:30" ht="18" customHeight="1">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c r="AA127" s="151"/>
      <c r="AB127" s="151"/>
      <c r="AC127" s="151"/>
      <c r="AD127" s="151"/>
    </row>
    <row r="128" spans="1:30" ht="18" customHeight="1">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c r="AA128" s="151"/>
      <c r="AB128" s="151"/>
      <c r="AC128" s="151"/>
      <c r="AD128" s="151"/>
    </row>
    <row r="129" spans="1:30" ht="18" customHeight="1">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c r="AA129" s="151"/>
      <c r="AB129" s="151"/>
      <c r="AC129" s="151"/>
      <c r="AD129" s="151"/>
    </row>
    <row r="130" spans="1:30" ht="18" customHeight="1">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c r="AA130" s="151"/>
      <c r="AB130" s="151"/>
      <c r="AC130" s="151"/>
      <c r="AD130" s="151"/>
    </row>
    <row r="131" spans="1:30" ht="18" customHeight="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c r="AA131" s="151"/>
      <c r="AB131" s="151"/>
      <c r="AC131" s="151"/>
      <c r="AD131" s="151"/>
    </row>
    <row r="132" spans="1:30" ht="18" customHeight="1">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c r="AA132" s="151"/>
      <c r="AB132" s="151"/>
      <c r="AC132" s="151"/>
      <c r="AD132" s="151"/>
    </row>
    <row r="133" spans="1:30" ht="18" customHeight="1">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c r="AA133" s="151"/>
      <c r="AB133" s="151"/>
      <c r="AC133" s="151"/>
      <c r="AD133" s="151"/>
    </row>
    <row r="134" spans="1:30" ht="18" customHeight="1">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c r="AA134" s="151"/>
      <c r="AB134" s="151"/>
      <c r="AC134" s="151"/>
      <c r="AD134" s="151"/>
    </row>
    <row r="135" spans="1:30" ht="18" customHeight="1">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c r="AA135" s="151"/>
      <c r="AB135" s="151"/>
      <c r="AC135" s="151"/>
      <c r="AD135" s="151"/>
    </row>
    <row r="136" spans="1:30" ht="18" customHeight="1">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c r="AA136" s="151"/>
      <c r="AB136" s="151"/>
      <c r="AC136" s="151"/>
      <c r="AD136" s="151"/>
    </row>
    <row r="137" spans="1:30" ht="18" customHeight="1">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c r="AA137" s="151"/>
      <c r="AB137" s="151"/>
      <c r="AC137" s="151"/>
      <c r="AD137" s="151"/>
    </row>
    <row r="138" spans="1:30" ht="18" customHeight="1">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c r="AA138" s="151"/>
      <c r="AB138" s="151"/>
      <c r="AC138" s="151"/>
      <c r="AD138" s="151"/>
    </row>
    <row r="139" spans="1:30" ht="18" customHeight="1">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c r="AA139" s="151"/>
      <c r="AB139" s="151"/>
      <c r="AC139" s="151"/>
      <c r="AD139" s="151"/>
    </row>
    <row r="140" spans="1:30" ht="18" customHeight="1">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c r="AA140" s="151"/>
      <c r="AB140" s="151"/>
      <c r="AC140" s="151"/>
      <c r="AD140" s="151"/>
    </row>
    <row r="141" spans="1:30" ht="18" customHeight="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c r="AA141" s="151"/>
      <c r="AB141" s="151"/>
      <c r="AC141" s="151"/>
      <c r="AD141" s="151"/>
    </row>
    <row r="142" spans="1:30" ht="18" customHeight="1">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c r="AA142" s="151"/>
      <c r="AB142" s="151"/>
      <c r="AC142" s="151"/>
      <c r="AD142" s="151"/>
    </row>
    <row r="143" spans="1:30" ht="18" customHeight="1">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c r="AA143" s="151"/>
      <c r="AB143" s="151"/>
      <c r="AC143" s="151"/>
      <c r="AD143" s="151"/>
    </row>
    <row r="144" spans="1:30" ht="18" customHeight="1">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c r="AA144" s="151"/>
      <c r="AB144" s="151"/>
      <c r="AC144" s="151"/>
      <c r="AD144" s="151"/>
    </row>
    <row r="145" spans="1:30" ht="18" customHeight="1">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c r="AA145" s="151"/>
      <c r="AB145" s="151"/>
      <c r="AC145" s="151"/>
      <c r="AD145" s="151"/>
    </row>
    <row r="146" spans="1:30" ht="18" customHeight="1">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c r="AA146" s="151"/>
      <c r="AB146" s="151"/>
      <c r="AC146" s="151"/>
      <c r="AD146" s="151"/>
    </row>
    <row r="147" spans="1:30" ht="18" customHeight="1">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c r="AA147" s="151"/>
      <c r="AB147" s="151"/>
      <c r="AC147" s="151"/>
      <c r="AD147" s="151"/>
    </row>
    <row r="148" spans="1:30" ht="18" customHeight="1">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c r="AA148" s="151"/>
      <c r="AB148" s="151"/>
      <c r="AC148" s="151"/>
      <c r="AD148" s="151"/>
    </row>
    <row r="149" spans="1:30" ht="18"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c r="AA149" s="151"/>
      <c r="AB149" s="151"/>
      <c r="AC149" s="151"/>
      <c r="AD149" s="151"/>
    </row>
    <row r="150" spans="1:30" ht="18" customHeight="1">
      <c r="A150" s="151"/>
      <c r="B150" s="151"/>
      <c r="C150" s="151"/>
      <c r="D150" s="151"/>
      <c r="E150" s="151"/>
      <c r="F150" s="151"/>
      <c r="G150" s="151"/>
      <c r="H150" s="151"/>
      <c r="I150" s="151"/>
      <c r="J150" s="151"/>
      <c r="K150" s="151"/>
      <c r="L150" s="151"/>
      <c r="M150" s="151"/>
      <c r="N150" s="151"/>
      <c r="O150" s="151"/>
      <c r="P150" s="151"/>
      <c r="Q150" s="151"/>
      <c r="R150" s="151"/>
      <c r="S150" s="151"/>
      <c r="T150" s="155"/>
      <c r="U150" s="151"/>
      <c r="V150" s="151"/>
      <c r="W150" s="151"/>
      <c r="X150" s="151"/>
      <c r="Y150" s="151"/>
      <c r="Z150" s="151"/>
      <c r="AA150" s="151"/>
      <c r="AB150" s="151"/>
      <c r="AC150" s="151"/>
      <c r="AD150" s="151"/>
    </row>
    <row r="151" spans="1:30" ht="18" customHeight="1">
      <c r="A151" s="151"/>
      <c r="B151" s="151"/>
      <c r="C151" s="151"/>
      <c r="D151" s="151"/>
      <c r="E151" s="151"/>
      <c r="F151" s="151"/>
      <c r="G151" s="151"/>
      <c r="H151" s="151"/>
      <c r="I151" s="151"/>
      <c r="J151" s="151"/>
      <c r="K151" s="151"/>
      <c r="L151" s="151"/>
      <c r="M151" s="151"/>
      <c r="N151" s="151"/>
      <c r="O151" s="151"/>
      <c r="P151" s="151"/>
      <c r="Q151" s="151"/>
      <c r="R151" s="151"/>
      <c r="S151" s="151"/>
      <c r="T151" s="155"/>
      <c r="U151" s="151"/>
      <c r="V151" s="151"/>
      <c r="W151" s="151"/>
      <c r="X151" s="151"/>
      <c r="Y151" s="151"/>
      <c r="Z151" s="151"/>
      <c r="AA151" s="151"/>
      <c r="AB151" s="151"/>
      <c r="AC151" s="151"/>
      <c r="AD151" s="151"/>
    </row>
    <row r="152" spans="1:30" ht="18" customHeight="1">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c r="AA152" s="151"/>
      <c r="AB152" s="151"/>
      <c r="AC152" s="151"/>
      <c r="AD152" s="151"/>
    </row>
    <row r="153" spans="1:30" ht="18" customHeight="1">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c r="AA153" s="151"/>
      <c r="AB153" s="151"/>
      <c r="AC153" s="151"/>
      <c r="AD153" s="151"/>
    </row>
    <row r="154" spans="1:30" ht="18" customHeight="1">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c r="AA154" s="151"/>
      <c r="AB154" s="151"/>
      <c r="AC154" s="151"/>
      <c r="AD154" s="151"/>
    </row>
    <row r="155" spans="1:30" ht="18" customHeight="1">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c r="AA155" s="151"/>
      <c r="AB155" s="151"/>
      <c r="AC155" s="151"/>
      <c r="AD155" s="151"/>
    </row>
    <row r="156" spans="1:30" ht="18" customHeight="1">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c r="AA156" s="151"/>
      <c r="AB156" s="151"/>
      <c r="AC156" s="151"/>
      <c r="AD156" s="151"/>
    </row>
    <row r="157" spans="1:30" ht="18" customHeight="1">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c r="AA157" s="151"/>
      <c r="AB157" s="151"/>
      <c r="AC157" s="151"/>
      <c r="AD157" s="151"/>
    </row>
    <row r="158" spans="1:30" ht="18" customHeight="1">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c r="AA158" s="151"/>
      <c r="AB158" s="151"/>
      <c r="AC158" s="151"/>
      <c r="AD158" s="151"/>
    </row>
    <row r="159" spans="1:30" ht="18" customHeight="1">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c r="AA159" s="151"/>
      <c r="AB159" s="151"/>
      <c r="AC159" s="151"/>
      <c r="AD159" s="151"/>
    </row>
    <row r="160" spans="1:30" ht="18" customHeight="1">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c r="AA160" s="151"/>
      <c r="AB160" s="151"/>
      <c r="AC160" s="151"/>
      <c r="AD160" s="151"/>
    </row>
    <row r="161" spans="1:30" ht="18" customHeight="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c r="AA161" s="151"/>
      <c r="AB161" s="151"/>
      <c r="AC161" s="151"/>
      <c r="AD161" s="151"/>
    </row>
    <row r="162" spans="1:30" ht="18" customHeight="1">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c r="AA162" s="151"/>
      <c r="AB162" s="151"/>
      <c r="AC162" s="151"/>
      <c r="AD162" s="151"/>
    </row>
    <row r="163" spans="1:30" ht="18" customHeight="1">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c r="AA163" s="151"/>
      <c r="AB163" s="151"/>
      <c r="AC163" s="151"/>
      <c r="AD163" s="151"/>
    </row>
    <row r="164" spans="1:30" ht="18" customHeight="1">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c r="AA164" s="151"/>
      <c r="AB164" s="151"/>
      <c r="AC164" s="151"/>
      <c r="AD164" s="151"/>
    </row>
    <row r="165" spans="1:30" ht="18" customHeight="1">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c r="AA165" s="151"/>
      <c r="AB165" s="151"/>
      <c r="AC165" s="151"/>
      <c r="AD165" s="151"/>
    </row>
    <row r="166" spans="1:30" ht="18" customHeight="1">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c r="AA166" s="151"/>
      <c r="AB166" s="151"/>
      <c r="AC166" s="151"/>
      <c r="AD166" s="151"/>
    </row>
    <row r="167" spans="1:30" ht="18" customHeight="1">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c r="AA167" s="151"/>
      <c r="AB167" s="151"/>
      <c r="AC167" s="151"/>
      <c r="AD167" s="151"/>
    </row>
    <row r="168" spans="1:30" ht="18" customHeight="1">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row>
    <row r="169" spans="1:30" ht="18" customHeight="1">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c r="AA169" s="151"/>
      <c r="AB169" s="151"/>
      <c r="AC169" s="151"/>
      <c r="AD169" s="151"/>
    </row>
    <row r="170" spans="1:30" ht="18" customHeight="1">
      <c r="A170" s="151"/>
      <c r="B170" s="151"/>
      <c r="C170" s="151"/>
      <c r="D170" s="151"/>
      <c r="E170" s="151"/>
      <c r="F170" s="151"/>
      <c r="G170" s="151"/>
      <c r="H170" s="151"/>
      <c r="I170" s="151"/>
      <c r="J170" s="151"/>
      <c r="K170" s="151"/>
      <c r="L170" s="151"/>
      <c r="M170" s="151"/>
      <c r="N170" s="151"/>
      <c r="O170" s="151"/>
      <c r="P170" s="151"/>
      <c r="Q170" s="151"/>
      <c r="R170" s="151"/>
      <c r="S170" s="151"/>
      <c r="T170" s="155"/>
      <c r="U170" s="151"/>
      <c r="V170" s="151"/>
      <c r="W170" s="151"/>
      <c r="X170" s="151"/>
      <c r="Y170" s="151"/>
      <c r="Z170" s="151"/>
      <c r="AA170" s="151"/>
      <c r="AB170" s="151"/>
      <c r="AC170" s="151"/>
      <c r="AD170" s="151"/>
    </row>
    <row r="171" spans="1:30" ht="18" customHeight="1">
      <c r="A171" s="151"/>
      <c r="B171" s="151"/>
      <c r="C171" s="151"/>
      <c r="D171" s="151"/>
      <c r="E171" s="151"/>
      <c r="F171" s="151"/>
      <c r="G171" s="151"/>
      <c r="H171" s="151"/>
      <c r="I171" s="151"/>
      <c r="J171" s="151"/>
      <c r="K171" s="151"/>
      <c r="L171" s="151"/>
      <c r="M171" s="151"/>
      <c r="N171" s="151"/>
      <c r="O171" s="151"/>
      <c r="P171" s="151"/>
      <c r="Q171" s="151"/>
      <c r="R171" s="151"/>
      <c r="S171" s="151"/>
      <c r="T171" s="155"/>
      <c r="U171" s="151"/>
      <c r="V171" s="151"/>
      <c r="W171" s="151"/>
      <c r="X171" s="151"/>
      <c r="Y171" s="151"/>
      <c r="Z171" s="151"/>
      <c r="AA171" s="151"/>
      <c r="AB171" s="151"/>
      <c r="AC171" s="151"/>
      <c r="AD171" s="151"/>
    </row>
    <row r="172" spans="1:30" ht="18" customHeight="1">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c r="AA172" s="151"/>
      <c r="AB172" s="151"/>
      <c r="AC172" s="151"/>
      <c r="AD172" s="151"/>
    </row>
    <row r="173" spans="1:30" ht="18" customHeight="1">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c r="AA173" s="151"/>
      <c r="AB173" s="151"/>
      <c r="AC173" s="151"/>
      <c r="AD173" s="151"/>
    </row>
    <row r="174" spans="1:30" ht="18" customHeight="1">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c r="AA174" s="151"/>
      <c r="AB174" s="151"/>
      <c r="AC174" s="151"/>
      <c r="AD174" s="151"/>
    </row>
    <row r="175" spans="1:30" ht="18" customHeight="1">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c r="AA175" s="151"/>
      <c r="AB175" s="151"/>
      <c r="AC175" s="151"/>
      <c r="AD175" s="151"/>
    </row>
    <row r="176" spans="1:30" ht="18" customHeight="1">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c r="AA176" s="151"/>
      <c r="AB176" s="151"/>
      <c r="AC176" s="151"/>
      <c r="AD176" s="151"/>
    </row>
    <row r="177" spans="1:30" ht="18" customHeight="1">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c r="AA177" s="151"/>
      <c r="AB177" s="151"/>
      <c r="AC177" s="151"/>
      <c r="AD177" s="151"/>
    </row>
    <row r="178" spans="1:30" ht="18" customHeight="1">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c r="AA178" s="151"/>
      <c r="AB178" s="151"/>
      <c r="AC178" s="151"/>
      <c r="AD178" s="151"/>
    </row>
    <row r="179" spans="1:30" ht="18" customHeight="1">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c r="AA179" s="151"/>
      <c r="AB179" s="151"/>
      <c r="AC179" s="151"/>
      <c r="AD179" s="151"/>
    </row>
    <row r="180" spans="1:30" ht="18" customHeight="1">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c r="AA180" s="151"/>
      <c r="AB180" s="151"/>
      <c r="AC180" s="151"/>
      <c r="AD180" s="151"/>
    </row>
    <row r="181" spans="1:30" ht="18" customHeight="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c r="AA181" s="151"/>
      <c r="AB181" s="151"/>
      <c r="AC181" s="151"/>
      <c r="AD181" s="151"/>
    </row>
    <row r="182" spans="1:30" ht="18" customHeight="1">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c r="AA182" s="151"/>
      <c r="AB182" s="151"/>
      <c r="AC182" s="151"/>
      <c r="AD182" s="151"/>
    </row>
    <row r="183" spans="1:30" ht="18" customHeight="1">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c r="AA183" s="151"/>
      <c r="AB183" s="151"/>
      <c r="AC183" s="151"/>
      <c r="AD183" s="151"/>
    </row>
    <row r="184" spans="1:30" ht="18" customHeight="1">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c r="AA184" s="151"/>
      <c r="AB184" s="151"/>
      <c r="AC184" s="151"/>
      <c r="AD184" s="151"/>
    </row>
    <row r="185" spans="1:30" ht="18" customHeight="1">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c r="AA185" s="151"/>
      <c r="AB185" s="151"/>
      <c r="AC185" s="151"/>
      <c r="AD185" s="151"/>
    </row>
    <row r="186" spans="1:30" ht="18" customHeight="1">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c r="AA186" s="151"/>
      <c r="AB186" s="151"/>
      <c r="AC186" s="151"/>
      <c r="AD186" s="151"/>
    </row>
    <row r="187" spans="1:30" ht="18" customHeight="1">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c r="AA187" s="151"/>
      <c r="AB187" s="151"/>
      <c r="AC187" s="151"/>
      <c r="AD187" s="151"/>
    </row>
    <row r="188" spans="1:30" ht="18" customHeight="1">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c r="AA188" s="151"/>
      <c r="AB188" s="151"/>
      <c r="AC188" s="151"/>
      <c r="AD188" s="151"/>
    </row>
    <row r="189" spans="1:30" ht="18" customHeight="1">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c r="AA189" s="151"/>
      <c r="AB189" s="151"/>
      <c r="AC189" s="151"/>
      <c r="AD189" s="151"/>
    </row>
    <row r="190" spans="1:30" ht="18" customHeight="1">
      <c r="A190" s="151"/>
      <c r="B190" s="151"/>
      <c r="C190" s="151"/>
      <c r="D190" s="151"/>
      <c r="E190" s="151"/>
      <c r="F190" s="151"/>
      <c r="G190" s="151"/>
      <c r="H190" s="151"/>
      <c r="I190" s="151"/>
      <c r="J190" s="151"/>
      <c r="K190" s="151"/>
      <c r="L190" s="151"/>
      <c r="M190" s="151"/>
      <c r="N190" s="151"/>
      <c r="O190" s="151"/>
      <c r="P190" s="151"/>
      <c r="Q190" s="151"/>
      <c r="R190" s="151"/>
      <c r="S190" s="151"/>
      <c r="T190" s="155"/>
      <c r="U190" s="151"/>
      <c r="V190" s="151"/>
      <c r="W190" s="151"/>
      <c r="X190" s="151"/>
      <c r="Y190" s="151"/>
      <c r="Z190" s="151"/>
      <c r="AA190" s="151"/>
      <c r="AB190" s="151"/>
      <c r="AC190" s="151"/>
      <c r="AD190" s="151"/>
    </row>
    <row r="191" spans="1:30" ht="18" customHeight="1">
      <c r="A191" s="151"/>
      <c r="B191" s="151"/>
      <c r="C191" s="151"/>
      <c r="D191" s="151"/>
      <c r="E191" s="151"/>
      <c r="F191" s="151"/>
      <c r="G191" s="151"/>
      <c r="H191" s="151"/>
      <c r="I191" s="151"/>
      <c r="J191" s="151"/>
      <c r="K191" s="151"/>
      <c r="L191" s="151"/>
      <c r="M191" s="151"/>
      <c r="N191" s="151"/>
      <c r="O191" s="151"/>
      <c r="P191" s="151"/>
      <c r="Q191" s="151"/>
      <c r="R191" s="151"/>
      <c r="S191" s="151"/>
      <c r="T191" s="155"/>
      <c r="U191" s="151"/>
      <c r="V191" s="151"/>
      <c r="W191" s="151"/>
      <c r="X191" s="151"/>
      <c r="Y191" s="151"/>
      <c r="Z191" s="151"/>
      <c r="AA191" s="151"/>
      <c r="AB191" s="151"/>
      <c r="AC191" s="151"/>
      <c r="AD191" s="151"/>
    </row>
    <row r="192" spans="1:30" ht="18" customHeight="1">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row>
    <row r="193" spans="1:30" ht="18" customHeight="1">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c r="AA193" s="151"/>
      <c r="AB193" s="151"/>
      <c r="AC193" s="151"/>
      <c r="AD193" s="151"/>
    </row>
    <row r="194" spans="1:30" ht="18" customHeight="1">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c r="AA194" s="151"/>
      <c r="AB194" s="151"/>
      <c r="AC194" s="151"/>
      <c r="AD194" s="151"/>
    </row>
    <row r="195" spans="1:30" ht="18" customHeight="1">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c r="AA195" s="151"/>
      <c r="AB195" s="151"/>
      <c r="AC195" s="151"/>
      <c r="AD195" s="151"/>
    </row>
    <row r="196" spans="1:30" ht="18" customHeight="1">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row>
    <row r="197" spans="1:30" ht="18" customHeight="1">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c r="AA197" s="151"/>
      <c r="AB197" s="151"/>
      <c r="AC197" s="151"/>
      <c r="AD197" s="151"/>
    </row>
    <row r="198" spans="1:30" ht="18" customHeight="1">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c r="AA198" s="151"/>
      <c r="AB198" s="151"/>
      <c r="AC198" s="151"/>
      <c r="AD198" s="151"/>
    </row>
    <row r="199" spans="1:30" ht="18" customHeight="1">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c r="AA199" s="151"/>
      <c r="AB199" s="151"/>
      <c r="AC199" s="151"/>
      <c r="AD199" s="151"/>
    </row>
    <row r="200" spans="1:30" ht="18" customHeight="1">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c r="AA200" s="151"/>
      <c r="AB200" s="151"/>
      <c r="AC200" s="151"/>
      <c r="AD200" s="151"/>
    </row>
    <row r="201" spans="1:30" ht="18" customHeight="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c r="AA201" s="151"/>
      <c r="AB201" s="151"/>
      <c r="AC201" s="151"/>
      <c r="AD201" s="151"/>
    </row>
    <row r="202" spans="1:30" ht="18" customHeight="1">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c r="AA202" s="151"/>
      <c r="AB202" s="151"/>
      <c r="AC202" s="151"/>
      <c r="AD202" s="151"/>
    </row>
    <row r="203" spans="1:30" ht="18" customHeight="1">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c r="AA203" s="151"/>
      <c r="AB203" s="151"/>
      <c r="AC203" s="151"/>
      <c r="AD203" s="151"/>
    </row>
    <row r="204" spans="1:30" ht="18" customHeight="1">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c r="AA204" s="151"/>
      <c r="AB204" s="151"/>
      <c r="AC204" s="151"/>
      <c r="AD204" s="151"/>
    </row>
    <row r="205" spans="1:30" ht="18" customHeight="1">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c r="AA205" s="151"/>
      <c r="AB205" s="151"/>
      <c r="AC205" s="151"/>
      <c r="AD205" s="151"/>
    </row>
    <row r="206" spans="1:30" ht="18" customHeight="1">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c r="AA206" s="151"/>
      <c r="AB206" s="151"/>
      <c r="AC206" s="151"/>
      <c r="AD206" s="151"/>
    </row>
    <row r="207" spans="1:30" ht="18" customHeight="1">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c r="AA207" s="151"/>
      <c r="AB207" s="151"/>
      <c r="AC207" s="151"/>
      <c r="AD207" s="151"/>
    </row>
    <row r="208" spans="1:30" ht="18" customHeight="1">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c r="AA208" s="151"/>
      <c r="AB208" s="151"/>
      <c r="AC208" s="151"/>
      <c r="AD208" s="151"/>
    </row>
    <row r="209" spans="1:30" ht="18" customHeight="1">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c r="AA209" s="151"/>
      <c r="AB209" s="151"/>
      <c r="AC209" s="151"/>
      <c r="AD209" s="151"/>
    </row>
    <row r="210" spans="1:30" ht="18" customHeight="1">
      <c r="A210" s="151"/>
      <c r="B210" s="151"/>
      <c r="C210" s="151"/>
      <c r="D210" s="151"/>
      <c r="E210" s="151"/>
      <c r="F210" s="151"/>
      <c r="G210" s="151"/>
      <c r="H210" s="151"/>
      <c r="I210" s="151"/>
      <c r="J210" s="151"/>
      <c r="K210" s="151"/>
      <c r="L210" s="151"/>
      <c r="M210" s="151"/>
      <c r="N210" s="151"/>
      <c r="O210" s="151"/>
      <c r="P210" s="151"/>
      <c r="Q210" s="151"/>
      <c r="R210" s="151"/>
      <c r="S210" s="151"/>
      <c r="T210" s="155"/>
      <c r="U210" s="151"/>
      <c r="V210" s="151"/>
      <c r="W210" s="151"/>
      <c r="X210" s="151"/>
      <c r="Y210" s="151"/>
      <c r="Z210" s="151"/>
      <c r="AA210" s="151"/>
      <c r="AB210" s="151"/>
      <c r="AC210" s="151"/>
      <c r="AD210" s="151"/>
    </row>
    <row r="211" spans="1:30" ht="18" customHeight="1">
      <c r="A211" s="151"/>
      <c r="B211" s="151"/>
      <c r="C211" s="151"/>
      <c r="D211" s="151"/>
      <c r="E211" s="151"/>
      <c r="F211" s="151"/>
      <c r="G211" s="151"/>
      <c r="H211" s="151"/>
      <c r="I211" s="151"/>
      <c r="J211" s="151"/>
      <c r="K211" s="151"/>
      <c r="L211" s="151"/>
      <c r="M211" s="151"/>
      <c r="N211" s="151"/>
      <c r="O211" s="151"/>
      <c r="P211" s="151"/>
      <c r="Q211" s="151"/>
      <c r="R211" s="151"/>
      <c r="S211" s="151"/>
      <c r="T211" s="155"/>
      <c r="U211" s="151"/>
      <c r="V211" s="151"/>
      <c r="W211" s="151"/>
      <c r="X211" s="151"/>
      <c r="Y211" s="151"/>
      <c r="Z211" s="151"/>
      <c r="AA211" s="151"/>
      <c r="AB211" s="151"/>
      <c r="AC211" s="151"/>
      <c r="AD211" s="151"/>
    </row>
    <row r="212" spans="1:30" ht="18" customHeight="1">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c r="AA212" s="151"/>
      <c r="AB212" s="151"/>
      <c r="AC212" s="151"/>
      <c r="AD212" s="151"/>
    </row>
    <row r="213" spans="1:30" ht="18" customHeight="1">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c r="AA213" s="151"/>
      <c r="AB213" s="151"/>
      <c r="AC213" s="151"/>
      <c r="AD213" s="151"/>
    </row>
    <row r="214" spans="1:30" ht="18" customHeight="1">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c r="AA214" s="151"/>
      <c r="AB214" s="151"/>
      <c r="AC214" s="151"/>
      <c r="AD214" s="151"/>
    </row>
    <row r="215" spans="1:30" ht="18" customHeight="1">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c r="AA215" s="151"/>
      <c r="AB215" s="151"/>
      <c r="AC215" s="151"/>
      <c r="AD215" s="151"/>
    </row>
    <row r="216" spans="1:30" ht="18" customHeight="1">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c r="AA216" s="151"/>
      <c r="AB216" s="151"/>
      <c r="AC216" s="151"/>
      <c r="AD216" s="151"/>
    </row>
    <row r="217" spans="1:30" ht="18" customHeight="1">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c r="AA217" s="151"/>
      <c r="AB217" s="151"/>
      <c r="AC217" s="151"/>
      <c r="AD217" s="151"/>
    </row>
    <row r="218" spans="1:30" ht="18" customHeight="1">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c r="AA218" s="151"/>
      <c r="AB218" s="151"/>
      <c r="AC218" s="151"/>
      <c r="AD218" s="151"/>
    </row>
    <row r="219" spans="1:30" ht="18" customHeight="1">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c r="AA219" s="151"/>
      <c r="AB219" s="151"/>
      <c r="AC219" s="151"/>
      <c r="AD219" s="151"/>
    </row>
    <row r="220" spans="1:30" ht="18" customHeight="1">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c r="AA220" s="151"/>
      <c r="AB220" s="151"/>
      <c r="AC220" s="151"/>
      <c r="AD220" s="151"/>
    </row>
    <row r="221" spans="1:30" ht="18" customHeight="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c r="AA221" s="151"/>
      <c r="AB221" s="151"/>
      <c r="AC221" s="151"/>
      <c r="AD221" s="151"/>
    </row>
    <row r="222" spans="1:30" ht="18" customHeight="1">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c r="AA222" s="151"/>
      <c r="AB222" s="151"/>
      <c r="AC222" s="151"/>
      <c r="AD222" s="151"/>
    </row>
    <row r="223" spans="1:30" ht="18" customHeight="1">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c r="AA223" s="151"/>
      <c r="AB223" s="151"/>
      <c r="AC223" s="151"/>
      <c r="AD223" s="151"/>
    </row>
    <row r="224" spans="1:30" ht="18" customHeight="1">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c r="AA224" s="151"/>
      <c r="AB224" s="151"/>
      <c r="AC224" s="151"/>
      <c r="AD224" s="151"/>
    </row>
    <row r="225" spans="1:30" ht="18" customHeight="1">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c r="AA225" s="151"/>
      <c r="AB225" s="151"/>
      <c r="AC225" s="151"/>
      <c r="AD225" s="151"/>
    </row>
    <row r="226" spans="1:30" ht="18" customHeight="1">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c r="AA226" s="151"/>
      <c r="AB226" s="151"/>
      <c r="AC226" s="151"/>
      <c r="AD226" s="151"/>
    </row>
    <row r="227" spans="1:30" ht="18" customHeight="1">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c r="AA227" s="151"/>
      <c r="AB227" s="151"/>
      <c r="AC227" s="151"/>
      <c r="AD227" s="151"/>
    </row>
    <row r="228" spans="1:30" ht="18" customHeight="1">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c r="AA228" s="151"/>
      <c r="AB228" s="151"/>
      <c r="AC228" s="151"/>
      <c r="AD228" s="151"/>
    </row>
    <row r="229" spans="1:30" ht="18" customHeight="1">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c r="AA229" s="151"/>
      <c r="AB229" s="151"/>
      <c r="AC229" s="151"/>
      <c r="AD229" s="151"/>
    </row>
    <row r="230" spans="1:30" ht="18" customHeight="1">
      <c r="A230" s="151"/>
      <c r="B230" s="151"/>
      <c r="C230" s="151"/>
      <c r="D230" s="151"/>
      <c r="E230" s="151"/>
      <c r="F230" s="151"/>
      <c r="G230" s="151"/>
      <c r="H230" s="151"/>
      <c r="I230" s="151"/>
      <c r="J230" s="151"/>
      <c r="K230" s="151"/>
      <c r="L230" s="151"/>
      <c r="M230" s="151"/>
      <c r="N230" s="151"/>
      <c r="O230" s="151"/>
      <c r="P230" s="151"/>
      <c r="Q230" s="151"/>
      <c r="R230" s="151"/>
      <c r="S230" s="151"/>
      <c r="T230" s="155"/>
      <c r="U230" s="151"/>
      <c r="V230" s="151"/>
      <c r="W230" s="151"/>
      <c r="X230" s="151"/>
      <c r="Y230" s="151"/>
      <c r="Z230" s="151"/>
      <c r="AA230" s="151"/>
      <c r="AB230" s="151"/>
      <c r="AC230" s="151"/>
      <c r="AD230" s="151"/>
    </row>
    <row r="231" spans="1:30" ht="18" customHeight="1">
      <c r="A231" s="151"/>
      <c r="B231" s="151"/>
      <c r="C231" s="151"/>
      <c r="D231" s="151"/>
      <c r="E231" s="151"/>
      <c r="F231" s="151"/>
      <c r="G231" s="151"/>
      <c r="H231" s="151"/>
      <c r="I231" s="151"/>
      <c r="J231" s="151"/>
      <c r="K231" s="151"/>
      <c r="L231" s="151"/>
      <c r="M231" s="151"/>
      <c r="N231" s="151"/>
      <c r="O231" s="151"/>
      <c r="P231" s="151"/>
      <c r="Q231" s="151"/>
      <c r="R231" s="151"/>
      <c r="S231" s="151"/>
      <c r="T231" s="155"/>
      <c r="U231" s="151"/>
      <c r="V231" s="151"/>
      <c r="W231" s="151"/>
      <c r="X231" s="151"/>
      <c r="Y231" s="151"/>
      <c r="Z231" s="151"/>
      <c r="AA231" s="151"/>
      <c r="AB231" s="151"/>
      <c r="AC231" s="151"/>
      <c r="AD231" s="151"/>
    </row>
    <row r="232" spans="1:30" ht="18" customHeight="1">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c r="AA232" s="151"/>
      <c r="AB232" s="151"/>
      <c r="AC232" s="151"/>
      <c r="AD232" s="151"/>
    </row>
    <row r="233" spans="1:30" ht="18" customHeight="1">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c r="AA233" s="151"/>
      <c r="AB233" s="151"/>
      <c r="AC233" s="151"/>
      <c r="AD233" s="151"/>
    </row>
    <row r="234" spans="1:30" ht="18" customHeight="1">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c r="AA234" s="151"/>
      <c r="AB234" s="151"/>
      <c r="AC234" s="151"/>
      <c r="AD234" s="151"/>
    </row>
    <row r="235" spans="1:30" ht="18" customHeight="1">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c r="AA235" s="151"/>
      <c r="AB235" s="151"/>
      <c r="AC235" s="151"/>
      <c r="AD235" s="151"/>
    </row>
    <row r="236" spans="1:30" ht="18" customHeight="1">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c r="AA236" s="151"/>
      <c r="AB236" s="151"/>
      <c r="AC236" s="151"/>
      <c r="AD236" s="151"/>
    </row>
    <row r="237" spans="1:30" ht="18" customHeight="1">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c r="AA237" s="151"/>
      <c r="AB237" s="151"/>
      <c r="AC237" s="151"/>
      <c r="AD237" s="151"/>
    </row>
    <row r="238" spans="1:30" ht="18" customHeight="1">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c r="AA238" s="151"/>
      <c r="AB238" s="151"/>
      <c r="AC238" s="151"/>
      <c r="AD238" s="151"/>
    </row>
    <row r="239" spans="1:30" ht="18" customHeight="1">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c r="AA239" s="151"/>
      <c r="AB239" s="151"/>
      <c r="AC239" s="151"/>
      <c r="AD239" s="151"/>
    </row>
    <row r="240" spans="1:30" ht="18" customHeight="1">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c r="AA240" s="151"/>
      <c r="AB240" s="151"/>
      <c r="AC240" s="151"/>
      <c r="AD240" s="151"/>
    </row>
    <row r="241" spans="1:30" ht="18" customHeight="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c r="AA241" s="151"/>
      <c r="AB241" s="151"/>
      <c r="AC241" s="151"/>
      <c r="AD241" s="151"/>
    </row>
    <row r="242" spans="1:30" ht="18" customHeight="1">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c r="AA242" s="151"/>
      <c r="AB242" s="151"/>
      <c r="AC242" s="151"/>
      <c r="AD242" s="151"/>
    </row>
    <row r="243" spans="1:30" ht="18" customHeight="1">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c r="AA243" s="151"/>
      <c r="AB243" s="151"/>
      <c r="AC243" s="151"/>
      <c r="AD243" s="151"/>
    </row>
    <row r="244" spans="1:30" ht="18" customHeight="1">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c r="AA244" s="151"/>
      <c r="AB244" s="151"/>
      <c r="AC244" s="151"/>
      <c r="AD244" s="151"/>
    </row>
    <row r="245" spans="1:30" ht="18" customHeight="1">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c r="AA245" s="151"/>
      <c r="AB245" s="151"/>
      <c r="AC245" s="151"/>
      <c r="AD245" s="151"/>
    </row>
    <row r="246" spans="1:30" ht="18" customHeight="1">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c r="AA246" s="151"/>
      <c r="AB246" s="151"/>
      <c r="AC246" s="151"/>
      <c r="AD246" s="151"/>
    </row>
    <row r="247" spans="1:30" ht="18" customHeight="1">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c r="AA247" s="151"/>
      <c r="AB247" s="151"/>
      <c r="AC247" s="151"/>
      <c r="AD247" s="151"/>
    </row>
    <row r="248" spans="1:30" ht="18" customHeight="1">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c r="AA248" s="151"/>
      <c r="AB248" s="151"/>
      <c r="AC248" s="151"/>
      <c r="AD248" s="151"/>
    </row>
    <row r="249" spans="1:30" ht="18" customHeight="1">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c r="AA249" s="151"/>
      <c r="AB249" s="151"/>
      <c r="AC249" s="151"/>
      <c r="AD249" s="151"/>
    </row>
    <row r="250" spans="1:30" ht="18" customHeight="1">
      <c r="A250" s="151"/>
      <c r="B250" s="151"/>
      <c r="C250" s="151"/>
      <c r="D250" s="151"/>
      <c r="E250" s="151"/>
      <c r="F250" s="151"/>
      <c r="G250" s="151"/>
      <c r="H250" s="151"/>
      <c r="I250" s="151"/>
      <c r="J250" s="151"/>
      <c r="K250" s="151"/>
      <c r="L250" s="151"/>
      <c r="M250" s="151"/>
      <c r="N250" s="151"/>
      <c r="O250" s="151"/>
      <c r="P250" s="151"/>
      <c r="Q250" s="151"/>
      <c r="R250" s="151"/>
      <c r="S250" s="151"/>
      <c r="T250" s="155"/>
      <c r="U250" s="151"/>
      <c r="V250" s="151"/>
      <c r="W250" s="151"/>
      <c r="X250" s="151"/>
      <c r="Y250" s="151"/>
      <c r="Z250" s="151"/>
      <c r="AA250" s="151"/>
      <c r="AB250" s="151"/>
      <c r="AC250" s="151"/>
      <c r="AD250" s="151"/>
    </row>
    <row r="251" spans="1:30" ht="18" customHeight="1">
      <c r="A251" s="151"/>
      <c r="B251" s="151"/>
      <c r="C251" s="151"/>
      <c r="D251" s="151"/>
      <c r="E251" s="151"/>
      <c r="F251" s="151"/>
      <c r="G251" s="151"/>
      <c r="H251" s="151"/>
      <c r="I251" s="151"/>
      <c r="J251" s="151"/>
      <c r="K251" s="151"/>
      <c r="L251" s="151"/>
      <c r="M251" s="151"/>
      <c r="N251" s="151"/>
      <c r="O251" s="151"/>
      <c r="P251" s="151"/>
      <c r="Q251" s="151"/>
      <c r="R251" s="151"/>
      <c r="S251" s="151"/>
      <c r="T251" s="155"/>
      <c r="U251" s="151"/>
      <c r="V251" s="151"/>
      <c r="W251" s="151"/>
      <c r="X251" s="151"/>
      <c r="Y251" s="151"/>
      <c r="Z251" s="151"/>
      <c r="AA251" s="151"/>
      <c r="AB251" s="151"/>
      <c r="AC251" s="151"/>
      <c r="AD251" s="151"/>
    </row>
    <row r="252" spans="1:30" ht="18" customHeight="1">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c r="AA252" s="151"/>
      <c r="AB252" s="151"/>
      <c r="AC252" s="151"/>
      <c r="AD252" s="151"/>
    </row>
    <row r="253" spans="1:30" ht="18" customHeight="1">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c r="AA253" s="151"/>
      <c r="AB253" s="151"/>
      <c r="AC253" s="151"/>
      <c r="AD253" s="151"/>
    </row>
    <row r="254" spans="1:30" ht="18" customHeight="1">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c r="AA254" s="151"/>
      <c r="AB254" s="151"/>
      <c r="AC254" s="151"/>
      <c r="AD254" s="151"/>
    </row>
    <row r="255" spans="1:30" ht="18" customHeight="1">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c r="AA255" s="151"/>
      <c r="AB255" s="151"/>
      <c r="AC255" s="151"/>
      <c r="AD255" s="151"/>
    </row>
    <row r="256" spans="1:30" ht="18" customHeight="1">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c r="AA256" s="151"/>
      <c r="AB256" s="151"/>
      <c r="AC256" s="151"/>
      <c r="AD256" s="151"/>
    </row>
    <row r="257" spans="1:30" ht="18" customHeight="1">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c r="AA257" s="151"/>
      <c r="AB257" s="151"/>
      <c r="AC257" s="151"/>
      <c r="AD257" s="151"/>
    </row>
    <row r="258" spans="1:30" ht="18" customHeight="1">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c r="AA258" s="151"/>
      <c r="AB258" s="151"/>
      <c r="AC258" s="151"/>
      <c r="AD258" s="151"/>
    </row>
    <row r="259" spans="1:30" ht="18" customHeight="1">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c r="AA259" s="151"/>
      <c r="AB259" s="151"/>
      <c r="AC259" s="151"/>
      <c r="AD259" s="151"/>
    </row>
    <row r="260" spans="1:30" ht="18" customHeight="1">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c r="AA260" s="151"/>
      <c r="AB260" s="151"/>
      <c r="AC260" s="151"/>
      <c r="AD260" s="151"/>
    </row>
    <row r="261" spans="1:30" ht="18" customHeight="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c r="AA261" s="151"/>
      <c r="AB261" s="151"/>
      <c r="AC261" s="151"/>
      <c r="AD261" s="151"/>
    </row>
    <row r="262" spans="1:30" ht="18" customHeight="1">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c r="AA262" s="151"/>
      <c r="AB262" s="151"/>
      <c r="AC262" s="151"/>
      <c r="AD262" s="151"/>
    </row>
    <row r="263" spans="1:30" ht="18" customHeight="1">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c r="AA263" s="151"/>
      <c r="AB263" s="151"/>
      <c r="AC263" s="151"/>
      <c r="AD263" s="151"/>
    </row>
    <row r="264" spans="1:30" ht="18" customHeight="1">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c r="AA264" s="151"/>
      <c r="AB264" s="151"/>
      <c r="AC264" s="151"/>
      <c r="AD264" s="151"/>
    </row>
    <row r="265" spans="1:30" ht="18" customHeight="1">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c r="AA265" s="151"/>
      <c r="AB265" s="151"/>
      <c r="AC265" s="151"/>
      <c r="AD265" s="151"/>
    </row>
    <row r="266" spans="1:30" ht="18" customHeight="1">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row>
    <row r="267" spans="1:30" ht="18" customHeight="1">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row>
    <row r="268" spans="1:30" ht="18" customHeight="1">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row>
    <row r="269" spans="1:30" ht="18" customHeight="1">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row>
    <row r="270" spans="1:30" ht="18" customHeight="1">
      <c r="A270" s="151"/>
      <c r="B270" s="151"/>
      <c r="C270" s="151"/>
      <c r="D270" s="151"/>
      <c r="E270" s="151"/>
      <c r="F270" s="151"/>
      <c r="G270" s="151"/>
      <c r="H270" s="151"/>
      <c r="I270" s="151"/>
      <c r="J270" s="151"/>
      <c r="K270" s="151"/>
      <c r="L270" s="151"/>
      <c r="M270" s="151"/>
      <c r="N270" s="151"/>
      <c r="O270" s="151"/>
      <c r="P270" s="151"/>
      <c r="Q270" s="151"/>
      <c r="R270" s="151"/>
      <c r="S270" s="151"/>
      <c r="T270" s="155"/>
      <c r="U270" s="151"/>
      <c r="V270" s="151"/>
      <c r="W270" s="151"/>
      <c r="X270" s="151"/>
      <c r="Y270" s="151"/>
      <c r="Z270" s="151"/>
      <c r="AA270" s="151"/>
      <c r="AB270" s="151"/>
      <c r="AC270" s="151"/>
      <c r="AD270" s="151"/>
    </row>
    <row r="271" spans="1:30" ht="18" customHeight="1">
      <c r="A271" s="151"/>
      <c r="B271" s="151"/>
      <c r="C271" s="151"/>
      <c r="D271" s="151"/>
      <c r="E271" s="151"/>
      <c r="F271" s="151"/>
      <c r="G271" s="151"/>
      <c r="H271" s="151"/>
      <c r="I271" s="151"/>
      <c r="J271" s="151"/>
      <c r="K271" s="151"/>
      <c r="L271" s="151"/>
      <c r="M271" s="151"/>
      <c r="N271" s="151"/>
      <c r="O271" s="151"/>
      <c r="P271" s="151"/>
      <c r="Q271" s="151"/>
      <c r="R271" s="151"/>
      <c r="S271" s="151"/>
      <c r="T271" s="155"/>
      <c r="U271" s="151"/>
      <c r="V271" s="151"/>
      <c r="W271" s="151"/>
      <c r="X271" s="151"/>
      <c r="Y271" s="151"/>
      <c r="Z271" s="151"/>
      <c r="AA271" s="151"/>
      <c r="AB271" s="151"/>
      <c r="AC271" s="151"/>
      <c r="AD271" s="151"/>
    </row>
    <row r="272" spans="1:30" ht="18" customHeight="1">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row>
    <row r="273" spans="1:30" ht="18" customHeight="1">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row>
    <row r="274" spans="1:30" ht="18" customHeight="1">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row>
    <row r="275" spans="1:30" ht="18" customHeight="1">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row>
    <row r="276" spans="1:30" ht="18" customHeight="1">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row>
    <row r="277" spans="1:30" ht="18" customHeight="1">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row>
    <row r="278" spans="1:30" ht="18" customHeight="1">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row>
    <row r="279" spans="1:30" ht="18" customHeight="1">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row>
    <row r="280" spans="1:30" ht="18" customHeight="1">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row>
    <row r="281" spans="1:30" ht="18" customHeight="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row>
    <row r="282" spans="1:30" ht="18" customHeight="1">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row>
    <row r="283" spans="1:30" ht="18" customHeight="1">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row>
    <row r="284" spans="1:30" ht="18" customHeight="1">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row>
    <row r="285" spans="1:30" ht="18" customHeight="1">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row>
    <row r="286" spans="1:30" ht="18" customHeight="1">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row>
    <row r="287" spans="1:30" ht="18" customHeight="1">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row>
    <row r="288" spans="1:30" ht="18" customHeight="1">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row>
    <row r="289" spans="1:30" ht="18" customHeight="1">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row>
    <row r="290" spans="1:30" ht="18" customHeight="1">
      <c r="A290" s="151"/>
      <c r="B290" s="151"/>
      <c r="C290" s="151"/>
      <c r="D290" s="151"/>
      <c r="E290" s="151"/>
      <c r="F290" s="151"/>
      <c r="G290" s="151"/>
      <c r="H290" s="151"/>
      <c r="I290" s="151"/>
      <c r="J290" s="151"/>
      <c r="K290" s="151"/>
      <c r="L290" s="151"/>
      <c r="M290" s="151"/>
      <c r="N290" s="151"/>
      <c r="O290" s="151"/>
      <c r="P290" s="151"/>
      <c r="Q290" s="151"/>
      <c r="R290" s="151"/>
      <c r="S290" s="151"/>
      <c r="T290" s="155"/>
      <c r="U290" s="151"/>
      <c r="V290" s="151"/>
      <c r="W290" s="151"/>
      <c r="X290" s="151"/>
      <c r="Y290" s="151"/>
      <c r="Z290" s="151"/>
      <c r="AA290" s="151"/>
      <c r="AB290" s="151"/>
      <c r="AC290" s="151"/>
      <c r="AD290" s="151"/>
    </row>
    <row r="291" spans="1:30" ht="18" customHeight="1">
      <c r="A291" s="151"/>
      <c r="B291" s="151"/>
      <c r="C291" s="151"/>
      <c r="D291" s="151"/>
      <c r="E291" s="151"/>
      <c r="F291" s="151"/>
      <c r="G291" s="151"/>
      <c r="H291" s="151"/>
      <c r="I291" s="151"/>
      <c r="J291" s="151"/>
      <c r="K291" s="151"/>
      <c r="L291" s="151"/>
      <c r="M291" s="151"/>
      <c r="N291" s="151"/>
      <c r="O291" s="151"/>
      <c r="P291" s="151"/>
      <c r="Q291" s="151"/>
      <c r="R291" s="151"/>
      <c r="S291" s="151"/>
      <c r="T291" s="155"/>
      <c r="U291" s="151"/>
      <c r="V291" s="151"/>
      <c r="W291" s="151"/>
      <c r="X291" s="151"/>
      <c r="Y291" s="151"/>
      <c r="Z291" s="151"/>
      <c r="AA291" s="151"/>
      <c r="AB291" s="151"/>
      <c r="AC291" s="151"/>
      <c r="AD291" s="151"/>
    </row>
    <row r="292" spans="1:30" ht="18" customHeight="1">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row>
    <row r="293" spans="1:30" ht="18" customHeight="1">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row>
    <row r="294" spans="1:30" ht="18" customHeight="1">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row>
    <row r="295" spans="1:30" ht="18" customHeight="1">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row>
    <row r="296" spans="1:30" ht="18" customHeight="1">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row>
    <row r="297" spans="1:30" ht="18" customHeight="1">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row>
    <row r="298" spans="1:30" ht="18" customHeight="1">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row>
    <row r="299" spans="1:30" ht="18" customHeight="1">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row>
    <row r="300" spans="1:30" ht="18" customHeight="1">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row>
    <row r="301" spans="1:30" ht="18" customHeight="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row>
    <row r="302" spans="1:30" ht="18" customHeight="1">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row>
    <row r="303" spans="1:30" ht="18" customHeight="1">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row>
    <row r="304" spans="1:30" ht="18" customHeight="1">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row>
    <row r="305" spans="1:30" ht="18" customHeight="1">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row>
    <row r="306" spans="1:30" ht="18" customHeight="1">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row>
    <row r="307" spans="1:30" ht="18" customHeight="1">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row>
    <row r="308" spans="1:30" ht="18" customHeight="1">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row>
    <row r="309" spans="1:30" ht="18" customHeight="1">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row>
    <row r="310" spans="1:30" ht="18" customHeight="1">
      <c r="A310" s="151"/>
      <c r="B310" s="151"/>
      <c r="C310" s="151"/>
      <c r="D310" s="151"/>
      <c r="E310" s="151"/>
      <c r="F310" s="151"/>
      <c r="G310" s="151"/>
      <c r="H310" s="151"/>
      <c r="I310" s="151"/>
      <c r="J310" s="151"/>
      <c r="K310" s="151"/>
      <c r="L310" s="151"/>
      <c r="M310" s="151"/>
      <c r="N310" s="151"/>
      <c r="O310" s="151"/>
      <c r="P310" s="151"/>
      <c r="Q310" s="151"/>
      <c r="R310" s="151"/>
      <c r="S310" s="151"/>
      <c r="T310" s="155"/>
      <c r="U310" s="151"/>
      <c r="V310" s="151"/>
      <c r="W310" s="151"/>
      <c r="X310" s="151"/>
      <c r="Y310" s="151"/>
      <c r="Z310" s="151"/>
      <c r="AA310" s="151"/>
      <c r="AB310" s="151"/>
      <c r="AC310" s="151"/>
      <c r="AD310" s="151"/>
    </row>
    <row r="311" spans="1:30" ht="18" customHeight="1">
      <c r="A311" s="151"/>
      <c r="B311" s="151"/>
      <c r="C311" s="151"/>
      <c r="D311" s="151"/>
      <c r="E311" s="151"/>
      <c r="F311" s="151"/>
      <c r="G311" s="151"/>
      <c r="H311" s="151"/>
      <c r="I311" s="151"/>
      <c r="J311" s="151"/>
      <c r="K311" s="151"/>
      <c r="L311" s="151"/>
      <c r="M311" s="151"/>
      <c r="N311" s="151"/>
      <c r="O311" s="151"/>
      <c r="P311" s="151"/>
      <c r="Q311" s="151"/>
      <c r="R311" s="151"/>
      <c r="S311" s="151"/>
      <c r="T311" s="155"/>
      <c r="U311" s="151"/>
      <c r="V311" s="151"/>
      <c r="W311" s="151"/>
      <c r="X311" s="151"/>
      <c r="Y311" s="151"/>
      <c r="Z311" s="151"/>
      <c r="AA311" s="151"/>
      <c r="AB311" s="151"/>
      <c r="AC311" s="151"/>
      <c r="AD311" s="151"/>
    </row>
    <row r="312" spans="1:30" ht="18" customHeight="1">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row>
    <row r="313" spans="1:30" ht="18" customHeight="1">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row>
    <row r="314" spans="1:30" ht="18" customHeight="1">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row>
    <row r="315" spans="1:30" ht="18" customHeight="1">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row>
    <row r="316" spans="1:30" ht="18" customHeight="1">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row>
    <row r="317" spans="1:30" ht="18" customHeight="1">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row>
    <row r="318" spans="1:30" ht="18" customHeight="1">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row>
    <row r="319" spans="1:30" ht="18" customHeight="1">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row>
    <row r="320" spans="1:30" ht="18" customHeight="1">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row>
    <row r="321" spans="1:30" ht="18" customHeight="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row>
    <row r="322" spans="1:30" ht="18" customHeight="1">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row>
    <row r="323" spans="1:30" ht="18" customHeight="1">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row>
    <row r="324" spans="1:30" ht="18" customHeight="1">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row>
    <row r="325" spans="1:30" ht="18" customHeight="1">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row>
    <row r="326" spans="1:30" ht="18" customHeight="1">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row>
    <row r="327" spans="1:30" ht="18" customHeight="1">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row>
    <row r="328" spans="1:30" ht="18" customHeight="1">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row>
    <row r="329" spans="1:30" ht="18" customHeight="1">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row>
    <row r="330" spans="1:30" ht="18" customHeight="1">
      <c r="A330" s="151"/>
      <c r="B330" s="151"/>
      <c r="C330" s="151"/>
      <c r="D330" s="151"/>
      <c r="E330" s="151"/>
      <c r="F330" s="151"/>
      <c r="G330" s="151"/>
      <c r="H330" s="151"/>
      <c r="I330" s="151"/>
      <c r="J330" s="151"/>
      <c r="K330" s="151"/>
      <c r="L330" s="151"/>
      <c r="M330" s="151"/>
      <c r="N330" s="151"/>
      <c r="O330" s="151"/>
      <c r="P330" s="151"/>
      <c r="Q330" s="151"/>
      <c r="R330" s="151"/>
      <c r="S330" s="151"/>
      <c r="T330" s="155"/>
      <c r="U330" s="151"/>
      <c r="V330" s="151"/>
      <c r="W330" s="151"/>
      <c r="X330" s="151"/>
      <c r="Y330" s="151"/>
      <c r="Z330" s="151"/>
      <c r="AA330" s="151"/>
      <c r="AB330" s="151"/>
      <c r="AC330" s="151"/>
      <c r="AD330" s="151"/>
    </row>
    <row r="331" spans="1:30" ht="18" customHeight="1">
      <c r="A331" s="151"/>
      <c r="B331" s="151"/>
      <c r="C331" s="151"/>
      <c r="D331" s="151"/>
      <c r="E331" s="151"/>
      <c r="F331" s="151"/>
      <c r="G331" s="151"/>
      <c r="H331" s="151"/>
      <c r="I331" s="151"/>
      <c r="J331" s="151"/>
      <c r="K331" s="151"/>
      <c r="L331" s="151"/>
      <c r="M331" s="151"/>
      <c r="N331" s="151"/>
      <c r="O331" s="151"/>
      <c r="P331" s="151"/>
      <c r="Q331" s="151"/>
      <c r="R331" s="151"/>
      <c r="S331" s="151"/>
      <c r="T331" s="155"/>
      <c r="U331" s="151"/>
      <c r="V331" s="151"/>
      <c r="W331" s="151"/>
      <c r="X331" s="151"/>
      <c r="Y331" s="151"/>
      <c r="Z331" s="151"/>
      <c r="AA331" s="151"/>
      <c r="AB331" s="151"/>
      <c r="AC331" s="151"/>
      <c r="AD331" s="151"/>
    </row>
    <row r="332" spans="1:30" ht="18" customHeight="1">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row>
    <row r="333" spans="1:30" ht="18" customHeight="1">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row>
    <row r="334" spans="1:30" ht="18" customHeight="1">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row>
    <row r="335" spans="1:30" ht="18" customHeight="1">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row>
    <row r="336" spans="1:30" ht="18" customHeight="1">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row>
    <row r="337" spans="1:30" ht="18" customHeight="1">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row>
    <row r="338" spans="1:30" ht="18" customHeight="1">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row>
    <row r="339" spans="1:30" ht="18" customHeight="1">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row>
    <row r="340" spans="1:30" ht="18" customHeight="1">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row>
    <row r="341" spans="1:30" ht="18" customHeight="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row>
    <row r="342" spans="1:30" ht="18" customHeight="1">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row>
    <row r="343" spans="1:30" ht="18" customHeight="1">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row>
    <row r="344" spans="1:30" ht="18" customHeight="1">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5"/>
      <c r="X344" s="155"/>
      <c r="Y344" s="151"/>
      <c r="Z344" s="151"/>
      <c r="AA344" s="151"/>
      <c r="AB344" s="151"/>
      <c r="AC344" s="151"/>
      <c r="AD344" s="151"/>
    </row>
    <row r="345" spans="1:30" ht="18" customHeight="1">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5"/>
      <c r="X345" s="155"/>
      <c r="Y345" s="151"/>
      <c r="Z345" s="151"/>
      <c r="AA345" s="151"/>
      <c r="AB345" s="151"/>
      <c r="AC345" s="151"/>
      <c r="AD345" s="151"/>
    </row>
    <row r="346" spans="1:30" ht="18" customHeight="1">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row>
    <row r="347" spans="1:30" ht="18" customHeight="1">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row>
    <row r="348" spans="1:30" ht="18" customHeight="1">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row>
    <row r="349" spans="1:30" ht="18" customHeight="1">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row>
    <row r="350" spans="1:30" ht="18" customHeight="1">
      <c r="A350" s="151"/>
      <c r="B350" s="151"/>
      <c r="C350" s="151"/>
      <c r="D350" s="151"/>
      <c r="E350" s="151"/>
      <c r="F350" s="151"/>
      <c r="G350" s="151"/>
      <c r="H350" s="151"/>
      <c r="I350" s="151"/>
      <c r="J350" s="151"/>
      <c r="K350" s="151"/>
      <c r="L350" s="151"/>
      <c r="M350" s="151"/>
      <c r="N350" s="151"/>
      <c r="O350" s="151"/>
      <c r="P350" s="151"/>
      <c r="Q350" s="151"/>
      <c r="R350" s="151"/>
      <c r="S350" s="151"/>
      <c r="T350" s="155"/>
      <c r="U350" s="151"/>
      <c r="V350" s="151"/>
      <c r="W350" s="151"/>
      <c r="X350" s="151"/>
      <c r="Y350" s="151"/>
      <c r="Z350" s="151"/>
      <c r="AA350" s="151"/>
      <c r="AB350" s="151"/>
      <c r="AC350" s="151"/>
      <c r="AD350" s="151"/>
    </row>
    <row r="351" spans="1:30" ht="18" customHeight="1">
      <c r="A351" s="151"/>
      <c r="B351" s="151"/>
      <c r="C351" s="151"/>
      <c r="D351" s="151"/>
      <c r="E351" s="151"/>
      <c r="F351" s="151"/>
      <c r="G351" s="151"/>
      <c r="H351" s="151"/>
      <c r="I351" s="151"/>
      <c r="J351" s="151"/>
      <c r="K351" s="151"/>
      <c r="L351" s="151"/>
      <c r="M351" s="151"/>
      <c r="N351" s="151"/>
      <c r="O351" s="151"/>
      <c r="P351" s="151"/>
      <c r="Q351" s="151"/>
      <c r="R351" s="151"/>
      <c r="S351" s="151"/>
      <c r="T351" s="155"/>
      <c r="U351" s="151"/>
      <c r="V351" s="151"/>
      <c r="W351" s="151"/>
      <c r="X351" s="151"/>
      <c r="Y351" s="151"/>
      <c r="Z351" s="151"/>
      <c r="AA351" s="151"/>
      <c r="AB351" s="151"/>
      <c r="AC351" s="151"/>
      <c r="AD351" s="151"/>
    </row>
  </sheetData>
  <hyperlinks>
    <hyperlink ref="A16" r:id="rId1" xr:uid="{00000000-0004-0000-0C00-000000000000}"/>
    <hyperlink ref="A17" r:id="rId2" xr:uid="{00000000-0004-0000-0C00-000001000000}"/>
    <hyperlink ref="A27" r:id="rId3" xr:uid="{00000000-0004-0000-0C00-000002000000}"/>
    <hyperlink ref="A28" r:id="rId4" xr:uid="{00000000-0004-0000-0C00-000003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F3A56"/>
  </sheetPr>
  <dimension ref="A1:R57"/>
  <sheetViews>
    <sheetView showGridLines="0" workbookViewId="0"/>
  </sheetViews>
  <sheetFormatPr defaultColWidth="9.125" defaultRowHeight="15.75"/>
  <cols>
    <col min="1" max="1" width="37.25" style="209" customWidth="1"/>
    <col min="2" max="5" width="11.375" style="209" customWidth="1"/>
    <col min="6" max="6" width="20.375" style="209" customWidth="1"/>
    <col min="7" max="9" width="11.375" style="209" customWidth="1"/>
    <col min="10" max="13" width="12.375" style="209" customWidth="1"/>
    <col min="14" max="14" width="11.625" style="209" customWidth="1"/>
    <col min="15" max="15" width="12.375" style="209" customWidth="1"/>
    <col min="16" max="17" width="18.625" style="209" customWidth="1"/>
    <col min="18" max="16384" width="9.125" style="209"/>
  </cols>
  <sheetData>
    <row r="1" spans="1:18" s="201" customFormat="1" ht="30.75" customHeight="1">
      <c r="E1" s="52" t="s">
        <v>4336</v>
      </c>
    </row>
    <row r="2" spans="1:18" s="204" customFormat="1" ht="15" customHeight="1">
      <c r="A2" s="202" t="s">
        <v>1803</v>
      </c>
      <c r="B2" s="203"/>
      <c r="C2" s="203"/>
      <c r="D2" s="203"/>
      <c r="F2" s="205" t="s">
        <v>1804</v>
      </c>
      <c r="G2" s="203"/>
      <c r="H2" s="203"/>
      <c r="I2" s="203"/>
      <c r="J2" s="203"/>
      <c r="K2" s="203"/>
      <c r="L2" s="203"/>
      <c r="M2" s="203"/>
      <c r="N2" s="203"/>
      <c r="O2" s="203"/>
      <c r="P2" s="203"/>
      <c r="Q2" s="203"/>
      <c r="R2" s="203"/>
    </row>
    <row r="3" spans="1:18" s="207" customFormat="1" ht="18" customHeight="1">
      <c r="A3" s="47"/>
      <c r="B3" s="206" t="s">
        <v>35</v>
      </c>
      <c r="C3" s="206">
        <v>2012</v>
      </c>
      <c r="D3" s="206">
        <v>2013</v>
      </c>
      <c r="E3" s="206">
        <v>2014</v>
      </c>
      <c r="F3" s="206" t="s">
        <v>1805</v>
      </c>
      <c r="G3" s="206">
        <v>2016</v>
      </c>
      <c r="H3" s="206">
        <v>2017</v>
      </c>
      <c r="I3" s="206">
        <v>2018</v>
      </c>
      <c r="J3" s="206">
        <v>2019</v>
      </c>
      <c r="K3" s="206">
        <v>2020</v>
      </c>
      <c r="L3" s="206">
        <v>2021</v>
      </c>
      <c r="M3" s="206">
        <v>2022</v>
      </c>
      <c r="N3" s="206" t="s">
        <v>1806</v>
      </c>
      <c r="O3" s="206" t="s">
        <v>1807</v>
      </c>
      <c r="P3" s="206" t="s">
        <v>1808</v>
      </c>
      <c r="Q3" s="206" t="s">
        <v>1809</v>
      </c>
      <c r="R3" s="47"/>
    </row>
    <row r="4" spans="1:18" ht="18" customHeight="1">
      <c r="A4" s="206" t="s">
        <v>1810</v>
      </c>
      <c r="B4" s="208" t="s">
        <v>1811</v>
      </c>
      <c r="C4" s="208">
        <v>1</v>
      </c>
      <c r="D4" s="208">
        <v>2</v>
      </c>
      <c r="E4" s="47"/>
      <c r="F4" s="208" t="s">
        <v>1812</v>
      </c>
      <c r="G4" s="208">
        <v>89</v>
      </c>
      <c r="H4" s="208">
        <v>636</v>
      </c>
      <c r="I4" s="208">
        <v>1061</v>
      </c>
      <c r="J4" s="208">
        <v>1258</v>
      </c>
      <c r="K4" s="208">
        <v>1335</v>
      </c>
      <c r="L4" s="208">
        <v>1965</v>
      </c>
      <c r="M4" s="208">
        <v>2984</v>
      </c>
      <c r="N4" s="208" t="s">
        <v>1813</v>
      </c>
      <c r="O4" s="208" t="s">
        <v>1814</v>
      </c>
      <c r="P4" s="208" t="s">
        <v>1815</v>
      </c>
      <c r="Q4" s="208" t="s">
        <v>1816</v>
      </c>
      <c r="R4" s="47"/>
    </row>
    <row r="5" spans="1:18" ht="18" customHeight="1">
      <c r="A5" s="206" t="s">
        <v>1817</v>
      </c>
      <c r="B5" s="208" t="s">
        <v>1818</v>
      </c>
      <c r="C5" s="208">
        <v>17</v>
      </c>
      <c r="D5" s="208">
        <v>2</v>
      </c>
      <c r="E5" s="208">
        <v>120</v>
      </c>
      <c r="F5" s="208" t="s">
        <v>1819</v>
      </c>
      <c r="G5" s="208">
        <v>1407</v>
      </c>
      <c r="H5" s="208">
        <v>2560</v>
      </c>
      <c r="I5" s="208">
        <v>5841</v>
      </c>
      <c r="J5" s="208">
        <v>8097</v>
      </c>
      <c r="K5" s="208">
        <v>9524</v>
      </c>
      <c r="L5" s="208">
        <v>13220</v>
      </c>
      <c r="M5" s="208">
        <v>18259</v>
      </c>
      <c r="N5" s="208" t="s">
        <v>1820</v>
      </c>
      <c r="O5" s="208" t="s">
        <v>1821</v>
      </c>
      <c r="P5" s="208" t="s">
        <v>1822</v>
      </c>
      <c r="Q5" s="208" t="s">
        <v>1823</v>
      </c>
      <c r="R5" s="47"/>
    </row>
    <row r="6" spans="1:18" ht="18" customHeight="1">
      <c r="A6" s="47"/>
      <c r="B6" s="208" t="s">
        <v>1824</v>
      </c>
      <c r="C6" s="208">
        <v>8</v>
      </c>
      <c r="D6" s="208">
        <v>16</v>
      </c>
      <c r="E6" s="208">
        <v>16</v>
      </c>
      <c r="F6" s="208" t="s">
        <v>1825</v>
      </c>
      <c r="G6" s="208">
        <v>348</v>
      </c>
      <c r="H6" s="208">
        <v>958</v>
      </c>
      <c r="I6" s="208">
        <v>5886</v>
      </c>
      <c r="J6" s="208">
        <v>6565</v>
      </c>
      <c r="K6" s="208">
        <v>9485</v>
      </c>
      <c r="L6" s="208">
        <v>26321</v>
      </c>
      <c r="M6" s="208">
        <v>54531</v>
      </c>
      <c r="N6" s="208" t="s">
        <v>1826</v>
      </c>
      <c r="O6" s="208" t="s">
        <v>1827</v>
      </c>
      <c r="P6" s="208" t="s">
        <v>1828</v>
      </c>
      <c r="Q6" s="208" t="s">
        <v>1829</v>
      </c>
      <c r="R6" s="47"/>
    </row>
    <row r="7" spans="1:18" ht="18" customHeight="1">
      <c r="A7" s="206" t="s">
        <v>1830</v>
      </c>
      <c r="B7" s="208" t="s">
        <v>1831</v>
      </c>
      <c r="C7" s="208">
        <v>10</v>
      </c>
      <c r="D7" s="208">
        <v>10</v>
      </c>
      <c r="E7" s="208">
        <v>53</v>
      </c>
      <c r="F7" s="208" t="s">
        <v>1832</v>
      </c>
      <c r="G7" s="208">
        <v>1991</v>
      </c>
      <c r="H7" s="208">
        <v>8280</v>
      </c>
      <c r="I7" s="208">
        <v>24798</v>
      </c>
      <c r="J7" s="208">
        <v>30319</v>
      </c>
      <c r="K7" s="208">
        <v>34923</v>
      </c>
      <c r="L7" s="208">
        <v>41854</v>
      </c>
      <c r="M7" s="208">
        <v>50480</v>
      </c>
      <c r="N7" s="208" t="s">
        <v>1833</v>
      </c>
      <c r="O7" s="208" t="s">
        <v>1834</v>
      </c>
      <c r="P7" s="208" t="s">
        <v>1835</v>
      </c>
      <c r="Q7" s="208" t="s">
        <v>1836</v>
      </c>
      <c r="R7" s="47"/>
    </row>
    <row r="8" spans="1:18" ht="18" customHeight="1">
      <c r="A8" s="206" t="s">
        <v>1837</v>
      </c>
      <c r="B8" s="208" t="s">
        <v>1838</v>
      </c>
      <c r="C8" s="208">
        <v>75</v>
      </c>
      <c r="D8" s="208">
        <v>312</v>
      </c>
      <c r="E8" s="208">
        <v>830</v>
      </c>
      <c r="F8" s="208" t="s">
        <v>1839</v>
      </c>
      <c r="G8" s="208">
        <v>9663</v>
      </c>
      <c r="H8" s="208">
        <v>16206</v>
      </c>
      <c r="I8" s="208">
        <v>42285</v>
      </c>
      <c r="J8" s="208">
        <v>184399</v>
      </c>
      <c r="K8" s="208">
        <v>147532</v>
      </c>
      <c r="L8" s="208">
        <v>168499</v>
      </c>
      <c r="M8" s="208">
        <v>243571</v>
      </c>
      <c r="N8" s="208" t="s">
        <v>1840</v>
      </c>
      <c r="O8" s="208" t="s">
        <v>1841</v>
      </c>
      <c r="P8" s="208" t="s">
        <v>1842</v>
      </c>
      <c r="Q8" s="208" t="s">
        <v>1843</v>
      </c>
      <c r="R8" s="47"/>
    </row>
    <row r="9" spans="1:18" ht="18" customHeight="1">
      <c r="A9" s="206" t="s">
        <v>1844</v>
      </c>
      <c r="B9" s="208" t="s">
        <v>1845</v>
      </c>
      <c r="C9" s="208">
        <v>22</v>
      </c>
      <c r="D9" s="208">
        <v>19</v>
      </c>
      <c r="E9" s="208">
        <v>68</v>
      </c>
      <c r="F9" s="208" t="s">
        <v>1846</v>
      </c>
      <c r="G9" s="208">
        <v>2098</v>
      </c>
      <c r="H9" s="208">
        <v>2751</v>
      </c>
      <c r="I9" s="208">
        <v>5106</v>
      </c>
      <c r="J9" s="208">
        <v>11281</v>
      </c>
      <c r="K9" s="208">
        <v>15006</v>
      </c>
      <c r="L9" s="208">
        <v>19310</v>
      </c>
      <c r="M9" s="208">
        <v>28438</v>
      </c>
      <c r="N9" s="208" t="s">
        <v>1847</v>
      </c>
      <c r="O9" s="208" t="s">
        <v>1848</v>
      </c>
      <c r="P9" s="208" t="s">
        <v>1849</v>
      </c>
      <c r="Q9" s="208" t="s">
        <v>1850</v>
      </c>
      <c r="R9" s="47"/>
    </row>
    <row r="10" spans="1:18" ht="18" customHeight="1">
      <c r="A10" s="206" t="s">
        <v>1851</v>
      </c>
      <c r="B10" s="208" t="s">
        <v>1852</v>
      </c>
      <c r="C10" s="208">
        <v>14</v>
      </c>
      <c r="D10" s="208">
        <v>103</v>
      </c>
      <c r="E10" s="208">
        <v>156</v>
      </c>
      <c r="F10" s="208" t="s">
        <v>1853</v>
      </c>
      <c r="G10" s="208">
        <v>5700</v>
      </c>
      <c r="H10" s="208">
        <v>5440</v>
      </c>
      <c r="I10" s="208">
        <v>9384</v>
      </c>
      <c r="J10" s="208">
        <v>11828</v>
      </c>
      <c r="K10" s="208">
        <v>13029</v>
      </c>
      <c r="L10" s="208">
        <v>15065</v>
      </c>
      <c r="M10" s="208">
        <v>15926</v>
      </c>
      <c r="N10" s="208" t="s">
        <v>1854</v>
      </c>
      <c r="O10" s="208" t="s">
        <v>1855</v>
      </c>
      <c r="P10" s="208" t="s">
        <v>1856</v>
      </c>
      <c r="Q10" s="208" t="s">
        <v>1857</v>
      </c>
      <c r="R10" s="47"/>
    </row>
    <row r="11" spans="1:18" ht="18" customHeight="1">
      <c r="A11" s="206" t="s">
        <v>1858</v>
      </c>
      <c r="B11" s="208" t="s">
        <v>1859</v>
      </c>
      <c r="C11" s="47"/>
      <c r="D11" s="208">
        <v>2</v>
      </c>
      <c r="E11" s="208">
        <v>3</v>
      </c>
      <c r="F11" s="208" t="s">
        <v>1860</v>
      </c>
      <c r="G11" s="208">
        <v>437</v>
      </c>
      <c r="H11" s="208">
        <v>732</v>
      </c>
      <c r="I11" s="208">
        <v>1547</v>
      </c>
      <c r="J11" s="208">
        <v>2122</v>
      </c>
      <c r="K11" s="208">
        <v>3878</v>
      </c>
      <c r="L11" s="208">
        <v>5467</v>
      </c>
      <c r="M11" s="208">
        <v>5923</v>
      </c>
      <c r="N11" s="208" t="s">
        <v>1861</v>
      </c>
      <c r="O11" s="208" t="s">
        <v>1862</v>
      </c>
      <c r="P11" s="208" t="s">
        <v>1863</v>
      </c>
      <c r="Q11" s="208" t="s">
        <v>1864</v>
      </c>
      <c r="R11" s="47"/>
    </row>
    <row r="12" spans="1:18" ht="18" customHeight="1">
      <c r="A12" s="206" t="s">
        <v>1865</v>
      </c>
      <c r="B12" s="208" t="s">
        <v>1866</v>
      </c>
      <c r="C12" s="47"/>
      <c r="D12" s="208">
        <v>1</v>
      </c>
      <c r="E12" s="208">
        <v>232</v>
      </c>
      <c r="F12" s="208" t="s">
        <v>1867</v>
      </c>
      <c r="G12" s="208">
        <v>143</v>
      </c>
      <c r="H12" s="208">
        <v>678</v>
      </c>
      <c r="I12" s="208">
        <v>1867</v>
      </c>
      <c r="J12" s="208">
        <v>2328</v>
      </c>
      <c r="K12" s="208">
        <v>2906</v>
      </c>
      <c r="L12" s="208">
        <v>3533</v>
      </c>
      <c r="M12" s="208">
        <v>4278</v>
      </c>
      <c r="N12" s="208" t="s">
        <v>1868</v>
      </c>
      <c r="O12" s="208" t="s">
        <v>1869</v>
      </c>
      <c r="P12" s="208" t="s">
        <v>1870</v>
      </c>
      <c r="Q12" s="208" t="s">
        <v>1871</v>
      </c>
      <c r="R12" s="47"/>
    </row>
    <row r="13" spans="1:18" ht="18" customHeight="1">
      <c r="A13" s="206" t="s">
        <v>1872</v>
      </c>
      <c r="B13" s="208" t="s">
        <v>1873</v>
      </c>
      <c r="C13" s="208">
        <v>29</v>
      </c>
      <c r="D13" s="208">
        <v>9</v>
      </c>
      <c r="E13" s="208">
        <v>274</v>
      </c>
      <c r="F13" s="208" t="s">
        <v>1874</v>
      </c>
      <c r="G13" s="208">
        <v>8342</v>
      </c>
      <c r="H13" s="208">
        <v>13633</v>
      </c>
      <c r="I13" s="208">
        <v>57688</v>
      </c>
      <c r="J13" s="208">
        <v>48269</v>
      </c>
      <c r="K13" s="208">
        <v>54206</v>
      </c>
      <c r="L13" s="208">
        <v>53163</v>
      </c>
      <c r="M13" s="208">
        <v>72409</v>
      </c>
      <c r="N13" s="208" t="s">
        <v>1875</v>
      </c>
      <c r="O13" s="208" t="s">
        <v>1876</v>
      </c>
      <c r="P13" s="208" t="s">
        <v>1877</v>
      </c>
      <c r="Q13" s="208" t="s">
        <v>1878</v>
      </c>
      <c r="R13" s="47"/>
    </row>
    <row r="14" spans="1:18" ht="18" customHeight="1">
      <c r="A14" s="206" t="s">
        <v>1879</v>
      </c>
      <c r="B14" s="208" t="s">
        <v>1880</v>
      </c>
      <c r="C14" s="208">
        <v>53</v>
      </c>
      <c r="D14" s="208">
        <v>35</v>
      </c>
      <c r="E14" s="208">
        <v>154</v>
      </c>
      <c r="F14" s="208" t="s">
        <v>1881</v>
      </c>
      <c r="G14" s="208">
        <v>1911</v>
      </c>
      <c r="H14" s="208">
        <v>3119</v>
      </c>
      <c r="I14" s="208">
        <v>8181</v>
      </c>
      <c r="J14" s="208">
        <v>14150</v>
      </c>
      <c r="K14" s="208">
        <v>16917</v>
      </c>
      <c r="L14" s="208">
        <v>19773</v>
      </c>
      <c r="M14" s="208">
        <v>29066</v>
      </c>
      <c r="N14" s="208" t="s">
        <v>1882</v>
      </c>
      <c r="O14" s="208" t="s">
        <v>1883</v>
      </c>
      <c r="P14" s="208" t="s">
        <v>1884</v>
      </c>
      <c r="Q14" s="208" t="s">
        <v>1885</v>
      </c>
      <c r="R14" s="47"/>
    </row>
    <row r="15" spans="1:18" ht="18" customHeight="1">
      <c r="A15" s="206" t="s">
        <v>1886</v>
      </c>
      <c r="B15" s="208" t="s">
        <v>1887</v>
      </c>
      <c r="C15" s="47"/>
      <c r="D15" s="208">
        <v>1</v>
      </c>
      <c r="E15" s="208">
        <v>5</v>
      </c>
      <c r="F15" s="208" t="s">
        <v>1888</v>
      </c>
      <c r="G15" s="208">
        <v>117</v>
      </c>
      <c r="H15" s="208">
        <v>304</v>
      </c>
      <c r="I15" s="208">
        <v>1098</v>
      </c>
      <c r="J15" s="208">
        <v>1567</v>
      </c>
      <c r="K15" s="208">
        <v>2111</v>
      </c>
      <c r="L15" s="208">
        <v>2370</v>
      </c>
      <c r="M15" s="208">
        <v>3584</v>
      </c>
      <c r="N15" s="208" t="s">
        <v>1889</v>
      </c>
      <c r="O15" s="208" t="s">
        <v>1890</v>
      </c>
      <c r="P15" s="208" t="s">
        <v>1891</v>
      </c>
      <c r="Q15" s="208" t="s">
        <v>1892</v>
      </c>
      <c r="R15" s="47"/>
    </row>
    <row r="16" spans="1:18" ht="18" customHeight="1">
      <c r="A16" s="47"/>
      <c r="B16" s="208" t="s">
        <v>1893</v>
      </c>
      <c r="C16" s="208">
        <v>6</v>
      </c>
      <c r="D16" s="208">
        <v>6</v>
      </c>
      <c r="E16" s="208">
        <v>22</v>
      </c>
      <c r="F16" s="208" t="s">
        <v>1894</v>
      </c>
      <c r="G16" s="208">
        <v>142</v>
      </c>
      <c r="H16" s="208">
        <v>438</v>
      </c>
      <c r="I16" s="208">
        <v>2159</v>
      </c>
      <c r="J16" s="208">
        <v>2885</v>
      </c>
      <c r="K16" s="208">
        <v>3965</v>
      </c>
      <c r="L16" s="208">
        <v>4687</v>
      </c>
      <c r="M16" s="208">
        <v>7013</v>
      </c>
      <c r="N16" s="208" t="s">
        <v>1895</v>
      </c>
      <c r="O16" s="208" t="s">
        <v>1896</v>
      </c>
      <c r="P16" s="208" t="s">
        <v>1897</v>
      </c>
      <c r="Q16" s="208" t="s">
        <v>1898</v>
      </c>
      <c r="R16" s="47"/>
    </row>
    <row r="17" spans="1:18" ht="18" customHeight="1">
      <c r="A17" s="206" t="s">
        <v>1899</v>
      </c>
      <c r="B17" s="208" t="s">
        <v>1900</v>
      </c>
      <c r="C17" s="208">
        <v>12</v>
      </c>
      <c r="D17" s="208">
        <v>17</v>
      </c>
      <c r="E17" s="208">
        <v>24</v>
      </c>
      <c r="F17" s="208" t="s">
        <v>1901</v>
      </c>
      <c r="G17" s="208">
        <v>789</v>
      </c>
      <c r="H17" s="208">
        <v>869</v>
      </c>
      <c r="I17" s="208">
        <v>2925</v>
      </c>
      <c r="J17" s="208">
        <v>4046</v>
      </c>
      <c r="K17" s="208">
        <v>4957</v>
      </c>
      <c r="L17" s="208">
        <v>6160</v>
      </c>
      <c r="M17" s="208">
        <v>8542</v>
      </c>
      <c r="N17" s="208" t="s">
        <v>1902</v>
      </c>
      <c r="O17" s="208" t="s">
        <v>1903</v>
      </c>
      <c r="P17" s="208" t="s">
        <v>1904</v>
      </c>
      <c r="Q17" s="208" t="s">
        <v>1905</v>
      </c>
      <c r="R17" s="47"/>
    </row>
    <row r="18" spans="1:18" ht="18" customHeight="1">
      <c r="A18" s="206" t="s">
        <v>1906</v>
      </c>
      <c r="B18" s="208" t="s">
        <v>1907</v>
      </c>
      <c r="C18" s="208">
        <v>15</v>
      </c>
      <c r="D18" s="208">
        <v>9</v>
      </c>
      <c r="E18" s="208">
        <v>28</v>
      </c>
      <c r="F18" s="208" t="s">
        <v>1908</v>
      </c>
      <c r="G18" s="208">
        <v>1496</v>
      </c>
      <c r="H18" s="208">
        <v>4856</v>
      </c>
      <c r="I18" s="208">
        <v>10793</v>
      </c>
      <c r="J18" s="208">
        <v>18798</v>
      </c>
      <c r="K18" s="208">
        <v>21197</v>
      </c>
      <c r="L18" s="208">
        <v>25125</v>
      </c>
      <c r="M18" s="208">
        <v>41990</v>
      </c>
      <c r="N18" s="208" t="s">
        <v>1909</v>
      </c>
      <c r="O18" s="208" t="s">
        <v>1910</v>
      </c>
      <c r="P18" s="208" t="s">
        <v>1911</v>
      </c>
      <c r="Q18" s="208" t="s">
        <v>1912</v>
      </c>
      <c r="R18" s="47"/>
    </row>
    <row r="19" spans="1:18" ht="18" customHeight="1">
      <c r="A19" s="206" t="s">
        <v>1913</v>
      </c>
      <c r="B19" s="208" t="s">
        <v>1914</v>
      </c>
      <c r="C19" s="208">
        <v>10</v>
      </c>
      <c r="D19" s="208">
        <v>16</v>
      </c>
      <c r="E19" s="208">
        <v>78</v>
      </c>
      <c r="F19" s="208" t="s">
        <v>1915</v>
      </c>
      <c r="G19" s="208">
        <v>1384</v>
      </c>
      <c r="H19" s="208">
        <v>3378</v>
      </c>
      <c r="I19" s="208">
        <v>12958</v>
      </c>
      <c r="J19" s="208">
        <v>13439</v>
      </c>
      <c r="K19" s="208">
        <v>20014</v>
      </c>
      <c r="L19" s="208">
        <v>27400</v>
      </c>
      <c r="M19" s="208">
        <v>38482</v>
      </c>
      <c r="N19" s="208" t="s">
        <v>1916</v>
      </c>
      <c r="O19" s="208" t="s">
        <v>1917</v>
      </c>
      <c r="P19" s="208" t="s">
        <v>1918</v>
      </c>
      <c r="Q19" s="208" t="s">
        <v>1919</v>
      </c>
      <c r="R19" s="47"/>
    </row>
    <row r="20" spans="1:18" ht="18" customHeight="1">
      <c r="A20" s="206" t="s">
        <v>1920</v>
      </c>
      <c r="B20" s="208" t="s">
        <v>1921</v>
      </c>
      <c r="C20" s="208">
        <v>32</v>
      </c>
      <c r="D20" s="208">
        <v>26</v>
      </c>
      <c r="E20" s="208">
        <v>318</v>
      </c>
      <c r="F20" s="208" t="s">
        <v>1922</v>
      </c>
      <c r="G20" s="208">
        <v>893</v>
      </c>
      <c r="H20" s="208">
        <v>1394</v>
      </c>
      <c r="I20" s="208">
        <v>3643</v>
      </c>
      <c r="J20" s="208">
        <v>5095</v>
      </c>
      <c r="K20" s="208">
        <v>5133</v>
      </c>
      <c r="L20" s="208">
        <v>4980</v>
      </c>
      <c r="M20" s="208">
        <v>7837</v>
      </c>
      <c r="N20" s="208" t="s">
        <v>1923</v>
      </c>
      <c r="O20" s="208" t="s">
        <v>1924</v>
      </c>
      <c r="P20" s="208" t="s">
        <v>1925</v>
      </c>
      <c r="Q20" s="208" t="s">
        <v>1926</v>
      </c>
      <c r="R20" s="47"/>
    </row>
    <row r="21" spans="1:18" ht="18" customHeight="1">
      <c r="A21" s="206" t="s">
        <v>1927</v>
      </c>
      <c r="B21" s="208" t="s">
        <v>1928</v>
      </c>
      <c r="C21" s="208">
        <v>23</v>
      </c>
      <c r="D21" s="208">
        <v>30</v>
      </c>
      <c r="E21" s="208">
        <v>61</v>
      </c>
      <c r="F21" s="208" t="s">
        <v>1929</v>
      </c>
      <c r="G21" s="208">
        <v>1964</v>
      </c>
      <c r="H21" s="208">
        <v>4690</v>
      </c>
      <c r="I21" s="208">
        <v>8269</v>
      </c>
      <c r="J21" s="208">
        <v>11901</v>
      </c>
      <c r="K21" s="208">
        <v>16538</v>
      </c>
      <c r="L21" s="208">
        <v>28499</v>
      </c>
      <c r="M21" s="208">
        <v>46930</v>
      </c>
      <c r="N21" s="208" t="s">
        <v>1930</v>
      </c>
      <c r="O21" s="208" t="s">
        <v>1931</v>
      </c>
      <c r="P21" s="208" t="s">
        <v>1932</v>
      </c>
      <c r="Q21" s="208" t="s">
        <v>1926</v>
      </c>
      <c r="R21" s="47"/>
    </row>
    <row r="22" spans="1:18" ht="18" customHeight="1">
      <c r="A22" s="47"/>
      <c r="B22" s="210" t="s">
        <v>45</v>
      </c>
      <c r="C22" s="210">
        <v>5</v>
      </c>
      <c r="D22" s="210">
        <v>8</v>
      </c>
      <c r="E22" s="210">
        <v>59</v>
      </c>
      <c r="F22" s="210" t="s">
        <v>1933</v>
      </c>
      <c r="G22" s="210">
        <v>1320</v>
      </c>
      <c r="H22" s="210">
        <v>1724</v>
      </c>
      <c r="I22" s="210">
        <v>6039</v>
      </c>
      <c r="J22" s="210">
        <v>6705</v>
      </c>
      <c r="K22" s="210">
        <v>8062</v>
      </c>
      <c r="L22" s="210">
        <v>8882</v>
      </c>
      <c r="M22" s="210">
        <v>16281</v>
      </c>
      <c r="N22" s="210" t="s">
        <v>1934</v>
      </c>
      <c r="O22" s="210" t="s">
        <v>1935</v>
      </c>
      <c r="P22" s="210" t="s">
        <v>1936</v>
      </c>
      <c r="Q22" s="210" t="s">
        <v>1857</v>
      </c>
      <c r="R22" s="47"/>
    </row>
    <row r="23" spans="1:18" ht="18" customHeight="1">
      <c r="A23" s="206" t="s">
        <v>1937</v>
      </c>
      <c r="B23" s="208" t="s">
        <v>1938</v>
      </c>
      <c r="C23" s="208">
        <v>10</v>
      </c>
      <c r="D23" s="208">
        <v>37</v>
      </c>
      <c r="E23" s="208">
        <v>388</v>
      </c>
      <c r="F23" s="208" t="s">
        <v>1939</v>
      </c>
      <c r="G23" s="208">
        <v>10414</v>
      </c>
      <c r="H23" s="208">
        <v>14108</v>
      </c>
      <c r="I23" s="208">
        <v>21036</v>
      </c>
      <c r="J23" s="208">
        <v>25327</v>
      </c>
      <c r="K23" s="208">
        <v>25818</v>
      </c>
      <c r="L23" s="208">
        <v>28132</v>
      </c>
      <c r="M23" s="208">
        <v>31993</v>
      </c>
      <c r="N23" s="208" t="s">
        <v>1940</v>
      </c>
      <c r="O23" s="208" t="s">
        <v>1941</v>
      </c>
      <c r="P23" s="208" t="s">
        <v>1942</v>
      </c>
      <c r="Q23" s="208" t="s">
        <v>1943</v>
      </c>
      <c r="R23" s="47"/>
    </row>
    <row r="24" spans="1:18" ht="18" customHeight="1">
      <c r="A24" s="206" t="s">
        <v>1944</v>
      </c>
      <c r="B24" s="208" t="s">
        <v>1945</v>
      </c>
      <c r="C24" s="208">
        <v>14</v>
      </c>
      <c r="D24" s="208">
        <v>22</v>
      </c>
      <c r="E24" s="208">
        <v>540</v>
      </c>
      <c r="F24" s="208" t="s">
        <v>1946</v>
      </c>
      <c r="G24" s="208">
        <v>8933</v>
      </c>
      <c r="H24" s="208">
        <v>17723</v>
      </c>
      <c r="I24" s="208">
        <v>21123</v>
      </c>
      <c r="J24" s="208">
        <v>34197</v>
      </c>
      <c r="K24" s="208">
        <v>35500</v>
      </c>
      <c r="L24" s="208">
        <v>34341</v>
      </c>
      <c r="M24" s="208">
        <v>46876</v>
      </c>
      <c r="N24" s="208" t="s">
        <v>1947</v>
      </c>
      <c r="O24" s="208" t="s">
        <v>1948</v>
      </c>
      <c r="P24" s="208" t="s">
        <v>1949</v>
      </c>
      <c r="Q24" s="208" t="s">
        <v>1950</v>
      </c>
      <c r="R24" s="47"/>
    </row>
    <row r="25" spans="1:18" ht="18" customHeight="1">
      <c r="A25" s="206" t="s">
        <v>1951</v>
      </c>
      <c r="B25" s="208" t="s">
        <v>1952</v>
      </c>
      <c r="C25" s="208">
        <v>1</v>
      </c>
      <c r="D25" s="208">
        <v>4</v>
      </c>
      <c r="E25" s="208">
        <v>22</v>
      </c>
      <c r="F25" s="208" t="s">
        <v>1953</v>
      </c>
      <c r="G25" s="208">
        <v>313</v>
      </c>
      <c r="H25" s="208">
        <v>853</v>
      </c>
      <c r="I25" s="208">
        <v>1724</v>
      </c>
      <c r="J25" s="208">
        <v>4044</v>
      </c>
      <c r="K25" s="208">
        <v>6281</v>
      </c>
      <c r="L25" s="208">
        <v>6618</v>
      </c>
      <c r="M25" s="208">
        <v>7909</v>
      </c>
      <c r="N25" s="208" t="s">
        <v>1954</v>
      </c>
      <c r="O25" s="208" t="s">
        <v>1955</v>
      </c>
      <c r="P25" s="208" t="s">
        <v>1956</v>
      </c>
      <c r="Q25" s="208" t="s">
        <v>1957</v>
      </c>
      <c r="R25" s="47"/>
    </row>
    <row r="26" spans="1:18" ht="18" customHeight="1">
      <c r="A26" s="47"/>
      <c r="B26" s="208" t="s">
        <v>1958</v>
      </c>
      <c r="C26" s="208">
        <v>58</v>
      </c>
      <c r="D26" s="208">
        <v>55</v>
      </c>
      <c r="E26" s="208">
        <v>55</v>
      </c>
      <c r="F26" s="208" t="s">
        <v>1959</v>
      </c>
      <c r="G26" s="208">
        <v>1901</v>
      </c>
      <c r="H26" s="208">
        <v>6858</v>
      </c>
      <c r="I26" s="208">
        <v>14755</v>
      </c>
      <c r="J26" s="208">
        <v>25626</v>
      </c>
      <c r="K26" s="208">
        <v>25945</v>
      </c>
      <c r="L26" s="208">
        <v>30308</v>
      </c>
      <c r="M26" s="208">
        <v>51392</v>
      </c>
      <c r="N26" s="208" t="s">
        <v>1960</v>
      </c>
      <c r="O26" s="208" t="s">
        <v>1961</v>
      </c>
      <c r="P26" s="208" t="s">
        <v>1962</v>
      </c>
      <c r="Q26" s="208" t="s">
        <v>1963</v>
      </c>
      <c r="R26" s="47"/>
    </row>
    <row r="27" spans="1:18" ht="18" customHeight="1">
      <c r="A27" s="206" t="s">
        <v>1964</v>
      </c>
      <c r="B27" s="208" t="s">
        <v>1965</v>
      </c>
      <c r="C27" s="208">
        <v>33</v>
      </c>
      <c r="D27" s="208">
        <v>35</v>
      </c>
      <c r="E27" s="208">
        <v>74</v>
      </c>
      <c r="F27" s="208" t="s">
        <v>1901</v>
      </c>
      <c r="G27" s="208">
        <v>1007</v>
      </c>
      <c r="H27" s="208">
        <v>2066</v>
      </c>
      <c r="I27" s="208">
        <v>6191</v>
      </c>
      <c r="J27" s="208">
        <v>7063</v>
      </c>
      <c r="K27" s="208">
        <v>10110</v>
      </c>
      <c r="L27" s="208">
        <v>12268</v>
      </c>
      <c r="M27" s="208">
        <v>14957</v>
      </c>
      <c r="N27" s="208" t="s">
        <v>1966</v>
      </c>
      <c r="O27" s="208" t="s">
        <v>1967</v>
      </c>
      <c r="P27" s="208" t="s">
        <v>1968</v>
      </c>
      <c r="Q27" s="208" t="s">
        <v>1969</v>
      </c>
      <c r="R27" s="47"/>
    </row>
    <row r="28" spans="1:18" ht="18" customHeight="1">
      <c r="A28" s="206" t="s">
        <v>1970</v>
      </c>
      <c r="B28" s="208" t="s">
        <v>1971</v>
      </c>
      <c r="C28" s="208">
        <v>4</v>
      </c>
      <c r="D28" s="208">
        <v>6</v>
      </c>
      <c r="E28" s="208">
        <v>37</v>
      </c>
      <c r="F28" s="208" t="s">
        <v>1972</v>
      </c>
      <c r="G28" s="208">
        <v>742</v>
      </c>
      <c r="H28" s="208">
        <v>3368</v>
      </c>
      <c r="I28" s="208">
        <v>7229</v>
      </c>
      <c r="J28" s="208">
        <v>9861</v>
      </c>
      <c r="K28" s="208">
        <v>15935</v>
      </c>
      <c r="L28" s="208">
        <v>22216</v>
      </c>
      <c r="M28" s="208">
        <v>38800</v>
      </c>
      <c r="N28" s="208" t="s">
        <v>1973</v>
      </c>
      <c r="O28" s="208" t="s">
        <v>1974</v>
      </c>
      <c r="P28" s="208" t="s">
        <v>1975</v>
      </c>
      <c r="Q28" s="208" t="s">
        <v>1976</v>
      </c>
      <c r="R28" s="47"/>
    </row>
    <row r="29" spans="1:18" ht="18" customHeight="1">
      <c r="A29" s="206" t="s">
        <v>1977</v>
      </c>
      <c r="B29" s="210" t="s">
        <v>68</v>
      </c>
      <c r="C29" s="210">
        <v>15</v>
      </c>
      <c r="D29" s="210">
        <v>26</v>
      </c>
      <c r="E29" s="210">
        <v>185</v>
      </c>
      <c r="F29" s="210" t="s">
        <v>1978</v>
      </c>
      <c r="G29" s="210">
        <v>192</v>
      </c>
      <c r="H29" s="210">
        <v>1266</v>
      </c>
      <c r="I29" s="210">
        <v>2460</v>
      </c>
      <c r="J29" s="210">
        <v>3195</v>
      </c>
      <c r="K29" s="210">
        <v>3556</v>
      </c>
      <c r="L29" s="210">
        <v>4660</v>
      </c>
      <c r="M29" s="210">
        <v>8134</v>
      </c>
      <c r="N29" s="210" t="s">
        <v>1979</v>
      </c>
      <c r="O29" s="210" t="s">
        <v>1980</v>
      </c>
      <c r="P29" s="210" t="s">
        <v>1981</v>
      </c>
      <c r="Q29" s="210" t="s">
        <v>1982</v>
      </c>
      <c r="R29" s="47"/>
    </row>
    <row r="30" spans="1:18" ht="18" customHeight="1">
      <c r="A30" s="206" t="s">
        <v>1983</v>
      </c>
      <c r="B30" s="208" t="s">
        <v>1984</v>
      </c>
      <c r="C30" s="208">
        <v>31</v>
      </c>
      <c r="D30" s="208">
        <v>27</v>
      </c>
      <c r="E30" s="208">
        <v>21</v>
      </c>
      <c r="F30" s="208" t="s">
        <v>1985</v>
      </c>
      <c r="G30" s="208">
        <v>178</v>
      </c>
      <c r="H30" s="208">
        <v>501</v>
      </c>
      <c r="I30" s="208">
        <v>1497</v>
      </c>
      <c r="J30" s="208">
        <v>2839</v>
      </c>
      <c r="K30" s="208">
        <v>2818</v>
      </c>
      <c r="L30" s="208">
        <v>4221</v>
      </c>
      <c r="M30" s="208">
        <v>6585</v>
      </c>
      <c r="N30" s="208" t="s">
        <v>1986</v>
      </c>
      <c r="O30" s="208" t="s">
        <v>1987</v>
      </c>
      <c r="P30" s="208" t="s">
        <v>1988</v>
      </c>
      <c r="Q30" s="208" t="s">
        <v>1989</v>
      </c>
      <c r="R30" s="47"/>
    </row>
    <row r="31" spans="1:18" ht="18" customHeight="1">
      <c r="A31" s="206" t="s">
        <v>1990</v>
      </c>
      <c r="B31" s="208" t="s">
        <v>1991</v>
      </c>
      <c r="C31" s="208">
        <v>35</v>
      </c>
      <c r="D31" s="208">
        <v>62</v>
      </c>
      <c r="E31" s="208">
        <v>173</v>
      </c>
      <c r="F31" s="208" t="s">
        <v>1992</v>
      </c>
      <c r="G31" s="208">
        <v>12280</v>
      </c>
      <c r="H31" s="208">
        <v>17675</v>
      </c>
      <c r="I31" s="208">
        <v>29107</v>
      </c>
      <c r="J31" s="208">
        <v>35029</v>
      </c>
      <c r="K31" s="208">
        <v>38215</v>
      </c>
      <c r="L31" s="208">
        <v>39733</v>
      </c>
      <c r="M31" s="208">
        <v>46295</v>
      </c>
      <c r="N31" s="208" t="s">
        <v>1993</v>
      </c>
      <c r="O31" s="208" t="s">
        <v>1994</v>
      </c>
      <c r="P31" s="208" t="s">
        <v>1995</v>
      </c>
      <c r="Q31" s="208" t="s">
        <v>1996</v>
      </c>
      <c r="R31" s="47"/>
    </row>
    <row r="32" spans="1:18" ht="18" customHeight="1">
      <c r="A32" s="206" t="s">
        <v>1997</v>
      </c>
      <c r="B32" s="208" t="s">
        <v>1998</v>
      </c>
      <c r="C32" s="208">
        <v>7</v>
      </c>
      <c r="D32" s="208">
        <v>16</v>
      </c>
      <c r="E32" s="208">
        <v>5</v>
      </c>
      <c r="F32" s="208" t="s">
        <v>1999</v>
      </c>
      <c r="G32" s="208">
        <v>104</v>
      </c>
      <c r="H32" s="208">
        <v>314</v>
      </c>
      <c r="I32" s="208">
        <v>347</v>
      </c>
      <c r="J32" s="208">
        <v>643</v>
      </c>
      <c r="K32" s="208">
        <v>1078</v>
      </c>
      <c r="L32" s="208">
        <v>2001</v>
      </c>
      <c r="M32" s="208">
        <v>2440</v>
      </c>
      <c r="N32" s="208" t="s">
        <v>2000</v>
      </c>
      <c r="O32" s="208" t="s">
        <v>2001</v>
      </c>
      <c r="P32" s="208" t="s">
        <v>2002</v>
      </c>
      <c r="Q32" s="208" t="s">
        <v>2003</v>
      </c>
      <c r="R32" s="47"/>
    </row>
    <row r="33" spans="1:18" ht="18" customHeight="1">
      <c r="A33" s="47"/>
      <c r="B33" s="208" t="s">
        <v>2004</v>
      </c>
      <c r="C33" s="208">
        <v>4</v>
      </c>
      <c r="D33" s="208">
        <v>4</v>
      </c>
      <c r="E33" s="208">
        <v>16</v>
      </c>
      <c r="F33" s="208" t="s">
        <v>2005</v>
      </c>
      <c r="G33" s="208">
        <v>94</v>
      </c>
      <c r="H33" s="208">
        <v>347</v>
      </c>
      <c r="I33" s="208">
        <v>1123</v>
      </c>
      <c r="J33" s="208">
        <v>1654</v>
      </c>
      <c r="K33" s="208">
        <v>1866</v>
      </c>
      <c r="L33" s="208">
        <v>3394</v>
      </c>
      <c r="M33" s="208">
        <v>5576</v>
      </c>
      <c r="N33" s="208" t="s">
        <v>2006</v>
      </c>
      <c r="O33" s="208" t="s">
        <v>2007</v>
      </c>
      <c r="P33" s="208" t="s">
        <v>2008</v>
      </c>
      <c r="Q33" s="208" t="s">
        <v>2009</v>
      </c>
      <c r="R33" s="47"/>
    </row>
    <row r="34" spans="1:18" ht="18" customHeight="1">
      <c r="A34" s="47"/>
      <c r="B34" s="208" t="s">
        <v>2010</v>
      </c>
      <c r="C34" s="208">
        <v>3</v>
      </c>
      <c r="D34" s="208">
        <v>2</v>
      </c>
      <c r="E34" s="208">
        <v>22</v>
      </c>
      <c r="F34" s="208" t="s">
        <v>2011</v>
      </c>
      <c r="G34" s="208">
        <v>782</v>
      </c>
      <c r="H34" s="208">
        <v>806</v>
      </c>
      <c r="I34" s="208">
        <v>1756</v>
      </c>
      <c r="J34" s="208">
        <v>2854</v>
      </c>
      <c r="K34" s="208">
        <v>3312</v>
      </c>
      <c r="L34" s="208">
        <v>3147</v>
      </c>
      <c r="M34" s="208">
        <v>3890</v>
      </c>
      <c r="N34" s="208" t="s">
        <v>2012</v>
      </c>
      <c r="O34" s="208" t="s">
        <v>2013</v>
      </c>
      <c r="P34" s="208" t="s">
        <v>2014</v>
      </c>
      <c r="Q34" s="208" t="s">
        <v>2015</v>
      </c>
      <c r="R34" s="47"/>
    </row>
    <row r="35" spans="1:18" ht="18" customHeight="1">
      <c r="A35" s="47"/>
      <c r="B35" s="208" t="s">
        <v>2016</v>
      </c>
      <c r="C35" s="208">
        <v>14</v>
      </c>
      <c r="D35" s="208">
        <v>12</v>
      </c>
      <c r="E35" s="208">
        <v>51</v>
      </c>
      <c r="F35" s="208" t="s">
        <v>2017</v>
      </c>
      <c r="G35" s="208">
        <v>1828</v>
      </c>
      <c r="H35" s="208">
        <v>4316</v>
      </c>
      <c r="I35" s="208">
        <v>8443</v>
      </c>
      <c r="J35" s="208">
        <v>11356</v>
      </c>
      <c r="K35" s="208">
        <v>44482</v>
      </c>
      <c r="L35" s="208">
        <v>31660</v>
      </c>
      <c r="M35" s="208">
        <v>43939</v>
      </c>
      <c r="N35" s="208" t="s">
        <v>2018</v>
      </c>
      <c r="O35" s="208" t="s">
        <v>2019</v>
      </c>
      <c r="P35" s="208" t="s">
        <v>2020</v>
      </c>
      <c r="Q35" s="208" t="s">
        <v>2021</v>
      </c>
      <c r="R35" s="47"/>
    </row>
    <row r="36" spans="1:18" ht="18" customHeight="1">
      <c r="A36" s="47"/>
      <c r="B36" s="208" t="s">
        <v>2022</v>
      </c>
      <c r="C36" s="208">
        <v>15</v>
      </c>
      <c r="D36" s="208">
        <v>13</v>
      </c>
      <c r="E36" s="208">
        <v>138</v>
      </c>
      <c r="F36" s="208" t="s">
        <v>1908</v>
      </c>
      <c r="G36" s="208">
        <v>2943</v>
      </c>
      <c r="H36" s="208">
        <v>4520</v>
      </c>
      <c r="I36" s="208">
        <v>10503</v>
      </c>
      <c r="J36" s="208">
        <v>33176</v>
      </c>
      <c r="K36" s="208">
        <v>30165</v>
      </c>
      <c r="L36" s="208">
        <v>30296</v>
      </c>
      <c r="M36" s="208">
        <v>35433</v>
      </c>
      <c r="N36" s="208" t="s">
        <v>2023</v>
      </c>
      <c r="O36" s="208" t="s">
        <v>2024</v>
      </c>
      <c r="P36" s="208" t="s">
        <v>2025</v>
      </c>
      <c r="Q36" s="208" t="s">
        <v>2026</v>
      </c>
      <c r="R36" s="47"/>
    </row>
    <row r="37" spans="1:18" ht="18" customHeight="1">
      <c r="A37" s="47"/>
      <c r="B37" s="208" t="s">
        <v>2027</v>
      </c>
      <c r="C37" s="208">
        <v>6</v>
      </c>
      <c r="D37" s="208">
        <v>14</v>
      </c>
      <c r="E37" s="208">
        <v>19</v>
      </c>
      <c r="F37" s="208" t="s">
        <v>2028</v>
      </c>
      <c r="G37" s="208">
        <v>2636</v>
      </c>
      <c r="H37" s="208">
        <v>3050</v>
      </c>
      <c r="I37" s="208">
        <v>5324</v>
      </c>
      <c r="J37" s="208">
        <v>7894</v>
      </c>
      <c r="K37" s="208">
        <v>9532</v>
      </c>
      <c r="L37" s="208">
        <v>11627</v>
      </c>
      <c r="M37" s="208">
        <v>17965</v>
      </c>
      <c r="N37" s="208" t="s">
        <v>2029</v>
      </c>
      <c r="O37" s="208" t="s">
        <v>2030</v>
      </c>
      <c r="P37" s="208" t="s">
        <v>2031</v>
      </c>
      <c r="Q37" s="208" t="s">
        <v>2032</v>
      </c>
      <c r="R37" s="47"/>
    </row>
    <row r="38" spans="1:18" ht="18" customHeight="1">
      <c r="A38" s="47"/>
      <c r="B38" s="208" t="s">
        <v>2033</v>
      </c>
      <c r="C38" s="208">
        <v>23</v>
      </c>
      <c r="D38" s="208">
        <v>29</v>
      </c>
      <c r="E38" s="208">
        <v>159</v>
      </c>
      <c r="F38" s="208" t="s">
        <v>2034</v>
      </c>
      <c r="G38" s="208">
        <v>4635</v>
      </c>
      <c r="H38" s="208">
        <v>6333</v>
      </c>
      <c r="I38" s="208">
        <v>11122</v>
      </c>
      <c r="J38" s="208">
        <v>25643</v>
      </c>
      <c r="K38" s="208">
        <v>31197</v>
      </c>
      <c r="L38" s="208">
        <v>39983</v>
      </c>
      <c r="M38" s="208">
        <v>68157</v>
      </c>
      <c r="N38" s="208" t="s">
        <v>2035</v>
      </c>
      <c r="O38" s="208" t="s">
        <v>2036</v>
      </c>
      <c r="P38" s="208" t="s">
        <v>2037</v>
      </c>
      <c r="Q38" s="208" t="s">
        <v>2038</v>
      </c>
      <c r="R38" s="47"/>
    </row>
    <row r="39" spans="1:18" ht="18" customHeight="1">
      <c r="A39" s="47"/>
      <c r="B39" s="208" t="s">
        <v>2039</v>
      </c>
      <c r="C39" s="208">
        <v>59</v>
      </c>
      <c r="D39" s="208">
        <v>100</v>
      </c>
      <c r="E39" s="208">
        <v>464</v>
      </c>
      <c r="F39" s="208" t="s">
        <v>2040</v>
      </c>
      <c r="G39" s="208">
        <v>5927</v>
      </c>
      <c r="H39" s="208">
        <v>8978</v>
      </c>
      <c r="I39" s="208">
        <v>17980</v>
      </c>
      <c r="J39" s="208">
        <v>43157</v>
      </c>
      <c r="K39" s="208">
        <v>44425</v>
      </c>
      <c r="L39" s="208">
        <v>52940</v>
      </c>
      <c r="M39" s="208">
        <v>69487</v>
      </c>
      <c r="N39" s="208" t="s">
        <v>2041</v>
      </c>
      <c r="O39" s="208" t="s">
        <v>2042</v>
      </c>
      <c r="P39" s="208" t="s">
        <v>2043</v>
      </c>
      <c r="Q39" s="208" t="s">
        <v>2044</v>
      </c>
      <c r="R39" s="47"/>
    </row>
    <row r="40" spans="1:18" ht="18" customHeight="1">
      <c r="A40" s="47"/>
      <c r="B40" s="208" t="s">
        <v>2045</v>
      </c>
      <c r="C40" s="208">
        <v>52</v>
      </c>
      <c r="D40" s="208">
        <v>19</v>
      </c>
      <c r="E40" s="208">
        <v>25</v>
      </c>
      <c r="F40" s="208" t="s">
        <v>2046</v>
      </c>
      <c r="G40" s="208">
        <v>4808</v>
      </c>
      <c r="H40" s="208">
        <v>6875</v>
      </c>
      <c r="I40" s="208">
        <v>12472</v>
      </c>
      <c r="J40" s="208">
        <v>12516</v>
      </c>
      <c r="K40" s="208">
        <v>13328</v>
      </c>
      <c r="L40" s="208">
        <v>14767</v>
      </c>
      <c r="M40" s="208">
        <v>21347</v>
      </c>
      <c r="N40" s="208" t="s">
        <v>2047</v>
      </c>
      <c r="O40" s="208" t="s">
        <v>2048</v>
      </c>
      <c r="P40" s="208" t="s">
        <v>2049</v>
      </c>
      <c r="Q40" s="208" t="s">
        <v>2050</v>
      </c>
      <c r="R40" s="47"/>
    </row>
    <row r="41" spans="1:18" ht="18" customHeight="1">
      <c r="A41" s="47"/>
      <c r="B41" s="208" t="s">
        <v>2051</v>
      </c>
      <c r="C41" s="208">
        <v>9</v>
      </c>
      <c r="D41" s="208">
        <v>13</v>
      </c>
      <c r="E41" s="208">
        <v>59</v>
      </c>
      <c r="F41" s="208" t="s">
        <v>2052</v>
      </c>
      <c r="G41" s="208">
        <v>1583</v>
      </c>
      <c r="H41" s="208">
        <v>3015</v>
      </c>
      <c r="I41" s="208">
        <v>7380</v>
      </c>
      <c r="J41" s="208">
        <v>10858</v>
      </c>
      <c r="K41" s="208">
        <v>12824</v>
      </c>
      <c r="L41" s="208">
        <v>15843</v>
      </c>
      <c r="M41" s="208">
        <v>23523</v>
      </c>
      <c r="N41" s="208" t="s">
        <v>2053</v>
      </c>
      <c r="O41" s="208" t="s">
        <v>2054</v>
      </c>
      <c r="P41" s="208" t="s">
        <v>2055</v>
      </c>
      <c r="Q41" s="208" t="s">
        <v>2056</v>
      </c>
      <c r="R41" s="47"/>
    </row>
    <row r="42" spans="1:18" ht="18" customHeight="1">
      <c r="A42" s="47"/>
      <c r="B42" s="208" t="s">
        <v>2057</v>
      </c>
      <c r="C42" s="208">
        <v>72</v>
      </c>
      <c r="D42" s="208">
        <v>41</v>
      </c>
      <c r="E42" s="208">
        <v>203</v>
      </c>
      <c r="F42" s="208" t="s">
        <v>2058</v>
      </c>
      <c r="G42" s="208">
        <v>6962</v>
      </c>
      <c r="H42" s="208">
        <v>15896</v>
      </c>
      <c r="I42" s="208">
        <v>35965</v>
      </c>
      <c r="J42" s="208">
        <v>51004</v>
      </c>
      <c r="K42" s="208">
        <v>60000</v>
      </c>
      <c r="L42" s="208">
        <v>64069</v>
      </c>
      <c r="M42" s="208">
        <v>75708</v>
      </c>
      <c r="N42" s="208" t="s">
        <v>2059</v>
      </c>
      <c r="O42" s="208" t="s">
        <v>2060</v>
      </c>
      <c r="P42" s="208" t="s">
        <v>2061</v>
      </c>
      <c r="Q42" s="208" t="s">
        <v>2062</v>
      </c>
      <c r="R42" s="47"/>
    </row>
    <row r="43" spans="1:18" ht="18" customHeight="1">
      <c r="A43" s="47"/>
      <c r="B43" s="208" t="s">
        <v>2063</v>
      </c>
      <c r="C43" s="208">
        <v>7</v>
      </c>
      <c r="D43" s="208">
        <v>21</v>
      </c>
      <c r="E43" s="208">
        <v>590</v>
      </c>
      <c r="F43" s="208" t="s">
        <v>2064</v>
      </c>
      <c r="G43" s="208">
        <v>1210</v>
      </c>
      <c r="H43" s="208">
        <v>1082</v>
      </c>
      <c r="I43" s="208">
        <v>6662</v>
      </c>
      <c r="J43" s="208">
        <v>9153</v>
      </c>
      <c r="K43" s="208">
        <v>10138</v>
      </c>
      <c r="L43" s="208">
        <v>10349</v>
      </c>
      <c r="M43" s="208">
        <v>11949</v>
      </c>
      <c r="N43" s="208" t="s">
        <v>2065</v>
      </c>
      <c r="O43" s="208" t="s">
        <v>2066</v>
      </c>
      <c r="P43" s="208" t="s">
        <v>2067</v>
      </c>
      <c r="Q43" s="208" t="s">
        <v>2068</v>
      </c>
      <c r="R43" s="47"/>
    </row>
    <row r="44" spans="1:18" ht="18" customHeight="1">
      <c r="A44" s="47"/>
      <c r="B44" s="208" t="s">
        <v>2069</v>
      </c>
      <c r="C44" s="208">
        <v>10</v>
      </c>
      <c r="D44" s="208">
        <v>7</v>
      </c>
      <c r="E44" s="208">
        <v>29</v>
      </c>
      <c r="F44" s="208" t="s">
        <v>2070</v>
      </c>
      <c r="G44" s="208">
        <v>1135</v>
      </c>
      <c r="H44" s="208">
        <v>2595</v>
      </c>
      <c r="I44" s="208">
        <v>9861</v>
      </c>
      <c r="J44" s="208">
        <v>10423</v>
      </c>
      <c r="K44" s="208">
        <v>12037</v>
      </c>
      <c r="L44" s="208">
        <v>40379</v>
      </c>
      <c r="M44" s="208">
        <v>53676</v>
      </c>
      <c r="N44" s="208" t="s">
        <v>2071</v>
      </c>
      <c r="O44" s="208" t="s">
        <v>2072</v>
      </c>
      <c r="P44" s="208" t="s">
        <v>2073</v>
      </c>
      <c r="Q44" s="208" t="s">
        <v>2074</v>
      </c>
      <c r="R44" s="47"/>
    </row>
    <row r="45" spans="1:18" ht="18" customHeight="1">
      <c r="A45" s="47"/>
      <c r="B45" s="208" t="s">
        <v>2075</v>
      </c>
      <c r="C45" s="208">
        <v>8</v>
      </c>
      <c r="D45" s="208">
        <v>4</v>
      </c>
      <c r="E45" s="208">
        <v>8</v>
      </c>
      <c r="F45" s="208" t="s">
        <v>1999</v>
      </c>
      <c r="G45" s="208">
        <v>154</v>
      </c>
      <c r="H45" s="208">
        <v>259</v>
      </c>
      <c r="I45" s="208">
        <v>374</v>
      </c>
      <c r="J45" s="208">
        <v>620</v>
      </c>
      <c r="K45" s="208">
        <v>761</v>
      </c>
      <c r="L45" s="208">
        <v>1211</v>
      </c>
      <c r="M45" s="208">
        <v>2020</v>
      </c>
      <c r="N45" s="208" t="s">
        <v>2076</v>
      </c>
      <c r="O45" s="208" t="s">
        <v>2077</v>
      </c>
      <c r="P45" s="208" t="s">
        <v>2078</v>
      </c>
      <c r="Q45" s="208" t="s">
        <v>2079</v>
      </c>
      <c r="R45" s="47"/>
    </row>
    <row r="46" spans="1:18" ht="18" customHeight="1">
      <c r="A46" s="47"/>
      <c r="B46" s="208" t="s">
        <v>2080</v>
      </c>
      <c r="C46" s="208">
        <v>54</v>
      </c>
      <c r="D46" s="208">
        <v>26</v>
      </c>
      <c r="E46" s="208">
        <v>80</v>
      </c>
      <c r="F46" s="208" t="s">
        <v>2081</v>
      </c>
      <c r="G46" s="208">
        <v>4709</v>
      </c>
      <c r="H46" s="208">
        <v>11775</v>
      </c>
      <c r="I46" s="208">
        <v>20796</v>
      </c>
      <c r="J46" s="208">
        <v>26925</v>
      </c>
      <c r="K46" s="208">
        <v>27266</v>
      </c>
      <c r="L46" s="208">
        <v>33094</v>
      </c>
      <c r="M46" s="208">
        <v>70602</v>
      </c>
      <c r="N46" s="208" t="s">
        <v>2082</v>
      </c>
      <c r="O46" s="208" t="s">
        <v>2083</v>
      </c>
      <c r="P46" s="208" t="s">
        <v>2084</v>
      </c>
      <c r="Q46" s="208" t="s">
        <v>2085</v>
      </c>
      <c r="R46" s="47"/>
    </row>
    <row r="47" spans="1:18" ht="18" customHeight="1">
      <c r="A47" s="47"/>
      <c r="B47" s="208" t="s">
        <v>2086</v>
      </c>
      <c r="C47" s="208">
        <v>53</v>
      </c>
      <c r="D47" s="208">
        <v>69</v>
      </c>
      <c r="E47" s="208">
        <v>107</v>
      </c>
      <c r="F47" s="208" t="s">
        <v>2087</v>
      </c>
      <c r="G47" s="208">
        <v>5315</v>
      </c>
      <c r="H47" s="208">
        <v>10303</v>
      </c>
      <c r="I47" s="208">
        <v>28506</v>
      </c>
      <c r="J47" s="208">
        <v>33633</v>
      </c>
      <c r="K47" s="208">
        <v>34380</v>
      </c>
      <c r="L47" s="208">
        <v>35593</v>
      </c>
      <c r="M47" s="208">
        <v>52144</v>
      </c>
      <c r="N47" s="208" t="s">
        <v>2088</v>
      </c>
      <c r="O47" s="208" t="s">
        <v>2089</v>
      </c>
      <c r="P47" s="208" t="s">
        <v>2090</v>
      </c>
      <c r="Q47" s="208" t="s">
        <v>2091</v>
      </c>
      <c r="R47" s="47"/>
    </row>
    <row r="48" spans="1:18" ht="18" customHeight="1">
      <c r="A48" s="47"/>
      <c r="B48" s="208" t="s">
        <v>2092</v>
      </c>
      <c r="C48" s="208">
        <v>43</v>
      </c>
      <c r="D48" s="208">
        <v>43</v>
      </c>
      <c r="E48" s="208">
        <v>37</v>
      </c>
      <c r="F48" s="208" t="s">
        <v>2093</v>
      </c>
      <c r="G48" s="208">
        <v>3494</v>
      </c>
      <c r="H48" s="208">
        <v>4984</v>
      </c>
      <c r="I48" s="208">
        <v>5952</v>
      </c>
      <c r="J48" s="208">
        <v>6548</v>
      </c>
      <c r="K48" s="208">
        <v>8010</v>
      </c>
      <c r="L48" s="208">
        <v>10464</v>
      </c>
      <c r="M48" s="208">
        <v>17221</v>
      </c>
      <c r="N48" s="208" t="s">
        <v>2094</v>
      </c>
      <c r="O48" s="208" t="s">
        <v>2095</v>
      </c>
      <c r="P48" s="208" t="s">
        <v>2096</v>
      </c>
      <c r="Q48" s="208" t="s">
        <v>2097</v>
      </c>
      <c r="R48" s="47"/>
    </row>
    <row r="49" spans="1:18" ht="18" customHeight="1">
      <c r="A49" s="47"/>
      <c r="B49" s="208" t="s">
        <v>2098</v>
      </c>
      <c r="C49" s="208">
        <v>14</v>
      </c>
      <c r="D49" s="208">
        <v>20</v>
      </c>
      <c r="E49" s="208">
        <v>171</v>
      </c>
      <c r="F49" s="208" t="s">
        <v>2099</v>
      </c>
      <c r="G49" s="208">
        <v>2635</v>
      </c>
      <c r="H49" s="208">
        <v>31192</v>
      </c>
      <c r="I49" s="208">
        <v>28702</v>
      </c>
      <c r="J49" s="208">
        <v>36984</v>
      </c>
      <c r="K49" s="208">
        <v>44442</v>
      </c>
      <c r="L49" s="208">
        <v>48640</v>
      </c>
      <c r="M49" s="208">
        <v>60733</v>
      </c>
      <c r="N49" s="208" t="s">
        <v>2100</v>
      </c>
      <c r="O49" s="208" t="s">
        <v>2101</v>
      </c>
      <c r="P49" s="208" t="s">
        <v>2102</v>
      </c>
      <c r="Q49" s="208" t="s">
        <v>2103</v>
      </c>
      <c r="R49" s="47"/>
    </row>
    <row r="50" spans="1:18" ht="18" customHeight="1">
      <c r="A50" s="47"/>
      <c r="B50" s="208" t="s">
        <v>2104</v>
      </c>
      <c r="C50" s="208">
        <v>1</v>
      </c>
      <c r="D50" s="47"/>
      <c r="E50" s="208">
        <v>9</v>
      </c>
      <c r="F50" s="208" t="s">
        <v>1812</v>
      </c>
      <c r="G50" s="208">
        <v>240</v>
      </c>
      <c r="H50" s="208">
        <v>2095</v>
      </c>
      <c r="I50" s="208">
        <v>1756</v>
      </c>
      <c r="J50" s="208">
        <v>2068</v>
      </c>
      <c r="K50" s="208">
        <v>2670</v>
      </c>
      <c r="L50" s="208">
        <v>2485</v>
      </c>
      <c r="M50" s="208">
        <v>2545</v>
      </c>
      <c r="N50" s="208" t="s">
        <v>2105</v>
      </c>
      <c r="O50" s="208" t="s">
        <v>2106</v>
      </c>
      <c r="P50" s="208" t="s">
        <v>2107</v>
      </c>
      <c r="Q50" s="208" t="s">
        <v>2108</v>
      </c>
      <c r="R50" s="47"/>
    </row>
    <row r="51" spans="1:18" ht="18" customHeight="1">
      <c r="A51" s="47"/>
      <c r="B51" s="208" t="s">
        <v>2109</v>
      </c>
      <c r="C51" s="208">
        <v>18</v>
      </c>
      <c r="D51" s="208">
        <v>59</v>
      </c>
      <c r="E51" s="208">
        <v>141</v>
      </c>
      <c r="F51" s="208" t="s">
        <v>2110</v>
      </c>
      <c r="G51" s="208">
        <v>3223</v>
      </c>
      <c r="H51" s="208">
        <v>6477</v>
      </c>
      <c r="I51" s="208">
        <v>12969</v>
      </c>
      <c r="J51" s="208">
        <v>26598</v>
      </c>
      <c r="K51" s="208">
        <v>28958</v>
      </c>
      <c r="L51" s="208">
        <v>39801</v>
      </c>
      <c r="M51" s="208">
        <v>52800</v>
      </c>
      <c r="N51" s="208" t="s">
        <v>2111</v>
      </c>
      <c r="O51" s="208" t="s">
        <v>2112</v>
      </c>
      <c r="P51" s="208" t="s">
        <v>2113</v>
      </c>
      <c r="Q51" s="208" t="s">
        <v>2114</v>
      </c>
      <c r="R51" s="47"/>
    </row>
    <row r="52" spans="1:18" ht="18" customHeight="1">
      <c r="A52" s="47"/>
      <c r="B52" s="208" t="s">
        <v>2115</v>
      </c>
      <c r="C52" s="208">
        <v>10</v>
      </c>
      <c r="D52" s="208">
        <v>21</v>
      </c>
      <c r="E52" s="208">
        <v>57</v>
      </c>
      <c r="F52" s="208" t="s">
        <v>2116</v>
      </c>
      <c r="G52" s="208">
        <v>2276</v>
      </c>
      <c r="H52" s="208">
        <v>5464</v>
      </c>
      <c r="I52" s="208">
        <v>6504</v>
      </c>
      <c r="J52" s="208">
        <v>10663</v>
      </c>
      <c r="K52" s="208">
        <v>11934</v>
      </c>
      <c r="L52" s="208">
        <v>16628</v>
      </c>
      <c r="M52" s="208">
        <v>22117</v>
      </c>
      <c r="N52" s="208" t="s">
        <v>2117</v>
      </c>
      <c r="O52" s="208" t="s">
        <v>2118</v>
      </c>
      <c r="P52" s="208" t="s">
        <v>2119</v>
      </c>
      <c r="Q52" s="208" t="s">
        <v>2120</v>
      </c>
      <c r="R52" s="47"/>
    </row>
    <row r="53" spans="1:18" ht="18" customHeight="1">
      <c r="A53" s="47"/>
      <c r="B53" s="208" t="s">
        <v>2121</v>
      </c>
      <c r="C53" s="208">
        <v>38</v>
      </c>
      <c r="D53" s="208">
        <v>9</v>
      </c>
      <c r="E53" s="208">
        <v>39</v>
      </c>
      <c r="F53" s="208" t="s">
        <v>2122</v>
      </c>
      <c r="G53" s="208">
        <v>945</v>
      </c>
      <c r="H53" s="208">
        <v>1862</v>
      </c>
      <c r="I53" s="208">
        <v>3532</v>
      </c>
      <c r="J53" s="208">
        <v>5825</v>
      </c>
      <c r="K53" s="208">
        <v>9251</v>
      </c>
      <c r="L53" s="208">
        <v>13070</v>
      </c>
      <c r="M53" s="208">
        <v>14320</v>
      </c>
      <c r="N53" s="208" t="s">
        <v>2123</v>
      </c>
      <c r="O53" s="208" t="s">
        <v>2124</v>
      </c>
      <c r="P53" s="208" t="s">
        <v>2125</v>
      </c>
      <c r="Q53" s="208" t="s">
        <v>1836</v>
      </c>
      <c r="R53" s="47"/>
    </row>
    <row r="54" spans="1:18" ht="18" customHeight="1">
      <c r="A54" s="47"/>
      <c r="B54" s="208" t="s">
        <v>2126</v>
      </c>
      <c r="C54" s="208">
        <v>8</v>
      </c>
      <c r="D54" s="208">
        <v>5</v>
      </c>
      <c r="E54" s="208">
        <v>3</v>
      </c>
      <c r="F54" s="208" t="s">
        <v>2127</v>
      </c>
      <c r="G54" s="208">
        <v>136</v>
      </c>
      <c r="H54" s="208">
        <v>409</v>
      </c>
      <c r="I54" s="208">
        <v>824</v>
      </c>
      <c r="J54" s="208">
        <v>1193</v>
      </c>
      <c r="K54" s="208">
        <v>1643</v>
      </c>
      <c r="L54" s="208">
        <v>5357</v>
      </c>
      <c r="M54" s="208">
        <v>2858</v>
      </c>
      <c r="N54" s="208" t="s">
        <v>2128</v>
      </c>
      <c r="O54" s="208" t="s">
        <v>2129</v>
      </c>
      <c r="P54" s="208" t="s">
        <v>2130</v>
      </c>
      <c r="Q54" s="208" t="s">
        <v>2131</v>
      </c>
      <c r="R54" s="47"/>
    </row>
    <row r="55" spans="1:18" ht="18" customHeight="1">
      <c r="A55" s="47"/>
      <c r="B55" s="208" t="s">
        <v>2132</v>
      </c>
      <c r="C55" s="208">
        <v>1061</v>
      </c>
      <c r="D55" s="208">
        <v>1445</v>
      </c>
      <c r="E55" s="208">
        <v>6428</v>
      </c>
      <c r="F55" s="208" t="s">
        <v>2133</v>
      </c>
      <c r="G55" s="208">
        <v>133968</v>
      </c>
      <c r="H55" s="208">
        <v>270011</v>
      </c>
      <c r="I55" s="208">
        <v>555503</v>
      </c>
      <c r="J55" s="208">
        <v>903621</v>
      </c>
      <c r="K55" s="208">
        <v>998595</v>
      </c>
      <c r="L55" s="208">
        <v>1185568</v>
      </c>
      <c r="M55" s="208">
        <v>1679915</v>
      </c>
      <c r="N55" s="208" t="s">
        <v>2134</v>
      </c>
      <c r="O55" s="208" t="s">
        <v>2135</v>
      </c>
      <c r="P55" s="208" t="s">
        <v>2136</v>
      </c>
      <c r="Q55" s="208" t="s">
        <v>2137</v>
      </c>
      <c r="R55" s="47"/>
    </row>
    <row r="56" spans="1:18" ht="18" customHeight="1">
      <c r="A56" s="47"/>
      <c r="B56" s="47"/>
      <c r="C56" s="47"/>
      <c r="D56" s="47"/>
      <c r="E56" s="47"/>
      <c r="F56" s="206" t="s">
        <v>2138</v>
      </c>
      <c r="G56" s="206"/>
      <c r="H56" s="206"/>
      <c r="I56" s="206"/>
      <c r="J56" s="206"/>
      <c r="K56" s="206"/>
      <c r="L56" s="206"/>
      <c r="M56" s="206"/>
      <c r="N56" s="206"/>
      <c r="O56" s="206"/>
      <c r="P56" s="206"/>
      <c r="Q56" s="206"/>
      <c r="R56" s="206"/>
    </row>
    <row r="57" spans="1:18" ht="18" customHeight="1">
      <c r="A57" s="151"/>
      <c r="B57" s="151"/>
      <c r="C57" s="151"/>
      <c r="D57" s="151"/>
      <c r="E57" s="151"/>
      <c r="F57" s="158" t="s">
        <v>2139</v>
      </c>
      <c r="G57" s="158"/>
      <c r="H57" s="158"/>
      <c r="I57" s="158"/>
      <c r="J57" s="158"/>
      <c r="K57" s="158"/>
      <c r="L57" s="158"/>
      <c r="M57" s="158"/>
      <c r="N57" s="158" t="s">
        <v>2140</v>
      </c>
      <c r="O57" s="158"/>
      <c r="P57" s="158"/>
      <c r="Q57" s="158"/>
      <c r="R57" s="158"/>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2F3A56"/>
  </sheetPr>
  <dimension ref="A1:Y107"/>
  <sheetViews>
    <sheetView showGridLines="0" workbookViewId="0"/>
  </sheetViews>
  <sheetFormatPr defaultColWidth="9.125" defaultRowHeight="30.75" customHeight="1"/>
  <cols>
    <col min="1" max="1" width="10.75" style="213" customWidth="1"/>
    <col min="2" max="2" width="12" style="213" customWidth="1"/>
    <col min="3" max="3" width="13" style="213" customWidth="1"/>
    <col min="4" max="4" width="10.875" style="213" customWidth="1"/>
    <col min="5" max="5" width="14.375" style="213" customWidth="1"/>
    <col min="6" max="6" width="10.75" style="213" customWidth="1"/>
    <col min="7" max="7" width="16.25" style="213" customWidth="1"/>
    <col min="8" max="8" width="13.125" style="213" customWidth="1"/>
    <col min="9" max="9" width="22.25" style="213" customWidth="1"/>
    <col min="10" max="10" width="10.375" style="213" customWidth="1"/>
    <col min="11" max="11" width="10.25" style="213" customWidth="1"/>
    <col min="12" max="12" width="9.375" style="213" customWidth="1"/>
    <col min="13" max="13" width="14.125" style="213" customWidth="1"/>
    <col min="14" max="14" width="9.25" style="213" customWidth="1"/>
    <col min="15" max="15" width="7" style="213" customWidth="1"/>
    <col min="16" max="16384" width="9.125" style="213"/>
  </cols>
  <sheetData>
    <row r="1" spans="1:25" s="211" customFormat="1" ht="30.75" customHeight="1">
      <c r="G1" s="52" t="s">
        <v>4335</v>
      </c>
    </row>
    <row r="2" spans="1:25" s="211" customFormat="1" ht="15" customHeight="1">
      <c r="A2" s="205" t="s">
        <v>2141</v>
      </c>
      <c r="B2" s="205"/>
      <c r="C2" s="203"/>
      <c r="D2" s="203"/>
      <c r="E2" s="203"/>
      <c r="F2" s="203"/>
      <c r="G2" s="203"/>
      <c r="H2" s="212" t="s">
        <v>2142</v>
      </c>
      <c r="I2" s="203"/>
      <c r="J2" s="205" t="s">
        <v>2143</v>
      </c>
      <c r="K2" s="203"/>
      <c r="L2" s="203"/>
      <c r="M2" s="203"/>
      <c r="N2" s="203"/>
      <c r="O2" s="203"/>
      <c r="P2" s="203"/>
      <c r="Q2" s="203"/>
      <c r="R2" s="203"/>
      <c r="S2" s="203"/>
      <c r="T2" s="203"/>
      <c r="U2" s="203"/>
      <c r="V2" s="203"/>
      <c r="W2" s="203"/>
      <c r="X2" s="203"/>
      <c r="Y2" s="203"/>
    </row>
    <row r="3" spans="1:25" ht="30.75" customHeight="1">
      <c r="A3" s="47" t="s">
        <v>42</v>
      </c>
      <c r="B3" s="47" t="s">
        <v>35</v>
      </c>
      <c r="C3" s="47" t="s">
        <v>2144</v>
      </c>
      <c r="D3" s="47" t="s">
        <v>477</v>
      </c>
      <c r="E3" s="47" t="s">
        <v>2145</v>
      </c>
      <c r="F3" s="47" t="s">
        <v>2146</v>
      </c>
      <c r="G3" s="47" t="s">
        <v>2147</v>
      </c>
      <c r="H3" s="47" t="s">
        <v>2148</v>
      </c>
      <c r="I3" s="47" t="s">
        <v>2149</v>
      </c>
      <c r="J3" s="47" t="s">
        <v>42</v>
      </c>
      <c r="K3" s="47" t="s">
        <v>35</v>
      </c>
      <c r="L3" s="47" t="s">
        <v>2144</v>
      </c>
      <c r="M3" s="47" t="s">
        <v>477</v>
      </c>
      <c r="N3" s="47" t="s">
        <v>2145</v>
      </c>
      <c r="O3" s="47" t="s">
        <v>2146</v>
      </c>
      <c r="P3" s="47" t="s">
        <v>2147</v>
      </c>
      <c r="Q3" s="47" t="s">
        <v>2148</v>
      </c>
      <c r="R3" s="47" t="s">
        <v>2150</v>
      </c>
      <c r="S3" s="47" t="s">
        <v>2151</v>
      </c>
      <c r="T3" s="47" t="s">
        <v>2149</v>
      </c>
      <c r="U3" s="47" t="s">
        <v>2152</v>
      </c>
      <c r="V3" s="47" t="s">
        <v>2153</v>
      </c>
      <c r="W3" s="47"/>
      <c r="X3" s="47"/>
      <c r="Y3" s="47"/>
    </row>
    <row r="4" spans="1:25" ht="30.75" customHeight="1">
      <c r="A4" s="47"/>
      <c r="B4" s="47" t="s">
        <v>99</v>
      </c>
      <c r="C4" s="47">
        <v>22</v>
      </c>
      <c r="D4" s="47">
        <v>2020</v>
      </c>
      <c r="E4" s="47">
        <v>2020</v>
      </c>
      <c r="F4" s="47">
        <v>1075</v>
      </c>
      <c r="G4" s="47">
        <v>4645318</v>
      </c>
      <c r="H4" s="47">
        <v>23.1</v>
      </c>
      <c r="I4" s="47">
        <v>19.2</v>
      </c>
      <c r="J4" s="47"/>
      <c r="K4" s="47" t="s">
        <v>99</v>
      </c>
      <c r="L4" s="47">
        <v>22</v>
      </c>
      <c r="M4" s="47">
        <v>2024</v>
      </c>
      <c r="N4" s="47">
        <v>2024</v>
      </c>
      <c r="O4" s="47">
        <v>1115</v>
      </c>
      <c r="P4" s="47">
        <v>4597740</v>
      </c>
      <c r="Q4" s="47">
        <v>24.3</v>
      </c>
      <c r="R4" s="47">
        <v>22.8</v>
      </c>
      <c r="S4" s="47">
        <v>25.7</v>
      </c>
      <c r="T4" s="47">
        <v>19.7</v>
      </c>
      <c r="U4" s="47">
        <v>18.5</v>
      </c>
      <c r="V4" s="47">
        <v>20.9</v>
      </c>
      <c r="W4" s="47"/>
      <c r="X4" s="47"/>
      <c r="Y4" s="47"/>
    </row>
    <row r="5" spans="1:25" ht="30.75" customHeight="1">
      <c r="A5" s="47"/>
      <c r="B5" s="47" t="s">
        <v>184</v>
      </c>
      <c r="C5" s="47">
        <v>28</v>
      </c>
      <c r="D5" s="47">
        <v>2020</v>
      </c>
      <c r="E5" s="47">
        <v>2020</v>
      </c>
      <c r="F5" s="47">
        <v>798</v>
      </c>
      <c r="G5" s="47">
        <v>2966786</v>
      </c>
      <c r="H5" s="47">
        <v>26.9</v>
      </c>
      <c r="I5" s="47">
        <v>22.2</v>
      </c>
      <c r="J5" s="47"/>
      <c r="K5" s="47" t="s">
        <v>184</v>
      </c>
      <c r="L5" s="47">
        <v>28</v>
      </c>
      <c r="M5" s="47">
        <v>2024</v>
      </c>
      <c r="N5" s="47">
        <v>2024</v>
      </c>
      <c r="O5" s="47">
        <v>716</v>
      </c>
      <c r="P5" s="47">
        <v>2943045</v>
      </c>
      <c r="Q5" s="47">
        <v>24.3</v>
      </c>
      <c r="R5" s="47">
        <v>22.5</v>
      </c>
      <c r="S5" s="47">
        <v>26.1</v>
      </c>
      <c r="T5" s="47">
        <v>19.7</v>
      </c>
      <c r="U5" s="47">
        <v>18.2</v>
      </c>
      <c r="V5" s="47">
        <v>21.2</v>
      </c>
      <c r="W5" s="47"/>
      <c r="X5" s="47"/>
      <c r="Y5" s="47"/>
    </row>
    <row r="6" spans="1:25" ht="30.75" customHeight="1">
      <c r="A6" s="47"/>
      <c r="B6" s="47" t="s">
        <v>99</v>
      </c>
      <c r="C6" s="47">
        <v>22</v>
      </c>
      <c r="D6" s="47">
        <v>2019</v>
      </c>
      <c r="E6" s="47">
        <v>2019</v>
      </c>
      <c r="F6" s="47">
        <v>1055</v>
      </c>
      <c r="G6" s="47">
        <v>4648794</v>
      </c>
      <c r="H6" s="47">
        <v>22.7</v>
      </c>
      <c r="I6" s="47">
        <v>19.399999999999999</v>
      </c>
      <c r="J6" s="47"/>
      <c r="K6" s="47" t="s">
        <v>99</v>
      </c>
      <c r="L6" s="47">
        <v>22</v>
      </c>
      <c r="M6" s="47">
        <v>2023</v>
      </c>
      <c r="N6" s="47">
        <v>2023</v>
      </c>
      <c r="O6" s="47">
        <v>1102</v>
      </c>
      <c r="P6" s="47">
        <v>4573749</v>
      </c>
      <c r="Q6" s="47">
        <v>24.1</v>
      </c>
      <c r="R6" s="47">
        <v>22.7</v>
      </c>
      <c r="S6" s="47">
        <v>25.5</v>
      </c>
      <c r="T6" s="47">
        <v>20</v>
      </c>
      <c r="U6" s="47">
        <v>18.8</v>
      </c>
      <c r="V6" s="47">
        <v>21.3</v>
      </c>
      <c r="W6" s="47"/>
      <c r="X6" s="47"/>
      <c r="Y6" s="47"/>
    </row>
    <row r="7" spans="1:25" ht="30.75" customHeight="1">
      <c r="A7" s="47"/>
      <c r="B7" s="47" t="s">
        <v>184</v>
      </c>
      <c r="C7" s="47">
        <v>28</v>
      </c>
      <c r="D7" s="47">
        <v>2019</v>
      </c>
      <c r="E7" s="47">
        <v>2019</v>
      </c>
      <c r="F7" s="47">
        <v>771</v>
      </c>
      <c r="G7" s="47">
        <v>2976149</v>
      </c>
      <c r="H7" s="47">
        <v>25.9</v>
      </c>
      <c r="I7" s="47">
        <v>21.8</v>
      </c>
      <c r="J7" s="47"/>
      <c r="K7" s="47" t="s">
        <v>184</v>
      </c>
      <c r="L7" s="47">
        <v>28</v>
      </c>
      <c r="M7" s="47">
        <v>2023</v>
      </c>
      <c r="N7" s="47">
        <v>2023</v>
      </c>
      <c r="O7" s="47">
        <v>684</v>
      </c>
      <c r="P7" s="47">
        <v>2939690</v>
      </c>
      <c r="Q7" s="47">
        <v>23.3</v>
      </c>
      <c r="R7" s="47">
        <v>21.5</v>
      </c>
      <c r="S7" s="47">
        <v>25</v>
      </c>
      <c r="T7" s="47">
        <v>18.8</v>
      </c>
      <c r="U7" s="47">
        <v>17.399999999999999</v>
      </c>
      <c r="V7" s="47">
        <v>20.3</v>
      </c>
      <c r="W7" s="47"/>
      <c r="X7" s="47"/>
      <c r="Y7" s="47"/>
    </row>
    <row r="8" spans="1:25" ht="30.75" customHeight="1">
      <c r="A8" s="47"/>
      <c r="B8" s="47" t="s">
        <v>99</v>
      </c>
      <c r="C8" s="47">
        <v>22</v>
      </c>
      <c r="D8" s="47">
        <v>2018</v>
      </c>
      <c r="E8" s="47">
        <v>2018</v>
      </c>
      <c r="F8" s="47">
        <v>1127</v>
      </c>
      <c r="G8" s="47">
        <v>4659978</v>
      </c>
      <c r="H8" s="47">
        <v>24.2</v>
      </c>
      <c r="I8" s="47">
        <v>21</v>
      </c>
      <c r="J8" s="47"/>
      <c r="K8" s="47" t="s">
        <v>99</v>
      </c>
      <c r="L8" s="47">
        <v>22</v>
      </c>
      <c r="M8" s="47">
        <v>2022</v>
      </c>
      <c r="N8" s="47">
        <v>2022</v>
      </c>
      <c r="O8" s="47">
        <v>1072</v>
      </c>
      <c r="P8" s="47">
        <v>4590241</v>
      </c>
      <c r="Q8" s="47">
        <v>23.4</v>
      </c>
      <c r="R8" s="47">
        <v>22</v>
      </c>
      <c r="S8" s="47">
        <v>24.8</v>
      </c>
      <c r="T8" s="47">
        <v>19.3</v>
      </c>
      <c r="U8" s="47">
        <v>18.2</v>
      </c>
      <c r="V8" s="47">
        <v>20.6</v>
      </c>
      <c r="W8" s="47"/>
      <c r="X8" s="47"/>
      <c r="Y8" s="47"/>
    </row>
    <row r="9" spans="1:25" ht="30.75" customHeight="1">
      <c r="A9" s="47"/>
      <c r="B9" s="47" t="s">
        <v>184</v>
      </c>
      <c r="C9" s="47">
        <v>28</v>
      </c>
      <c r="D9" s="47">
        <v>2018</v>
      </c>
      <c r="E9" s="47">
        <v>2018</v>
      </c>
      <c r="F9" s="47">
        <v>786</v>
      </c>
      <c r="G9" s="47">
        <v>2986530</v>
      </c>
      <c r="H9" s="47">
        <v>26.3</v>
      </c>
      <c r="I9" s="47">
        <v>22.2</v>
      </c>
      <c r="J9" s="47"/>
      <c r="K9" s="47" t="s">
        <v>184</v>
      </c>
      <c r="L9" s="47">
        <v>28</v>
      </c>
      <c r="M9" s="47">
        <v>2022</v>
      </c>
      <c r="N9" s="47">
        <v>2022</v>
      </c>
      <c r="O9" s="47">
        <v>761</v>
      </c>
      <c r="P9" s="47">
        <v>2940057</v>
      </c>
      <c r="Q9" s="47">
        <v>25.9</v>
      </c>
      <c r="R9" s="47">
        <v>24</v>
      </c>
      <c r="S9" s="47">
        <v>27.7</v>
      </c>
      <c r="T9" s="47">
        <v>21.3</v>
      </c>
      <c r="U9" s="47">
        <v>19.8</v>
      </c>
      <c r="V9" s="47">
        <v>22.9</v>
      </c>
      <c r="W9" s="47"/>
      <c r="X9" s="47"/>
      <c r="Y9" s="47"/>
    </row>
    <row r="10" spans="1:25" ht="30.75" customHeight="1">
      <c r="A10" s="47"/>
      <c r="B10" s="47" t="s">
        <v>99</v>
      </c>
      <c r="C10" s="47">
        <v>22</v>
      </c>
      <c r="D10" s="47">
        <v>2017</v>
      </c>
      <c r="E10" s="47">
        <v>2017</v>
      </c>
      <c r="F10" s="47">
        <v>1076</v>
      </c>
      <c r="G10" s="47">
        <v>4684333</v>
      </c>
      <c r="H10" s="47">
        <v>23</v>
      </c>
      <c r="I10" s="47">
        <v>20.6</v>
      </c>
      <c r="J10" s="47"/>
      <c r="K10" s="47" t="s">
        <v>99</v>
      </c>
      <c r="L10" s="47">
        <v>22</v>
      </c>
      <c r="M10" s="47">
        <v>2021</v>
      </c>
      <c r="N10" s="47">
        <v>2021</v>
      </c>
      <c r="O10" s="47">
        <v>1109</v>
      </c>
      <c r="P10" s="47">
        <v>4624047</v>
      </c>
      <c r="Q10" s="47">
        <v>24</v>
      </c>
      <c r="R10" s="47">
        <v>22.6</v>
      </c>
      <c r="S10" s="47">
        <v>25.4</v>
      </c>
      <c r="T10" s="47">
        <v>20.6</v>
      </c>
      <c r="U10" s="47">
        <v>19.399999999999999</v>
      </c>
      <c r="V10" s="47">
        <v>21.9</v>
      </c>
      <c r="W10" s="47"/>
      <c r="X10" s="47"/>
      <c r="Y10" s="47"/>
    </row>
    <row r="11" spans="1:25" ht="30.75" customHeight="1">
      <c r="A11" s="47"/>
      <c r="B11" s="47" t="s">
        <v>184</v>
      </c>
      <c r="C11" s="47">
        <v>28</v>
      </c>
      <c r="D11" s="47">
        <v>2017</v>
      </c>
      <c r="E11" s="47">
        <v>2017</v>
      </c>
      <c r="F11" s="47">
        <v>741</v>
      </c>
      <c r="G11" s="47">
        <v>2984100</v>
      </c>
      <c r="H11" s="47">
        <v>24.8</v>
      </c>
      <c r="I11" s="47">
        <v>21.7</v>
      </c>
      <c r="J11" s="47"/>
      <c r="K11" s="47" t="s">
        <v>184</v>
      </c>
      <c r="L11" s="47">
        <v>28</v>
      </c>
      <c r="M11" s="47">
        <v>2021</v>
      </c>
      <c r="N11" s="47">
        <v>2021</v>
      </c>
      <c r="O11" s="47">
        <v>734</v>
      </c>
      <c r="P11" s="47">
        <v>2949965</v>
      </c>
      <c r="Q11" s="47">
        <v>24.9</v>
      </c>
      <c r="R11" s="47">
        <v>23.1</v>
      </c>
      <c r="S11" s="47">
        <v>26.7</v>
      </c>
      <c r="T11" s="47">
        <v>21.4</v>
      </c>
      <c r="U11" s="47">
        <v>19.8</v>
      </c>
      <c r="V11" s="47">
        <v>23</v>
      </c>
      <c r="W11" s="47"/>
      <c r="X11" s="47"/>
      <c r="Y11" s="47"/>
    </row>
    <row r="12" spans="1:25" ht="30.75" customHeight="1">
      <c r="A12" s="47"/>
      <c r="B12" s="47" t="s">
        <v>99</v>
      </c>
      <c r="C12" s="47">
        <v>22</v>
      </c>
      <c r="D12" s="47">
        <v>2016</v>
      </c>
      <c r="E12" s="47">
        <v>2016</v>
      </c>
      <c r="F12" s="47">
        <v>1153</v>
      </c>
      <c r="G12" s="47">
        <v>4681666</v>
      </c>
      <c r="H12" s="47">
        <v>24.6</v>
      </c>
      <c r="I12" s="47">
        <v>22.6</v>
      </c>
      <c r="J12" s="47"/>
      <c r="K12" s="47" t="s">
        <v>99</v>
      </c>
      <c r="L12" s="47">
        <v>22</v>
      </c>
      <c r="M12" s="47">
        <v>2020</v>
      </c>
      <c r="N12" s="47">
        <v>2020</v>
      </c>
      <c r="O12" s="47">
        <v>1075</v>
      </c>
      <c r="P12" s="47">
        <v>4645318</v>
      </c>
      <c r="Q12" s="47">
        <v>23.1</v>
      </c>
      <c r="R12" s="47">
        <v>21.8</v>
      </c>
      <c r="S12" s="47">
        <v>24.5</v>
      </c>
      <c r="T12" s="47">
        <v>19.2</v>
      </c>
      <c r="U12" s="47">
        <v>18</v>
      </c>
      <c r="V12" s="47">
        <v>20.399999999999999</v>
      </c>
      <c r="W12" s="47"/>
      <c r="X12" s="47"/>
      <c r="Y12" s="47"/>
    </row>
    <row r="13" spans="1:25" ht="30.75" customHeight="1">
      <c r="A13" s="47"/>
      <c r="B13" s="47" t="s">
        <v>184</v>
      </c>
      <c r="C13" s="47">
        <v>28</v>
      </c>
      <c r="D13" s="47">
        <v>2016</v>
      </c>
      <c r="E13" s="47">
        <v>2016</v>
      </c>
      <c r="F13" s="47">
        <v>763</v>
      </c>
      <c r="G13" s="47">
        <v>2988726</v>
      </c>
      <c r="H13" s="47">
        <v>25.5</v>
      </c>
      <c r="I13" s="47">
        <v>22.8</v>
      </c>
      <c r="J13" s="47"/>
      <c r="K13" s="47" t="s">
        <v>184</v>
      </c>
      <c r="L13" s="47">
        <v>28</v>
      </c>
      <c r="M13" s="47">
        <v>2020</v>
      </c>
      <c r="N13" s="47">
        <v>2020</v>
      </c>
      <c r="O13" s="47">
        <v>798</v>
      </c>
      <c r="P13" s="47">
        <v>2966786</v>
      </c>
      <c r="Q13" s="47">
        <v>26.9</v>
      </c>
      <c r="R13" s="47">
        <v>25</v>
      </c>
      <c r="S13" s="47">
        <v>28.8</v>
      </c>
      <c r="T13" s="47">
        <v>22.2</v>
      </c>
      <c r="U13" s="47">
        <v>20.6</v>
      </c>
      <c r="V13" s="47">
        <v>23.8</v>
      </c>
      <c r="W13" s="47"/>
      <c r="X13" s="47"/>
      <c r="Y13" s="47"/>
    </row>
    <row r="14" spans="1:25" ht="30.75" customHeight="1">
      <c r="A14" s="47"/>
      <c r="B14" s="47" t="s">
        <v>99</v>
      </c>
      <c r="C14" s="47">
        <v>22</v>
      </c>
      <c r="D14" s="47">
        <v>2015</v>
      </c>
      <c r="E14" s="47">
        <v>2015</v>
      </c>
      <c r="F14" s="47">
        <v>1160</v>
      </c>
      <c r="G14" s="47">
        <v>4670724</v>
      </c>
      <c r="H14" s="47">
        <v>24.8</v>
      </c>
      <c r="I14" s="47">
        <v>23.2</v>
      </c>
      <c r="J14" s="47"/>
      <c r="K14" s="47" t="s">
        <v>99</v>
      </c>
      <c r="L14" s="47">
        <v>22</v>
      </c>
      <c r="M14" s="47">
        <v>2019</v>
      </c>
      <c r="N14" s="47">
        <v>2019</v>
      </c>
      <c r="O14" s="47">
        <v>1055</v>
      </c>
      <c r="P14" s="47">
        <v>4648794</v>
      </c>
      <c r="Q14" s="47">
        <v>22.7</v>
      </c>
      <c r="R14" s="47">
        <v>21.3</v>
      </c>
      <c r="S14" s="47">
        <v>24.1</v>
      </c>
      <c r="T14" s="47">
        <v>19.399999999999999</v>
      </c>
      <c r="U14" s="47">
        <v>18.2</v>
      </c>
      <c r="V14" s="47">
        <v>20.6</v>
      </c>
      <c r="W14" s="47"/>
      <c r="X14" s="47"/>
      <c r="Y14" s="47"/>
    </row>
    <row r="15" spans="1:25" ht="30.75" customHeight="1">
      <c r="A15" s="47"/>
      <c r="B15" s="47" t="s">
        <v>184</v>
      </c>
      <c r="C15" s="47">
        <v>28</v>
      </c>
      <c r="D15" s="47">
        <v>2015</v>
      </c>
      <c r="E15" s="47">
        <v>2015</v>
      </c>
      <c r="F15" s="47">
        <v>731</v>
      </c>
      <c r="G15" s="47">
        <v>2992333</v>
      </c>
      <c r="H15" s="47">
        <v>24.4</v>
      </c>
      <c r="I15" s="47">
        <v>22</v>
      </c>
      <c r="J15" s="47"/>
      <c r="K15" s="47" t="s">
        <v>184</v>
      </c>
      <c r="L15" s="47">
        <v>28</v>
      </c>
      <c r="M15" s="47">
        <v>2019</v>
      </c>
      <c r="N15" s="47">
        <v>2019</v>
      </c>
      <c r="O15" s="47">
        <v>771</v>
      </c>
      <c r="P15" s="47">
        <v>2976149</v>
      </c>
      <c r="Q15" s="47">
        <v>25.9</v>
      </c>
      <c r="R15" s="47">
        <v>24.1</v>
      </c>
      <c r="S15" s="47">
        <v>27.7</v>
      </c>
      <c r="T15" s="47">
        <v>21.8</v>
      </c>
      <c r="U15" s="47">
        <v>20.3</v>
      </c>
      <c r="V15" s="47">
        <v>23.4</v>
      </c>
      <c r="W15" s="47"/>
      <c r="X15" s="47"/>
      <c r="Y15" s="47"/>
    </row>
    <row r="16" spans="1:25" ht="30.75" customHeight="1">
      <c r="A16" s="47"/>
      <c r="B16" s="47" t="s">
        <v>99</v>
      </c>
      <c r="C16" s="47">
        <v>22</v>
      </c>
      <c r="D16" s="47">
        <v>2014</v>
      </c>
      <c r="E16" s="47">
        <v>2014</v>
      </c>
      <c r="F16" s="47">
        <v>1217</v>
      </c>
      <c r="G16" s="47">
        <v>4649676</v>
      </c>
      <c r="H16" s="47">
        <v>26.2</v>
      </c>
      <c r="I16" s="47">
        <v>24.9</v>
      </c>
      <c r="J16" s="47"/>
      <c r="K16" s="47" t="s">
        <v>99</v>
      </c>
      <c r="L16" s="47">
        <v>22</v>
      </c>
      <c r="M16" s="47">
        <v>2018</v>
      </c>
      <c r="N16" s="47">
        <v>2018</v>
      </c>
      <c r="O16" s="47">
        <v>1127</v>
      </c>
      <c r="P16" s="47">
        <v>4659978</v>
      </c>
      <c r="Q16" s="47">
        <v>24.2</v>
      </c>
      <c r="R16" s="47">
        <v>22.8</v>
      </c>
      <c r="S16" s="47">
        <v>25.6</v>
      </c>
      <c r="T16" s="47">
        <v>21</v>
      </c>
      <c r="U16" s="47">
        <v>19.7</v>
      </c>
      <c r="V16" s="47">
        <v>22.3</v>
      </c>
      <c r="W16" s="47"/>
      <c r="X16" s="47"/>
      <c r="Y16" s="47"/>
    </row>
    <row r="17" spans="1:25" ht="30.75" customHeight="1">
      <c r="A17" s="47"/>
      <c r="B17" s="47" t="s">
        <v>184</v>
      </c>
      <c r="C17" s="47">
        <v>28</v>
      </c>
      <c r="D17" s="47">
        <v>2014</v>
      </c>
      <c r="E17" s="47">
        <v>2014</v>
      </c>
      <c r="F17" s="47">
        <v>701</v>
      </c>
      <c r="G17" s="47">
        <v>2994079</v>
      </c>
      <c r="H17" s="47">
        <v>23.4</v>
      </c>
      <c r="I17" s="47">
        <v>21.3</v>
      </c>
      <c r="J17" s="47"/>
      <c r="K17" s="47" t="s">
        <v>184</v>
      </c>
      <c r="L17" s="47">
        <v>28</v>
      </c>
      <c r="M17" s="47">
        <v>2018</v>
      </c>
      <c r="N17" s="47">
        <v>2018</v>
      </c>
      <c r="O17" s="47">
        <v>786</v>
      </c>
      <c r="P17" s="47">
        <v>2986530</v>
      </c>
      <c r="Q17" s="47">
        <v>26.3</v>
      </c>
      <c r="R17" s="47">
        <v>24.5</v>
      </c>
      <c r="S17" s="47">
        <v>28.2</v>
      </c>
      <c r="T17" s="47">
        <v>22.2</v>
      </c>
      <c r="U17" s="47">
        <v>20.7</v>
      </c>
      <c r="V17" s="47">
        <v>23.9</v>
      </c>
      <c r="W17" s="47"/>
      <c r="X17" s="47"/>
      <c r="Y17" s="47"/>
    </row>
    <row r="18" spans="1:25" ht="30.75" customHeight="1">
      <c r="A18" s="47"/>
      <c r="B18" s="47" t="s">
        <v>99</v>
      </c>
      <c r="C18" s="47">
        <v>22</v>
      </c>
      <c r="D18" s="47">
        <v>2013</v>
      </c>
      <c r="E18" s="47">
        <v>2013</v>
      </c>
      <c r="F18" s="47">
        <v>1108</v>
      </c>
      <c r="G18" s="47">
        <v>4625470</v>
      </c>
      <c r="H18" s="47">
        <v>24</v>
      </c>
      <c r="I18" s="47">
        <v>23.1</v>
      </c>
      <c r="J18" s="47" t="s">
        <v>2132</v>
      </c>
      <c r="K18" s="47" t="s">
        <v>99</v>
      </c>
      <c r="L18" s="47">
        <v>22</v>
      </c>
      <c r="M18" s="47"/>
      <c r="N18" s="47"/>
      <c r="O18" s="47">
        <v>7655</v>
      </c>
      <c r="P18" s="47">
        <v>32339867</v>
      </c>
      <c r="Q18" s="47">
        <v>23.7</v>
      </c>
      <c r="R18" s="47">
        <v>23.1</v>
      </c>
      <c r="S18" s="47">
        <v>24.2</v>
      </c>
      <c r="T18" s="47">
        <v>19.899999999999999</v>
      </c>
      <c r="U18" s="47">
        <v>19.399999999999999</v>
      </c>
      <c r="V18" s="47">
        <v>20.3</v>
      </c>
      <c r="W18" s="47"/>
      <c r="X18" s="47"/>
      <c r="Y18" s="47"/>
    </row>
    <row r="19" spans="1:25" ht="30.75" customHeight="1">
      <c r="A19" s="47"/>
      <c r="B19" s="47" t="s">
        <v>184</v>
      </c>
      <c r="C19" s="47">
        <v>28</v>
      </c>
      <c r="D19" s="47">
        <v>2013</v>
      </c>
      <c r="E19" s="47">
        <v>2013</v>
      </c>
      <c r="F19" s="47">
        <v>731</v>
      </c>
      <c r="G19" s="47">
        <v>2991207</v>
      </c>
      <c r="H19" s="47">
        <v>24.4</v>
      </c>
      <c r="I19" s="47">
        <v>22.8</v>
      </c>
      <c r="J19" s="47" t="s">
        <v>2132</v>
      </c>
      <c r="K19" s="47" t="s">
        <v>184</v>
      </c>
      <c r="L19" s="47">
        <v>28</v>
      </c>
      <c r="M19" s="47"/>
      <c r="N19" s="47"/>
      <c r="O19" s="47">
        <v>5250</v>
      </c>
      <c r="P19" s="47">
        <v>20702222</v>
      </c>
      <c r="Q19" s="47">
        <v>25.4</v>
      </c>
      <c r="R19" s="47">
        <v>24.7</v>
      </c>
      <c r="S19" s="47">
        <v>26</v>
      </c>
      <c r="T19" s="47">
        <v>21</v>
      </c>
      <c r="U19" s="47">
        <v>20.399999999999999</v>
      </c>
      <c r="V19" s="47">
        <v>21.6</v>
      </c>
      <c r="W19" s="47"/>
      <c r="X19" s="47"/>
      <c r="Y19" s="47"/>
    </row>
    <row r="20" spans="1:25" ht="30.75" customHeight="1">
      <c r="A20" s="47"/>
      <c r="B20" s="47" t="s">
        <v>99</v>
      </c>
      <c r="C20" s="47">
        <v>22</v>
      </c>
      <c r="D20" s="47">
        <v>2012</v>
      </c>
      <c r="E20" s="47">
        <v>2012</v>
      </c>
      <c r="F20" s="47">
        <v>1138</v>
      </c>
      <c r="G20" s="47">
        <v>4601893</v>
      </c>
      <c r="H20" s="47">
        <v>24.7</v>
      </c>
      <c r="I20" s="47">
        <v>24.3</v>
      </c>
      <c r="J20" s="47" t="s">
        <v>2132</v>
      </c>
      <c r="K20" s="47"/>
      <c r="L20" s="47"/>
      <c r="M20" s="47"/>
      <c r="N20" s="47"/>
      <c r="O20" s="47">
        <v>12905</v>
      </c>
      <c r="P20" s="47">
        <v>53042089</v>
      </c>
      <c r="Q20" s="47">
        <v>24.3</v>
      </c>
      <c r="R20" s="47">
        <v>23.9</v>
      </c>
      <c r="S20" s="47">
        <v>24.7</v>
      </c>
      <c r="T20" s="47">
        <v>20.3</v>
      </c>
      <c r="U20" s="47">
        <v>20</v>
      </c>
      <c r="V20" s="47">
        <v>20.7</v>
      </c>
      <c r="W20" s="47"/>
      <c r="X20" s="47"/>
      <c r="Y20" s="47"/>
    </row>
    <row r="21" spans="1:25" ht="30.75" customHeight="1">
      <c r="A21" s="47"/>
      <c r="B21" s="47" t="s">
        <v>184</v>
      </c>
      <c r="C21" s="47">
        <v>28</v>
      </c>
      <c r="D21" s="47">
        <v>2012</v>
      </c>
      <c r="E21" s="47">
        <v>2012</v>
      </c>
      <c r="F21" s="47">
        <v>692</v>
      </c>
      <c r="G21" s="47">
        <v>2984926</v>
      </c>
      <c r="H21" s="47">
        <v>23.2</v>
      </c>
      <c r="I21" s="47">
        <v>22.2</v>
      </c>
      <c r="J21" s="47" t="s">
        <v>2154</v>
      </c>
      <c r="K21" s="47"/>
      <c r="L21" s="47"/>
      <c r="M21" s="47"/>
      <c r="N21" s="47"/>
      <c r="O21" s="47"/>
      <c r="P21" s="47"/>
      <c r="Q21" s="47"/>
      <c r="R21" s="47"/>
      <c r="S21" s="47"/>
      <c r="T21" s="47"/>
      <c r="U21" s="47"/>
      <c r="V21" s="47"/>
      <c r="W21" s="47"/>
      <c r="X21" s="47"/>
      <c r="Y21" s="47"/>
    </row>
    <row r="22" spans="1:25" ht="30.75" customHeight="1">
      <c r="A22" s="47"/>
      <c r="B22" s="47" t="s">
        <v>99</v>
      </c>
      <c r="C22" s="47">
        <v>22</v>
      </c>
      <c r="D22" s="47">
        <v>2011</v>
      </c>
      <c r="E22" s="47">
        <v>2011</v>
      </c>
      <c r="F22" s="47">
        <v>1169</v>
      </c>
      <c r="G22" s="47">
        <v>4574836</v>
      </c>
      <c r="H22" s="47">
        <v>25.6</v>
      </c>
      <c r="I22" s="47">
        <v>25.5</v>
      </c>
      <c r="J22" s="47" t="s">
        <v>2155</v>
      </c>
      <c r="K22" s="47"/>
      <c r="L22" s="47"/>
      <c r="M22" s="47"/>
      <c r="N22" s="47"/>
      <c r="O22" s="47"/>
      <c r="P22" s="47"/>
      <c r="Q22" s="47"/>
      <c r="R22" s="47"/>
      <c r="S22" s="47"/>
      <c r="T22" s="47"/>
      <c r="U22" s="47"/>
      <c r="V22" s="47"/>
      <c r="W22" s="47"/>
      <c r="X22" s="47"/>
      <c r="Y22" s="47"/>
    </row>
    <row r="23" spans="1:25" ht="30.75" customHeight="1">
      <c r="A23" s="47"/>
      <c r="B23" s="47" t="s">
        <v>184</v>
      </c>
      <c r="C23" s="47">
        <v>28</v>
      </c>
      <c r="D23" s="47">
        <v>2011</v>
      </c>
      <c r="E23" s="47">
        <v>2011</v>
      </c>
      <c r="F23" s="47">
        <v>664</v>
      </c>
      <c r="G23" s="47">
        <v>2978512</v>
      </c>
      <c r="H23" s="47">
        <v>22.3</v>
      </c>
      <c r="I23" s="47">
        <v>21.7</v>
      </c>
      <c r="J23" s="47" t="s">
        <v>2156</v>
      </c>
      <c r="K23" s="47"/>
      <c r="L23" s="47"/>
      <c r="M23" s="47"/>
      <c r="N23" s="47"/>
      <c r="O23" s="47"/>
      <c r="P23" s="47"/>
      <c r="Q23" s="47"/>
      <c r="R23" s="47"/>
      <c r="S23" s="47"/>
      <c r="T23" s="47"/>
      <c r="U23" s="47"/>
      <c r="V23" s="47"/>
      <c r="W23" s="47"/>
      <c r="X23" s="47"/>
      <c r="Y23" s="47"/>
    </row>
    <row r="24" spans="1:25" ht="30.75" customHeight="1">
      <c r="A24" s="47"/>
      <c r="B24" s="47" t="s">
        <v>99</v>
      </c>
      <c r="C24" s="47">
        <v>22</v>
      </c>
      <c r="D24" s="47">
        <v>2010</v>
      </c>
      <c r="E24" s="47">
        <v>2010</v>
      </c>
      <c r="F24" s="47">
        <v>1218</v>
      </c>
      <c r="G24" s="47">
        <v>4533372</v>
      </c>
      <c r="H24" s="47">
        <v>26.9</v>
      </c>
      <c r="I24" s="47">
        <v>27.3</v>
      </c>
      <c r="J24" s="47" t="s">
        <v>2157</v>
      </c>
      <c r="K24" s="47"/>
      <c r="L24" s="47"/>
      <c r="M24" s="47"/>
      <c r="N24" s="47"/>
      <c r="O24" s="47"/>
      <c r="P24" s="47"/>
      <c r="Q24" s="47"/>
      <c r="R24" s="47"/>
      <c r="S24" s="47"/>
      <c r="T24" s="47"/>
      <c r="U24" s="47"/>
      <c r="V24" s="47"/>
      <c r="W24" s="47"/>
      <c r="X24" s="47"/>
      <c r="Y24" s="47"/>
    </row>
    <row r="25" spans="1:25" ht="30.75" customHeight="1">
      <c r="A25" s="47"/>
      <c r="B25" s="47" t="s">
        <v>184</v>
      </c>
      <c r="C25" s="47">
        <v>28</v>
      </c>
      <c r="D25" s="47">
        <v>2010</v>
      </c>
      <c r="E25" s="47">
        <v>2010</v>
      </c>
      <c r="F25" s="47">
        <v>738</v>
      </c>
      <c r="G25" s="47">
        <v>2967297</v>
      </c>
      <c r="H25" s="47">
        <v>24.9</v>
      </c>
      <c r="I25" s="47">
        <v>24.7</v>
      </c>
      <c r="J25" s="47" t="s">
        <v>2158</v>
      </c>
      <c r="K25" s="47"/>
      <c r="L25" s="47"/>
      <c r="M25" s="47"/>
      <c r="N25" s="47"/>
      <c r="O25" s="47"/>
      <c r="P25" s="47"/>
      <c r="Q25" s="47"/>
      <c r="R25" s="47"/>
      <c r="S25" s="47"/>
      <c r="T25" s="47"/>
      <c r="U25" s="47"/>
      <c r="V25" s="47"/>
      <c r="W25" s="47"/>
      <c r="X25" s="47"/>
      <c r="Y25" s="47"/>
    </row>
    <row r="26" spans="1:25" ht="30.75" customHeight="1">
      <c r="A26" s="47"/>
      <c r="B26" s="47" t="s">
        <v>99</v>
      </c>
      <c r="C26" s="47">
        <v>22</v>
      </c>
      <c r="D26" s="47">
        <v>2009</v>
      </c>
      <c r="E26" s="47">
        <v>2009</v>
      </c>
      <c r="F26" s="47">
        <v>1160</v>
      </c>
      <c r="G26" s="47">
        <v>4491648</v>
      </c>
      <c r="H26" s="47">
        <v>25.8</v>
      </c>
      <c r="I26" s="47">
        <v>26.6</v>
      </c>
      <c r="J26" s="47" t="s">
        <v>2159</v>
      </c>
      <c r="K26" s="47"/>
      <c r="L26" s="47"/>
      <c r="M26" s="47"/>
      <c r="N26" s="47"/>
      <c r="O26" s="47"/>
      <c r="P26" s="47"/>
      <c r="Q26" s="47"/>
      <c r="R26" s="47"/>
      <c r="S26" s="47"/>
      <c r="T26" s="47"/>
      <c r="U26" s="47"/>
      <c r="V26" s="47"/>
      <c r="W26" s="47"/>
      <c r="X26" s="47"/>
      <c r="Y26" s="47"/>
    </row>
    <row r="27" spans="1:25" ht="30.75" customHeight="1">
      <c r="A27" s="47"/>
      <c r="B27" s="47" t="s">
        <v>184</v>
      </c>
      <c r="C27" s="47">
        <v>28</v>
      </c>
      <c r="D27" s="47">
        <v>2009</v>
      </c>
      <c r="E27" s="47">
        <v>2009</v>
      </c>
      <c r="F27" s="47">
        <v>700</v>
      </c>
      <c r="G27" s="47">
        <v>2958774</v>
      </c>
      <c r="H27" s="47">
        <v>23.7</v>
      </c>
      <c r="I27" s="47">
        <v>23.7</v>
      </c>
      <c r="J27" s="47" t="s">
        <v>2160</v>
      </c>
      <c r="K27" s="47"/>
      <c r="L27" s="47"/>
      <c r="M27" s="47"/>
      <c r="N27" s="47"/>
      <c r="O27" s="47"/>
      <c r="P27" s="47"/>
      <c r="Q27" s="47"/>
      <c r="R27" s="47"/>
      <c r="S27" s="47"/>
      <c r="T27" s="47"/>
      <c r="U27" s="47"/>
      <c r="V27" s="47"/>
      <c r="W27" s="47"/>
      <c r="X27" s="47"/>
      <c r="Y27" s="47"/>
    </row>
    <row r="28" spans="1:25" ht="30.75" customHeight="1">
      <c r="A28" s="47"/>
      <c r="B28" s="47" t="s">
        <v>99</v>
      </c>
      <c r="C28" s="47">
        <v>22</v>
      </c>
      <c r="D28" s="47">
        <v>2008</v>
      </c>
      <c r="E28" s="47">
        <v>2008</v>
      </c>
      <c r="F28" s="47">
        <v>1195</v>
      </c>
      <c r="G28" s="47">
        <v>4435586</v>
      </c>
      <c r="H28" s="47">
        <v>26.9</v>
      </c>
      <c r="I28" s="47">
        <v>27.7</v>
      </c>
      <c r="J28" s="47" t="s">
        <v>2161</v>
      </c>
      <c r="K28" s="47"/>
      <c r="L28" s="47"/>
      <c r="M28" s="47"/>
      <c r="N28" s="47"/>
      <c r="O28" s="47"/>
      <c r="P28" s="47"/>
      <c r="Q28" s="47"/>
      <c r="R28" s="47"/>
      <c r="S28" s="47"/>
      <c r="T28" s="47"/>
      <c r="U28" s="47"/>
      <c r="V28" s="47"/>
      <c r="W28" s="47"/>
      <c r="X28" s="47"/>
      <c r="Y28" s="47"/>
    </row>
    <row r="29" spans="1:25" ht="30.75" customHeight="1">
      <c r="A29" s="47"/>
      <c r="B29" s="47" t="s">
        <v>184</v>
      </c>
      <c r="C29" s="47">
        <v>28</v>
      </c>
      <c r="D29" s="47">
        <v>2008</v>
      </c>
      <c r="E29" s="47">
        <v>2008</v>
      </c>
      <c r="F29" s="47">
        <v>723</v>
      </c>
      <c r="G29" s="47">
        <v>2947806</v>
      </c>
      <c r="H29" s="47">
        <v>24.5</v>
      </c>
      <c r="I29" s="47">
        <v>24.6</v>
      </c>
      <c r="J29" s="47" t="s">
        <v>2162</v>
      </c>
      <c r="K29" s="47"/>
      <c r="L29" s="47"/>
      <c r="M29" s="47"/>
      <c r="N29" s="47"/>
      <c r="O29" s="47"/>
      <c r="P29" s="47"/>
      <c r="Q29" s="47"/>
      <c r="R29" s="47"/>
      <c r="S29" s="47"/>
      <c r="T29" s="47"/>
      <c r="U29" s="47"/>
      <c r="V29" s="47"/>
      <c r="W29" s="47"/>
      <c r="X29" s="47"/>
      <c r="Y29" s="47"/>
    </row>
    <row r="30" spans="1:25" ht="30.75" customHeight="1">
      <c r="A30" s="47"/>
      <c r="B30" s="47" t="s">
        <v>99</v>
      </c>
      <c r="C30" s="47">
        <v>22</v>
      </c>
      <c r="D30" s="47">
        <v>2007</v>
      </c>
      <c r="E30" s="47">
        <v>2007</v>
      </c>
      <c r="F30" s="47">
        <v>1152</v>
      </c>
      <c r="G30" s="47">
        <v>4375581</v>
      </c>
      <c r="H30" s="47">
        <v>26.3</v>
      </c>
      <c r="I30" s="47">
        <v>27.4</v>
      </c>
      <c r="J30" s="47" t="s">
        <v>2163</v>
      </c>
      <c r="K30" s="47"/>
      <c r="L30" s="47"/>
      <c r="M30" s="47"/>
      <c r="N30" s="47"/>
      <c r="O30" s="47"/>
      <c r="P30" s="47"/>
      <c r="Q30" s="47"/>
      <c r="R30" s="47"/>
      <c r="S30" s="47"/>
      <c r="T30" s="47"/>
      <c r="U30" s="47"/>
      <c r="V30" s="47"/>
      <c r="W30" s="47"/>
      <c r="X30" s="47"/>
      <c r="Y30" s="47"/>
    </row>
    <row r="31" spans="1:25" ht="30.75" customHeight="1">
      <c r="A31" s="47"/>
      <c r="B31" s="47" t="s">
        <v>184</v>
      </c>
      <c r="C31" s="47">
        <v>28</v>
      </c>
      <c r="D31" s="47">
        <v>2007</v>
      </c>
      <c r="E31" s="47">
        <v>2007</v>
      </c>
      <c r="F31" s="47">
        <v>697</v>
      </c>
      <c r="G31" s="47">
        <v>2928350</v>
      </c>
      <c r="H31" s="47">
        <v>23.8</v>
      </c>
      <c r="I31" s="47">
        <v>24.3</v>
      </c>
      <c r="J31" s="47" t="s">
        <v>2164</v>
      </c>
      <c r="K31" s="47"/>
      <c r="L31" s="47"/>
      <c r="M31" s="47"/>
      <c r="N31" s="47"/>
      <c r="O31" s="47"/>
      <c r="P31" s="47"/>
      <c r="Q31" s="47"/>
      <c r="R31" s="47"/>
      <c r="S31" s="47"/>
      <c r="T31" s="47"/>
      <c r="U31" s="47"/>
      <c r="V31" s="47"/>
      <c r="W31" s="47"/>
      <c r="X31" s="47"/>
      <c r="Y31" s="47"/>
    </row>
    <row r="32" spans="1:25" ht="30.75" customHeight="1">
      <c r="A32" s="47"/>
      <c r="B32" s="47" t="s">
        <v>99</v>
      </c>
      <c r="C32" s="47">
        <v>22</v>
      </c>
      <c r="D32" s="47">
        <v>2006</v>
      </c>
      <c r="E32" s="47">
        <v>2006</v>
      </c>
      <c r="F32" s="47">
        <v>1074</v>
      </c>
      <c r="G32" s="47">
        <v>4302665</v>
      </c>
      <c r="H32" s="47">
        <v>25</v>
      </c>
      <c r="I32" s="47">
        <v>26.1</v>
      </c>
      <c r="J32" s="47" t="s">
        <v>2165</v>
      </c>
      <c r="K32" s="47"/>
      <c r="L32" s="47"/>
      <c r="M32" s="47"/>
      <c r="N32" s="47"/>
      <c r="O32" s="47"/>
      <c r="P32" s="47"/>
      <c r="Q32" s="47"/>
      <c r="R32" s="47"/>
      <c r="S32" s="47"/>
      <c r="T32" s="47"/>
      <c r="U32" s="47"/>
      <c r="V32" s="47"/>
      <c r="W32" s="47"/>
      <c r="X32" s="47"/>
      <c r="Y32" s="47"/>
    </row>
    <row r="33" spans="1:25" ht="30.75" customHeight="1">
      <c r="A33" s="47"/>
      <c r="B33" s="47" t="s">
        <v>184</v>
      </c>
      <c r="C33" s="47">
        <v>28</v>
      </c>
      <c r="D33" s="47">
        <v>2006</v>
      </c>
      <c r="E33" s="47">
        <v>2006</v>
      </c>
      <c r="F33" s="47">
        <v>673</v>
      </c>
      <c r="G33" s="47">
        <v>2904978</v>
      </c>
      <c r="H33" s="47">
        <v>23.2</v>
      </c>
      <c r="I33" s="47">
        <v>23.7</v>
      </c>
      <c r="J33" s="47" t="s">
        <v>2166</v>
      </c>
      <c r="K33" s="47"/>
      <c r="L33" s="47"/>
      <c r="M33" s="47"/>
      <c r="N33" s="47"/>
      <c r="O33" s="47"/>
      <c r="P33" s="47"/>
      <c r="Q33" s="47"/>
      <c r="R33" s="47"/>
      <c r="S33" s="47"/>
      <c r="T33" s="47"/>
      <c r="U33" s="47"/>
      <c r="V33" s="47"/>
      <c r="W33" s="47"/>
      <c r="X33" s="47"/>
      <c r="Y33" s="47"/>
    </row>
    <row r="34" spans="1:25" ht="30.75" customHeight="1">
      <c r="A34" s="47"/>
      <c r="B34" s="47" t="s">
        <v>99</v>
      </c>
      <c r="C34" s="47">
        <v>22</v>
      </c>
      <c r="D34" s="47">
        <v>2005</v>
      </c>
      <c r="E34" s="47">
        <v>2005</v>
      </c>
      <c r="F34" s="47">
        <v>1187</v>
      </c>
      <c r="G34" s="47">
        <v>4576628</v>
      </c>
      <c r="H34" s="47">
        <v>25.9</v>
      </c>
      <c r="I34" s="47">
        <v>27.7</v>
      </c>
      <c r="J34" s="47" t="s">
        <v>2167</v>
      </c>
      <c r="K34" s="47"/>
      <c r="L34" s="47"/>
      <c r="M34" s="47"/>
      <c r="N34" s="47"/>
      <c r="O34" s="47"/>
      <c r="P34" s="47"/>
      <c r="Q34" s="47"/>
      <c r="R34" s="47"/>
      <c r="S34" s="47"/>
      <c r="T34" s="47"/>
      <c r="U34" s="47"/>
      <c r="V34" s="47"/>
      <c r="W34" s="47"/>
      <c r="X34" s="47"/>
      <c r="Y34" s="47"/>
    </row>
    <row r="35" spans="1:25" ht="30.75" customHeight="1">
      <c r="A35" s="47"/>
      <c r="B35" s="47" t="s">
        <v>184</v>
      </c>
      <c r="C35" s="47">
        <v>28</v>
      </c>
      <c r="D35" s="47">
        <v>2005</v>
      </c>
      <c r="E35" s="47">
        <v>2005</v>
      </c>
      <c r="F35" s="47">
        <v>667</v>
      </c>
      <c r="G35" s="47">
        <v>2905943</v>
      </c>
      <c r="H35" s="47">
        <v>23</v>
      </c>
      <c r="I35" s="47">
        <v>23.7</v>
      </c>
      <c r="J35" s="47" t="s">
        <v>2168</v>
      </c>
      <c r="K35" s="47"/>
      <c r="L35" s="47"/>
      <c r="M35" s="47"/>
      <c r="N35" s="47"/>
      <c r="O35" s="47"/>
      <c r="P35" s="47"/>
      <c r="Q35" s="47"/>
      <c r="R35" s="47"/>
      <c r="S35" s="47"/>
      <c r="T35" s="47"/>
      <c r="U35" s="47"/>
      <c r="V35" s="47"/>
      <c r="W35" s="47"/>
      <c r="X35" s="47"/>
      <c r="Y35" s="47"/>
    </row>
    <row r="36" spans="1:25" ht="30.75" customHeight="1">
      <c r="A36" s="47"/>
      <c r="B36" s="47" t="s">
        <v>99</v>
      </c>
      <c r="C36" s="47">
        <v>22</v>
      </c>
      <c r="D36" s="47">
        <v>2004</v>
      </c>
      <c r="E36" s="47">
        <v>2004</v>
      </c>
      <c r="F36" s="47">
        <v>1110</v>
      </c>
      <c r="G36" s="47">
        <v>4552238</v>
      </c>
      <c r="H36" s="47">
        <v>24.4</v>
      </c>
      <c r="I36" s="47">
        <v>26.3</v>
      </c>
      <c r="J36" s="47" t="s">
        <v>2154</v>
      </c>
      <c r="K36" s="47"/>
      <c r="L36" s="47"/>
      <c r="M36" s="47"/>
      <c r="N36" s="47"/>
      <c r="O36" s="47"/>
      <c r="P36" s="47"/>
      <c r="Q36" s="47"/>
      <c r="R36" s="47"/>
      <c r="S36" s="47"/>
      <c r="T36" s="47"/>
      <c r="U36" s="47"/>
      <c r="V36" s="47"/>
      <c r="W36" s="47"/>
      <c r="X36" s="47"/>
      <c r="Y36" s="47"/>
    </row>
    <row r="37" spans="1:25" ht="30.75" customHeight="1">
      <c r="A37" s="47"/>
      <c r="B37" s="47" t="s">
        <v>184</v>
      </c>
      <c r="C37" s="47">
        <v>28</v>
      </c>
      <c r="D37" s="47">
        <v>2004</v>
      </c>
      <c r="E37" s="47">
        <v>2004</v>
      </c>
      <c r="F37" s="47">
        <v>662</v>
      </c>
      <c r="G37" s="47">
        <v>2889010</v>
      </c>
      <c r="H37" s="47">
        <v>22.9</v>
      </c>
      <c r="I37" s="47">
        <v>23.9</v>
      </c>
      <c r="J37" s="47" t="s">
        <v>2169</v>
      </c>
      <c r="K37" s="47"/>
      <c r="L37" s="47"/>
      <c r="M37" s="47"/>
      <c r="N37" s="47"/>
      <c r="O37" s="47"/>
      <c r="P37" s="47"/>
      <c r="Q37" s="47"/>
      <c r="R37" s="47"/>
      <c r="S37" s="47"/>
      <c r="T37" s="47"/>
      <c r="U37" s="47"/>
      <c r="V37" s="47"/>
      <c r="W37" s="47"/>
      <c r="X37" s="47"/>
      <c r="Y37" s="47"/>
    </row>
    <row r="38" spans="1:25" ht="30.75" customHeight="1">
      <c r="A38" s="47"/>
      <c r="B38" s="47" t="s">
        <v>99</v>
      </c>
      <c r="C38" s="47">
        <v>22</v>
      </c>
      <c r="D38" s="47">
        <v>2003</v>
      </c>
      <c r="E38" s="47">
        <v>2003</v>
      </c>
      <c r="F38" s="47">
        <v>1065</v>
      </c>
      <c r="G38" s="47">
        <v>4521042</v>
      </c>
      <c r="H38" s="47">
        <v>23.6</v>
      </c>
      <c r="I38" s="47">
        <v>25.4</v>
      </c>
      <c r="J38" s="47" t="s">
        <v>2154</v>
      </c>
      <c r="K38" s="47"/>
      <c r="L38" s="47"/>
      <c r="M38" s="47"/>
      <c r="N38" s="47"/>
      <c r="O38" s="47"/>
      <c r="P38" s="47"/>
      <c r="Q38" s="47"/>
      <c r="R38" s="47"/>
      <c r="S38" s="47"/>
      <c r="T38" s="47"/>
      <c r="U38" s="47"/>
      <c r="V38" s="47"/>
      <c r="W38" s="47"/>
      <c r="X38" s="47"/>
      <c r="Y38" s="47"/>
    </row>
    <row r="39" spans="1:25" ht="30.75" customHeight="1">
      <c r="A39" s="47"/>
      <c r="B39" s="47" t="s">
        <v>184</v>
      </c>
      <c r="C39" s="47">
        <v>28</v>
      </c>
      <c r="D39" s="47">
        <v>2003</v>
      </c>
      <c r="E39" s="47">
        <v>2003</v>
      </c>
      <c r="F39" s="47">
        <v>676</v>
      </c>
      <c r="G39" s="47">
        <v>2868312</v>
      </c>
      <c r="H39" s="47">
        <v>23.6</v>
      </c>
      <c r="I39" s="47">
        <v>24.8</v>
      </c>
      <c r="J39" s="47" t="s">
        <v>2170</v>
      </c>
      <c r="K39" s="47"/>
      <c r="L39" s="47"/>
      <c r="M39" s="47"/>
      <c r="N39" s="47"/>
      <c r="O39" s="47"/>
      <c r="P39" s="47"/>
      <c r="Q39" s="47"/>
      <c r="R39" s="47"/>
      <c r="S39" s="47"/>
      <c r="T39" s="47"/>
      <c r="U39" s="47"/>
      <c r="V39" s="47"/>
      <c r="W39" s="47"/>
      <c r="X39" s="47"/>
      <c r="Y39" s="47"/>
    </row>
    <row r="40" spans="1:25" ht="30.75" customHeight="1">
      <c r="A40" s="47"/>
      <c r="B40" s="47" t="s">
        <v>99</v>
      </c>
      <c r="C40" s="47">
        <v>22</v>
      </c>
      <c r="D40" s="47">
        <v>2002</v>
      </c>
      <c r="E40" s="47">
        <v>2002</v>
      </c>
      <c r="F40" s="47">
        <v>983</v>
      </c>
      <c r="G40" s="47">
        <v>4497267</v>
      </c>
      <c r="H40" s="47">
        <v>21.9</v>
      </c>
      <c r="I40" s="47">
        <v>23.9</v>
      </c>
      <c r="J40" s="47" t="s">
        <v>2154</v>
      </c>
      <c r="K40" s="47"/>
      <c r="L40" s="47"/>
      <c r="M40" s="47"/>
      <c r="N40" s="47"/>
      <c r="O40" s="47"/>
      <c r="P40" s="47"/>
      <c r="Q40" s="47"/>
      <c r="R40" s="47"/>
      <c r="S40" s="47"/>
      <c r="T40" s="47"/>
      <c r="U40" s="47"/>
      <c r="V40" s="47"/>
      <c r="W40" s="47"/>
      <c r="X40" s="47"/>
      <c r="Y40" s="47"/>
    </row>
    <row r="41" spans="1:25" ht="30.75" customHeight="1">
      <c r="A41" s="47"/>
      <c r="B41" s="47" t="s">
        <v>184</v>
      </c>
      <c r="C41" s="47">
        <v>28</v>
      </c>
      <c r="D41" s="47">
        <v>2002</v>
      </c>
      <c r="E41" s="47">
        <v>2002</v>
      </c>
      <c r="F41" s="47">
        <v>580</v>
      </c>
      <c r="G41" s="47">
        <v>2858681</v>
      </c>
      <c r="H41" s="47">
        <v>20.3</v>
      </c>
      <c r="I41" s="47">
        <v>21.2</v>
      </c>
      <c r="J41" s="47" t="s">
        <v>2171</v>
      </c>
      <c r="K41" s="47"/>
      <c r="L41" s="47"/>
      <c r="M41" s="47"/>
      <c r="N41" s="47"/>
      <c r="O41" s="47"/>
      <c r="P41" s="47"/>
      <c r="Q41" s="47"/>
      <c r="R41" s="47"/>
      <c r="S41" s="47"/>
      <c r="T41" s="47"/>
      <c r="U41" s="47"/>
      <c r="V41" s="47"/>
      <c r="W41" s="47"/>
      <c r="X41" s="47"/>
      <c r="Y41" s="47"/>
    </row>
    <row r="42" spans="1:25" ht="30.75" customHeight="1">
      <c r="A42" s="47"/>
      <c r="B42" s="47" t="s">
        <v>99</v>
      </c>
      <c r="C42" s="47">
        <v>22</v>
      </c>
      <c r="D42" s="47">
        <v>2001</v>
      </c>
      <c r="E42" s="47">
        <v>2001</v>
      </c>
      <c r="F42" s="47">
        <v>993</v>
      </c>
      <c r="G42" s="47">
        <v>4477875</v>
      </c>
      <c r="H42" s="47">
        <v>22.2</v>
      </c>
      <c r="I42" s="47">
        <v>24.3</v>
      </c>
      <c r="J42" s="47" t="s">
        <v>2172</v>
      </c>
      <c r="K42" s="47"/>
      <c r="L42" s="47"/>
      <c r="M42" s="47"/>
      <c r="N42" s="47"/>
      <c r="O42" s="47"/>
      <c r="P42" s="47"/>
      <c r="Q42" s="47"/>
      <c r="R42" s="47"/>
      <c r="S42" s="47"/>
      <c r="T42" s="47"/>
      <c r="U42" s="47"/>
      <c r="V42" s="47"/>
      <c r="W42" s="47"/>
      <c r="X42" s="47"/>
      <c r="Y42" s="47"/>
    </row>
    <row r="43" spans="1:25" ht="30.75" customHeight="1">
      <c r="A43" s="47"/>
      <c r="B43" s="47" t="s">
        <v>184</v>
      </c>
      <c r="C43" s="47">
        <v>28</v>
      </c>
      <c r="D43" s="47">
        <v>2001</v>
      </c>
      <c r="E43" s="47">
        <v>2001</v>
      </c>
      <c r="F43" s="47">
        <v>602</v>
      </c>
      <c r="G43" s="47">
        <v>2852994</v>
      </c>
      <c r="H43" s="47">
        <v>21.1</v>
      </c>
      <c r="I43" s="47">
        <v>22.2</v>
      </c>
      <c r="J43" s="47" t="s">
        <v>2173</v>
      </c>
      <c r="K43" s="47"/>
      <c r="L43" s="47"/>
      <c r="M43" s="47"/>
      <c r="N43" s="47"/>
      <c r="O43" s="47"/>
      <c r="P43" s="47"/>
      <c r="Q43" s="47"/>
      <c r="R43" s="47"/>
      <c r="S43" s="47"/>
      <c r="T43" s="47"/>
      <c r="U43" s="47"/>
      <c r="V43" s="47"/>
      <c r="W43" s="47"/>
      <c r="X43" s="47"/>
      <c r="Y43" s="47"/>
    </row>
    <row r="44" spans="1:25" ht="30.75" customHeight="1">
      <c r="A44" s="47"/>
      <c r="B44" s="47" t="s">
        <v>99</v>
      </c>
      <c r="C44" s="47">
        <v>22</v>
      </c>
      <c r="D44" s="47">
        <v>2000</v>
      </c>
      <c r="E44" s="47">
        <v>2000</v>
      </c>
      <c r="F44" s="47">
        <v>920</v>
      </c>
      <c r="G44" s="47">
        <v>4468976</v>
      </c>
      <c r="H44" s="47">
        <v>20.6</v>
      </c>
      <c r="I44" s="47">
        <v>22.8</v>
      </c>
      <c r="J44" s="47" t="s">
        <v>2174</v>
      </c>
      <c r="K44" s="47"/>
      <c r="L44" s="47"/>
      <c r="M44" s="47"/>
      <c r="N44" s="47"/>
      <c r="O44" s="47"/>
      <c r="P44" s="47"/>
      <c r="Q44" s="47"/>
      <c r="R44" s="47"/>
      <c r="S44" s="47"/>
      <c r="T44" s="47"/>
      <c r="U44" s="47"/>
      <c r="V44" s="47"/>
      <c r="W44" s="47"/>
      <c r="X44" s="47"/>
      <c r="Y44" s="47"/>
    </row>
    <row r="45" spans="1:25" ht="30.75" customHeight="1">
      <c r="A45" s="47"/>
      <c r="B45" s="47" t="s">
        <v>184</v>
      </c>
      <c r="C45" s="47">
        <v>28</v>
      </c>
      <c r="D45" s="47">
        <v>2000</v>
      </c>
      <c r="E45" s="47">
        <v>2000</v>
      </c>
      <c r="F45" s="47">
        <v>612</v>
      </c>
      <c r="G45" s="47">
        <v>2844658</v>
      </c>
      <c r="H45" s="47">
        <v>21.5</v>
      </c>
      <c r="I45" s="47">
        <v>22.6</v>
      </c>
      <c r="J45" s="47" t="s">
        <v>2154</v>
      </c>
      <c r="K45" s="47"/>
      <c r="L45" s="47"/>
      <c r="M45" s="47"/>
      <c r="N45" s="47"/>
      <c r="O45" s="47"/>
      <c r="P45" s="47"/>
      <c r="Q45" s="47"/>
      <c r="R45" s="47"/>
      <c r="S45" s="47"/>
      <c r="T45" s="47"/>
      <c r="U45" s="47"/>
      <c r="V45" s="47"/>
      <c r="W45" s="47"/>
      <c r="X45" s="47"/>
      <c r="Y45" s="47"/>
    </row>
    <row r="46" spans="1:25" ht="30.75" customHeight="1">
      <c r="A46" s="47"/>
      <c r="B46" s="47" t="s">
        <v>99</v>
      </c>
      <c r="C46" s="47">
        <v>22</v>
      </c>
      <c r="D46" s="47">
        <v>1999</v>
      </c>
      <c r="E46" s="47">
        <v>1999</v>
      </c>
      <c r="F46" s="47">
        <v>911</v>
      </c>
      <c r="G46" s="47">
        <v>4460811</v>
      </c>
      <c r="H46" s="47">
        <v>20.399999999999999</v>
      </c>
      <c r="I46" s="47">
        <v>22.9</v>
      </c>
      <c r="J46" s="47" t="s">
        <v>2175</v>
      </c>
      <c r="K46" s="47"/>
      <c r="L46" s="47"/>
      <c r="M46" s="47"/>
      <c r="N46" s="47"/>
      <c r="O46" s="47"/>
      <c r="P46" s="47"/>
      <c r="Q46" s="47"/>
      <c r="R46" s="47"/>
      <c r="S46" s="47"/>
      <c r="T46" s="47"/>
      <c r="U46" s="47"/>
      <c r="V46" s="47"/>
      <c r="W46" s="47"/>
      <c r="X46" s="47"/>
      <c r="Y46" s="47"/>
    </row>
    <row r="47" spans="1:25" ht="30.75" customHeight="1">
      <c r="A47" s="47"/>
      <c r="B47" s="47" t="s">
        <v>184</v>
      </c>
      <c r="C47" s="47">
        <v>28</v>
      </c>
      <c r="D47" s="47">
        <v>1999</v>
      </c>
      <c r="E47" s="47">
        <v>1999</v>
      </c>
      <c r="F47" s="47">
        <v>623</v>
      </c>
      <c r="G47" s="47">
        <v>2828408</v>
      </c>
      <c r="H47" s="47">
        <v>22</v>
      </c>
      <c r="I47" s="47">
        <v>23.2</v>
      </c>
      <c r="J47" s="47" t="s">
        <v>2176</v>
      </c>
      <c r="K47" s="47"/>
      <c r="L47" s="47"/>
      <c r="M47" s="47"/>
      <c r="N47" s="47"/>
      <c r="O47" s="47"/>
      <c r="P47" s="47"/>
      <c r="Q47" s="47"/>
      <c r="R47" s="47"/>
      <c r="S47" s="47"/>
      <c r="T47" s="47"/>
      <c r="U47" s="47"/>
      <c r="V47" s="47"/>
      <c r="W47" s="47"/>
      <c r="X47" s="47"/>
      <c r="Y47" s="47"/>
    </row>
    <row r="48" spans="1:25" ht="30.75" customHeight="1">
      <c r="A48" s="47" t="s">
        <v>2132</v>
      </c>
      <c r="B48" s="47" t="s">
        <v>99</v>
      </c>
      <c r="C48" s="47">
        <v>22</v>
      </c>
      <c r="D48" s="47"/>
      <c r="E48" s="47"/>
      <c r="F48" s="47">
        <v>24246</v>
      </c>
      <c r="G48" s="47">
        <v>100136377</v>
      </c>
      <c r="H48" s="47">
        <v>24.2</v>
      </c>
      <c r="I48" s="47">
        <v>24</v>
      </c>
      <c r="J48" s="47" t="s">
        <v>2177</v>
      </c>
      <c r="K48" s="47"/>
      <c r="L48" s="47"/>
      <c r="M48" s="47"/>
      <c r="N48" s="47"/>
      <c r="O48" s="47"/>
      <c r="P48" s="47"/>
      <c r="Q48" s="47"/>
      <c r="R48" s="47"/>
      <c r="S48" s="47"/>
      <c r="T48" s="47"/>
      <c r="U48" s="47"/>
      <c r="V48" s="47"/>
      <c r="W48" s="47"/>
      <c r="X48" s="47"/>
      <c r="Y48" s="47"/>
    </row>
    <row r="49" spans="1:25" ht="30.75" customHeight="1">
      <c r="A49" s="47" t="s">
        <v>2132</v>
      </c>
      <c r="B49" s="47" t="s">
        <v>184</v>
      </c>
      <c r="C49" s="47">
        <v>28</v>
      </c>
      <c r="D49" s="47"/>
      <c r="E49" s="47"/>
      <c r="F49" s="47">
        <v>15331</v>
      </c>
      <c r="G49" s="47">
        <v>64598559</v>
      </c>
      <c r="H49" s="47">
        <v>23.7</v>
      </c>
      <c r="I49" s="47">
        <v>22.8</v>
      </c>
      <c r="J49" s="47" t="s">
        <v>2178</v>
      </c>
      <c r="K49" s="47"/>
      <c r="L49" s="47"/>
      <c r="M49" s="47"/>
      <c r="N49" s="47"/>
      <c r="O49" s="47"/>
      <c r="P49" s="47"/>
      <c r="Q49" s="47"/>
      <c r="R49" s="47"/>
      <c r="S49" s="47"/>
      <c r="T49" s="47"/>
      <c r="U49" s="47"/>
      <c r="V49" s="47"/>
      <c r="W49" s="47"/>
      <c r="X49" s="47"/>
      <c r="Y49" s="47"/>
    </row>
    <row r="50" spans="1:25" ht="30.75" customHeight="1">
      <c r="A50" s="47" t="s">
        <v>2132</v>
      </c>
      <c r="B50" s="47"/>
      <c r="C50" s="47"/>
      <c r="D50" s="47"/>
      <c r="E50" s="47"/>
      <c r="F50" s="47">
        <v>39577</v>
      </c>
      <c r="G50" s="47">
        <v>164734936</v>
      </c>
      <c r="H50" s="47">
        <v>24</v>
      </c>
      <c r="I50" s="47">
        <v>23.5</v>
      </c>
      <c r="J50" s="47" t="s">
        <v>2179</v>
      </c>
      <c r="K50" s="47"/>
      <c r="L50" s="47"/>
      <c r="M50" s="47"/>
      <c r="N50" s="47"/>
      <c r="O50" s="47"/>
      <c r="P50" s="47"/>
      <c r="Q50" s="47"/>
      <c r="R50" s="47"/>
      <c r="S50" s="47"/>
      <c r="T50" s="47"/>
      <c r="U50" s="47"/>
      <c r="V50" s="47"/>
      <c r="W50" s="47"/>
      <c r="X50" s="47"/>
      <c r="Y50" s="47"/>
    </row>
    <row r="51" spans="1:25" ht="30.75" customHeight="1">
      <c r="A51" s="47" t="s">
        <v>2154</v>
      </c>
      <c r="B51" s="47"/>
      <c r="C51" s="47"/>
      <c r="D51" s="47"/>
      <c r="E51" s="47"/>
      <c r="F51" s="47"/>
      <c r="G51" s="47"/>
      <c r="H51" s="47"/>
      <c r="I51" s="47"/>
      <c r="J51" s="47" t="s">
        <v>2180</v>
      </c>
      <c r="K51" s="47"/>
      <c r="L51" s="47"/>
      <c r="M51" s="47"/>
      <c r="N51" s="47"/>
      <c r="O51" s="47"/>
      <c r="P51" s="47"/>
      <c r="Q51" s="47"/>
      <c r="R51" s="47"/>
      <c r="S51" s="47"/>
      <c r="T51" s="47"/>
      <c r="U51" s="47"/>
      <c r="V51" s="47"/>
      <c r="W51" s="47"/>
      <c r="X51" s="47"/>
      <c r="Y51" s="47"/>
    </row>
    <row r="52" spans="1:25" ht="30.75" customHeight="1">
      <c r="A52" s="47" t="s">
        <v>2181</v>
      </c>
      <c r="B52" s="47"/>
      <c r="C52" s="47"/>
      <c r="D52" s="47"/>
      <c r="E52" s="47"/>
      <c r="F52" s="47"/>
      <c r="G52" s="47"/>
      <c r="H52" s="47"/>
      <c r="I52" s="47"/>
      <c r="J52" s="47" t="s">
        <v>2182</v>
      </c>
      <c r="K52" s="47"/>
      <c r="L52" s="47"/>
      <c r="M52" s="47"/>
      <c r="N52" s="47"/>
      <c r="O52" s="47"/>
      <c r="P52" s="47"/>
      <c r="Q52" s="47"/>
      <c r="R52" s="47"/>
      <c r="S52" s="47"/>
      <c r="T52" s="47"/>
      <c r="U52" s="47"/>
      <c r="V52" s="47"/>
      <c r="W52" s="47"/>
      <c r="X52" s="47"/>
      <c r="Y52" s="47"/>
    </row>
    <row r="53" spans="1:25" ht="30.75" customHeight="1">
      <c r="A53" s="47" t="s">
        <v>2156</v>
      </c>
      <c r="B53" s="47"/>
      <c r="C53" s="47"/>
      <c r="D53" s="47"/>
      <c r="E53" s="47"/>
      <c r="F53" s="47"/>
      <c r="G53" s="47"/>
      <c r="H53" s="47"/>
      <c r="I53" s="47"/>
      <c r="J53" s="47" t="s">
        <v>2183</v>
      </c>
      <c r="K53" s="47"/>
      <c r="L53" s="47"/>
      <c r="M53" s="47"/>
      <c r="N53" s="47"/>
      <c r="O53" s="47"/>
      <c r="P53" s="47"/>
      <c r="Q53" s="47"/>
      <c r="R53" s="47"/>
      <c r="S53" s="47"/>
      <c r="T53" s="47"/>
      <c r="U53" s="47"/>
      <c r="V53" s="47"/>
      <c r="W53" s="47"/>
      <c r="X53" s="47"/>
      <c r="Y53" s="47"/>
    </row>
    <row r="54" spans="1:25" ht="30.75" customHeight="1">
      <c r="A54" s="47" t="s">
        <v>2157</v>
      </c>
      <c r="B54" s="47"/>
      <c r="C54" s="47"/>
      <c r="D54" s="47"/>
      <c r="E54" s="47"/>
      <c r="F54" s="47"/>
      <c r="G54" s="47"/>
      <c r="H54" s="47"/>
      <c r="I54" s="47"/>
      <c r="J54" s="47" t="s">
        <v>2184</v>
      </c>
      <c r="K54" s="47"/>
      <c r="L54" s="47"/>
      <c r="M54" s="47"/>
      <c r="N54" s="47"/>
      <c r="O54" s="47"/>
      <c r="P54" s="47"/>
      <c r="Q54" s="47"/>
      <c r="R54" s="47"/>
      <c r="S54" s="47"/>
      <c r="T54" s="47"/>
      <c r="U54" s="47"/>
      <c r="V54" s="47"/>
      <c r="W54" s="47"/>
      <c r="X54" s="47"/>
      <c r="Y54" s="47"/>
    </row>
    <row r="55" spans="1:25" ht="30.75" customHeight="1">
      <c r="A55" s="47" t="s">
        <v>2158</v>
      </c>
      <c r="B55" s="47"/>
      <c r="C55" s="47"/>
      <c r="D55" s="47"/>
      <c r="E55" s="47"/>
      <c r="F55" s="47"/>
      <c r="G55" s="47"/>
      <c r="H55" s="47"/>
      <c r="I55" s="47"/>
      <c r="J55" s="47" t="s">
        <v>2185</v>
      </c>
      <c r="K55" s="47"/>
      <c r="L55" s="47"/>
      <c r="M55" s="47"/>
      <c r="N55" s="47"/>
      <c r="O55" s="47"/>
      <c r="P55" s="47"/>
      <c r="Q55" s="47"/>
      <c r="R55" s="47"/>
      <c r="S55" s="47"/>
      <c r="T55" s="47"/>
      <c r="U55" s="47"/>
      <c r="V55" s="47"/>
      <c r="W55" s="47"/>
      <c r="X55" s="47"/>
      <c r="Y55" s="47"/>
    </row>
    <row r="56" spans="1:25" ht="30.75" customHeight="1">
      <c r="A56" s="47" t="s">
        <v>2159</v>
      </c>
      <c r="B56" s="47"/>
      <c r="C56" s="47"/>
      <c r="D56" s="47"/>
      <c r="E56" s="47"/>
      <c r="F56" s="47"/>
      <c r="G56" s="47"/>
      <c r="H56" s="47"/>
      <c r="I56" s="47"/>
      <c r="J56" s="47" t="s">
        <v>2186</v>
      </c>
      <c r="K56" s="47"/>
      <c r="L56" s="47"/>
      <c r="M56" s="47"/>
      <c r="N56" s="47"/>
      <c r="O56" s="47"/>
      <c r="P56" s="47"/>
      <c r="Q56" s="47"/>
      <c r="R56" s="47"/>
      <c r="S56" s="47"/>
      <c r="T56" s="47"/>
      <c r="U56" s="47"/>
      <c r="V56" s="47"/>
      <c r="W56" s="47"/>
      <c r="X56" s="47"/>
      <c r="Y56" s="47"/>
    </row>
    <row r="57" spans="1:25" ht="30.75" customHeight="1">
      <c r="A57" s="47" t="s">
        <v>2160</v>
      </c>
      <c r="B57" s="47"/>
      <c r="C57" s="47"/>
      <c r="D57" s="47"/>
      <c r="E57" s="47"/>
      <c r="F57" s="47"/>
      <c r="G57" s="47"/>
      <c r="H57" s="47"/>
      <c r="I57" s="47"/>
      <c r="J57" s="47" t="s">
        <v>2187</v>
      </c>
      <c r="K57" s="47"/>
      <c r="L57" s="47"/>
      <c r="M57" s="47"/>
      <c r="N57" s="47"/>
      <c r="O57" s="47"/>
      <c r="P57" s="47"/>
      <c r="Q57" s="47"/>
      <c r="R57" s="47"/>
      <c r="S57" s="47"/>
      <c r="T57" s="47"/>
      <c r="U57" s="47"/>
      <c r="V57" s="47"/>
      <c r="W57" s="47"/>
      <c r="X57" s="47"/>
      <c r="Y57" s="47"/>
    </row>
    <row r="58" spans="1:25" ht="30.75" customHeight="1">
      <c r="A58" s="47" t="s">
        <v>2161</v>
      </c>
      <c r="B58" s="47"/>
      <c r="C58" s="47"/>
      <c r="D58" s="47"/>
      <c r="E58" s="47"/>
      <c r="F58" s="47"/>
      <c r="G58" s="47"/>
      <c r="H58" s="47"/>
      <c r="I58" s="47"/>
      <c r="J58" s="47" t="s">
        <v>2188</v>
      </c>
      <c r="K58" s="47"/>
      <c r="L58" s="47"/>
      <c r="M58" s="47"/>
      <c r="N58" s="47"/>
      <c r="O58" s="47"/>
      <c r="P58" s="47"/>
      <c r="Q58" s="47"/>
      <c r="R58" s="47"/>
      <c r="S58" s="47"/>
      <c r="T58" s="47"/>
      <c r="U58" s="47"/>
      <c r="V58" s="47"/>
      <c r="W58" s="47"/>
      <c r="X58" s="47"/>
      <c r="Y58" s="47"/>
    </row>
    <row r="59" spans="1:25" ht="30.75" customHeight="1">
      <c r="A59" s="47" t="s">
        <v>2162</v>
      </c>
      <c r="B59" s="47"/>
      <c r="C59" s="47"/>
      <c r="D59" s="47"/>
      <c r="E59" s="47"/>
      <c r="F59" s="47"/>
      <c r="G59" s="47"/>
      <c r="H59" s="47"/>
      <c r="I59" s="47"/>
      <c r="J59" s="47" t="s">
        <v>2189</v>
      </c>
      <c r="K59" s="47"/>
      <c r="L59" s="47"/>
      <c r="M59" s="47"/>
      <c r="N59" s="47"/>
      <c r="O59" s="47"/>
      <c r="P59" s="47"/>
      <c r="Q59" s="47"/>
      <c r="R59" s="47"/>
      <c r="S59" s="47"/>
      <c r="T59" s="47"/>
      <c r="U59" s="47"/>
      <c r="V59" s="47"/>
      <c r="W59" s="47"/>
      <c r="X59" s="47"/>
      <c r="Y59" s="47"/>
    </row>
    <row r="60" spans="1:25" ht="30.75" customHeight="1">
      <c r="A60" s="47" t="s">
        <v>2163</v>
      </c>
      <c r="B60" s="47"/>
      <c r="C60" s="47"/>
      <c r="D60" s="47"/>
      <c r="E60" s="47"/>
      <c r="F60" s="47"/>
      <c r="G60" s="47"/>
      <c r="H60" s="47"/>
      <c r="I60" s="47"/>
      <c r="J60" s="47" t="s">
        <v>2190</v>
      </c>
      <c r="K60" s="47"/>
      <c r="L60" s="47"/>
      <c r="M60" s="47"/>
      <c r="N60" s="47"/>
      <c r="O60" s="47"/>
      <c r="P60" s="47"/>
      <c r="Q60" s="47"/>
      <c r="R60" s="47"/>
      <c r="S60" s="47"/>
      <c r="T60" s="47"/>
      <c r="U60" s="47"/>
      <c r="V60" s="47"/>
      <c r="W60" s="47"/>
      <c r="X60" s="47"/>
      <c r="Y60" s="47"/>
    </row>
    <row r="61" spans="1:25" ht="30.75" customHeight="1">
      <c r="A61" s="47" t="s">
        <v>2164</v>
      </c>
      <c r="B61" s="47"/>
      <c r="C61" s="47"/>
      <c r="D61" s="47"/>
      <c r="E61" s="47"/>
      <c r="F61" s="47"/>
      <c r="G61" s="47"/>
      <c r="H61" s="47"/>
      <c r="I61" s="47"/>
      <c r="J61" s="47" t="s">
        <v>2191</v>
      </c>
      <c r="K61" s="47"/>
      <c r="L61" s="47"/>
      <c r="M61" s="47"/>
      <c r="N61" s="47"/>
      <c r="O61" s="47"/>
      <c r="P61" s="47"/>
      <c r="Q61" s="47"/>
      <c r="R61" s="47"/>
      <c r="S61" s="47"/>
      <c r="T61" s="47"/>
      <c r="U61" s="47"/>
      <c r="V61" s="47"/>
      <c r="W61" s="47"/>
      <c r="X61" s="47"/>
      <c r="Y61" s="47"/>
    </row>
    <row r="62" spans="1:25" ht="30.75" customHeight="1">
      <c r="A62" s="47" t="s">
        <v>2165</v>
      </c>
      <c r="B62" s="47"/>
      <c r="C62" s="47"/>
      <c r="D62" s="47"/>
      <c r="E62" s="47"/>
      <c r="F62" s="47"/>
      <c r="G62" s="47"/>
      <c r="H62" s="47"/>
      <c r="I62" s="47"/>
      <c r="J62" s="47" t="s">
        <v>2192</v>
      </c>
      <c r="K62" s="47"/>
      <c r="L62" s="47"/>
      <c r="M62" s="47"/>
      <c r="N62" s="47"/>
      <c r="O62" s="47"/>
      <c r="P62" s="47"/>
      <c r="Q62" s="47"/>
      <c r="R62" s="47"/>
      <c r="S62" s="47"/>
      <c r="T62" s="47"/>
      <c r="U62" s="47"/>
      <c r="V62" s="47"/>
      <c r="W62" s="47"/>
      <c r="X62" s="47"/>
      <c r="Y62" s="47"/>
    </row>
    <row r="63" spans="1:25" ht="30.75" customHeight="1">
      <c r="A63" s="47" t="s">
        <v>2166</v>
      </c>
      <c r="B63" s="47"/>
      <c r="C63" s="47"/>
      <c r="D63" s="47"/>
      <c r="E63" s="47"/>
      <c r="F63" s="47"/>
      <c r="G63" s="47"/>
      <c r="H63" s="47"/>
      <c r="I63" s="47"/>
      <c r="J63" s="47" t="s">
        <v>2193</v>
      </c>
      <c r="K63" s="47"/>
      <c r="L63" s="47"/>
      <c r="M63" s="47"/>
      <c r="N63" s="47"/>
      <c r="O63" s="47"/>
      <c r="P63" s="47"/>
      <c r="Q63" s="47"/>
      <c r="R63" s="47"/>
      <c r="S63" s="47"/>
      <c r="T63" s="47"/>
      <c r="U63" s="47"/>
      <c r="V63" s="47"/>
      <c r="W63" s="47"/>
      <c r="X63" s="47"/>
      <c r="Y63" s="47"/>
    </row>
    <row r="64" spans="1:25" ht="30.75" customHeight="1">
      <c r="A64" s="47" t="s">
        <v>2167</v>
      </c>
      <c r="B64" s="47"/>
      <c r="C64" s="47"/>
      <c r="D64" s="47"/>
      <c r="E64" s="47"/>
      <c r="F64" s="47"/>
      <c r="G64" s="47"/>
      <c r="H64" s="47"/>
      <c r="I64" s="47"/>
      <c r="J64" s="47" t="s">
        <v>2194</v>
      </c>
      <c r="K64" s="47"/>
      <c r="L64" s="47"/>
      <c r="M64" s="47"/>
      <c r="N64" s="47"/>
      <c r="O64" s="47"/>
      <c r="P64" s="47"/>
      <c r="Q64" s="47"/>
      <c r="R64" s="47"/>
      <c r="S64" s="47"/>
      <c r="T64" s="47"/>
      <c r="U64" s="47"/>
      <c r="V64" s="47"/>
      <c r="W64" s="47"/>
      <c r="X64" s="47"/>
      <c r="Y64" s="47"/>
    </row>
    <row r="65" spans="1:25" ht="30.75" customHeight="1">
      <c r="A65" s="47" t="s">
        <v>2168</v>
      </c>
      <c r="B65" s="47"/>
      <c r="C65" s="47"/>
      <c r="D65" s="47"/>
      <c r="E65" s="47"/>
      <c r="F65" s="47"/>
      <c r="G65" s="47"/>
      <c r="H65" s="47"/>
      <c r="I65" s="47"/>
      <c r="J65" s="47" t="s">
        <v>2195</v>
      </c>
      <c r="K65" s="47"/>
      <c r="L65" s="47"/>
      <c r="M65" s="47"/>
      <c r="N65" s="47"/>
      <c r="O65" s="47"/>
      <c r="P65" s="47"/>
      <c r="Q65" s="47"/>
      <c r="R65" s="47"/>
      <c r="S65" s="47"/>
      <c r="T65" s="47"/>
      <c r="U65" s="47"/>
      <c r="V65" s="47"/>
      <c r="W65" s="47"/>
      <c r="X65" s="47"/>
      <c r="Y65" s="47"/>
    </row>
    <row r="66" spans="1:25" ht="30.75" customHeight="1">
      <c r="A66" s="47" t="s">
        <v>2154</v>
      </c>
      <c r="B66" s="47"/>
      <c r="C66" s="47"/>
      <c r="D66" s="47"/>
      <c r="E66" s="47"/>
      <c r="F66" s="47"/>
      <c r="G66" s="47"/>
      <c r="H66" s="47"/>
      <c r="I66" s="47"/>
      <c r="J66" s="47" t="s">
        <v>2196</v>
      </c>
      <c r="K66" s="47"/>
      <c r="L66" s="47"/>
      <c r="M66" s="47"/>
      <c r="N66" s="47"/>
      <c r="O66" s="47"/>
      <c r="P66" s="47"/>
      <c r="Q66" s="47"/>
      <c r="R66" s="47"/>
      <c r="S66" s="47"/>
      <c r="T66" s="47"/>
      <c r="U66" s="47"/>
      <c r="V66" s="47"/>
      <c r="W66" s="47"/>
      <c r="X66" s="47"/>
      <c r="Y66" s="47"/>
    </row>
    <row r="67" spans="1:25" ht="30.75" customHeight="1">
      <c r="A67" s="47" t="s">
        <v>2197</v>
      </c>
      <c r="B67" s="47"/>
      <c r="C67" s="47"/>
      <c r="D67" s="47"/>
      <c r="E67" s="47"/>
      <c r="F67" s="47"/>
      <c r="G67" s="47"/>
      <c r="H67" s="47"/>
      <c r="I67" s="47"/>
      <c r="J67" s="47" t="s">
        <v>2198</v>
      </c>
      <c r="K67" s="47"/>
      <c r="L67" s="47"/>
      <c r="M67" s="47"/>
      <c r="N67" s="47"/>
      <c r="O67" s="47"/>
      <c r="P67" s="47"/>
      <c r="Q67" s="47"/>
      <c r="R67" s="47"/>
      <c r="S67" s="47"/>
      <c r="T67" s="47"/>
      <c r="U67" s="47"/>
      <c r="V67" s="47"/>
      <c r="W67" s="47"/>
      <c r="X67" s="47"/>
      <c r="Y67" s="47"/>
    </row>
    <row r="68" spans="1:25" ht="30.75" customHeight="1">
      <c r="A68" s="47" t="s">
        <v>2154</v>
      </c>
      <c r="B68" s="47"/>
      <c r="C68" s="47"/>
      <c r="D68" s="47"/>
      <c r="E68" s="47"/>
      <c r="F68" s="47"/>
      <c r="G68" s="47"/>
      <c r="H68" s="47"/>
      <c r="I68" s="47"/>
      <c r="J68" s="47" t="s">
        <v>2199</v>
      </c>
      <c r="K68" s="47"/>
      <c r="L68" s="47"/>
      <c r="M68" s="47"/>
      <c r="N68" s="47"/>
      <c r="O68" s="47"/>
      <c r="P68" s="47"/>
      <c r="Q68" s="47"/>
      <c r="R68" s="47"/>
      <c r="S68" s="47"/>
      <c r="T68" s="47"/>
      <c r="U68" s="47"/>
      <c r="V68" s="47"/>
      <c r="W68" s="47"/>
      <c r="X68" s="47"/>
      <c r="Y68" s="47"/>
    </row>
    <row r="69" spans="1:25" ht="30.75" customHeight="1">
      <c r="A69" s="47" t="s">
        <v>2200</v>
      </c>
      <c r="B69" s="47"/>
      <c r="C69" s="47"/>
      <c r="D69" s="47"/>
      <c r="E69" s="47"/>
      <c r="F69" s="47"/>
      <c r="G69" s="47"/>
      <c r="H69" s="47"/>
      <c r="I69" s="47"/>
      <c r="J69" s="47" t="s">
        <v>2201</v>
      </c>
      <c r="K69" s="47"/>
      <c r="L69" s="47"/>
      <c r="M69" s="47"/>
      <c r="N69" s="47"/>
      <c r="O69" s="47"/>
      <c r="P69" s="47"/>
      <c r="Q69" s="47"/>
      <c r="R69" s="47"/>
      <c r="S69" s="47"/>
      <c r="T69" s="47"/>
      <c r="U69" s="47"/>
      <c r="V69" s="47"/>
      <c r="W69" s="47"/>
      <c r="X69" s="47"/>
      <c r="Y69" s="47"/>
    </row>
    <row r="70" spans="1:25" ht="30.75" customHeight="1">
      <c r="A70" s="47" t="s">
        <v>2154</v>
      </c>
      <c r="B70" s="47"/>
      <c r="C70" s="47"/>
      <c r="D70" s="47"/>
      <c r="E70" s="47"/>
      <c r="F70" s="47"/>
      <c r="G70" s="47"/>
      <c r="H70" s="47"/>
      <c r="I70" s="47"/>
      <c r="J70" s="47" t="s">
        <v>2202</v>
      </c>
      <c r="K70" s="47"/>
      <c r="L70" s="47"/>
      <c r="M70" s="47"/>
      <c r="N70" s="47"/>
      <c r="O70" s="47"/>
      <c r="P70" s="47"/>
      <c r="Q70" s="47"/>
      <c r="R70" s="47"/>
      <c r="S70" s="47"/>
      <c r="T70" s="47"/>
      <c r="U70" s="47"/>
      <c r="V70" s="47"/>
      <c r="W70" s="47"/>
      <c r="X70" s="47"/>
      <c r="Y70" s="47"/>
    </row>
    <row r="71" spans="1:25" ht="30.75" customHeight="1">
      <c r="A71" s="47" t="s">
        <v>2171</v>
      </c>
      <c r="B71" s="47"/>
      <c r="C71" s="47"/>
      <c r="D71" s="47"/>
      <c r="E71" s="47"/>
      <c r="F71" s="47"/>
      <c r="G71" s="47"/>
      <c r="H71" s="47"/>
      <c r="I71" s="47"/>
      <c r="J71" s="47" t="s">
        <v>2203</v>
      </c>
      <c r="K71" s="47"/>
      <c r="L71" s="47"/>
      <c r="M71" s="47"/>
      <c r="N71" s="47"/>
      <c r="O71" s="47"/>
      <c r="P71" s="47"/>
      <c r="Q71" s="47"/>
      <c r="R71" s="47"/>
      <c r="S71" s="47"/>
      <c r="T71" s="47"/>
      <c r="U71" s="47"/>
      <c r="V71" s="47"/>
      <c r="W71" s="47"/>
      <c r="X71" s="47"/>
      <c r="Y71" s="47"/>
    </row>
    <row r="72" spans="1:25" ht="30.75" customHeight="1">
      <c r="A72" s="47" t="s">
        <v>2204</v>
      </c>
      <c r="B72" s="47"/>
      <c r="C72" s="47"/>
      <c r="D72" s="47"/>
      <c r="E72" s="47"/>
      <c r="F72" s="47"/>
      <c r="G72" s="47"/>
      <c r="H72" s="47"/>
      <c r="I72" s="47"/>
      <c r="J72" s="47" t="s">
        <v>2205</v>
      </c>
      <c r="K72" s="47"/>
      <c r="L72" s="47"/>
      <c r="M72" s="47"/>
      <c r="N72" s="47"/>
      <c r="O72" s="47"/>
      <c r="P72" s="47"/>
      <c r="Q72" s="47"/>
      <c r="R72" s="47"/>
      <c r="S72" s="47"/>
      <c r="T72" s="47"/>
      <c r="U72" s="47"/>
      <c r="V72" s="47"/>
      <c r="W72" s="47"/>
      <c r="X72" s="47"/>
      <c r="Y72" s="47"/>
    </row>
    <row r="73" spans="1:25" ht="30.75" customHeight="1">
      <c r="A73" s="47" t="s">
        <v>2206</v>
      </c>
      <c r="B73" s="47"/>
      <c r="C73" s="47"/>
      <c r="D73" s="47"/>
      <c r="E73" s="47"/>
      <c r="F73" s="47"/>
      <c r="G73" s="47"/>
      <c r="H73" s="47"/>
      <c r="I73" s="47"/>
      <c r="J73" s="47" t="s">
        <v>2207</v>
      </c>
      <c r="K73" s="47"/>
      <c r="L73" s="47"/>
      <c r="M73" s="47"/>
      <c r="N73" s="47"/>
      <c r="O73" s="47"/>
      <c r="P73" s="47"/>
      <c r="Q73" s="47"/>
      <c r="R73" s="47"/>
      <c r="S73" s="47"/>
      <c r="T73" s="47"/>
      <c r="U73" s="47"/>
      <c r="V73" s="47"/>
      <c r="W73" s="47"/>
      <c r="X73" s="47"/>
      <c r="Y73" s="47"/>
    </row>
    <row r="74" spans="1:25" ht="30.75" customHeight="1">
      <c r="A74" s="47" t="s">
        <v>2208</v>
      </c>
      <c r="B74" s="47"/>
      <c r="C74" s="47"/>
      <c r="D74" s="47"/>
      <c r="E74" s="47"/>
      <c r="F74" s="47"/>
      <c r="G74" s="47"/>
      <c r="H74" s="47"/>
      <c r="I74" s="47"/>
      <c r="J74" s="47" t="s">
        <v>2209</v>
      </c>
      <c r="K74" s="47"/>
      <c r="L74" s="47"/>
      <c r="M74" s="47"/>
      <c r="N74" s="47"/>
      <c r="O74" s="47"/>
      <c r="P74" s="47"/>
      <c r="Q74" s="47"/>
      <c r="R74" s="47"/>
      <c r="S74" s="47"/>
      <c r="T74" s="47"/>
      <c r="U74" s="47"/>
      <c r="V74" s="47"/>
      <c r="W74" s="47"/>
      <c r="X74" s="47"/>
      <c r="Y74" s="47"/>
    </row>
    <row r="75" spans="1:25" ht="30.75" customHeight="1">
      <c r="A75" s="47" t="s">
        <v>2154</v>
      </c>
      <c r="B75" s="47"/>
      <c r="C75" s="47"/>
      <c r="D75" s="47"/>
      <c r="E75" s="47"/>
      <c r="F75" s="47"/>
      <c r="G75" s="47"/>
      <c r="H75" s="47"/>
      <c r="I75" s="47"/>
      <c r="J75" s="47" t="s">
        <v>2210</v>
      </c>
      <c r="K75" s="47"/>
      <c r="L75" s="47"/>
      <c r="M75" s="47"/>
      <c r="N75" s="47"/>
      <c r="O75" s="47"/>
      <c r="P75" s="47"/>
      <c r="Q75" s="47"/>
      <c r="R75" s="47"/>
      <c r="S75" s="47"/>
      <c r="T75" s="47"/>
      <c r="U75" s="47"/>
      <c r="V75" s="47"/>
      <c r="W75" s="47"/>
      <c r="X75" s="47"/>
      <c r="Y75" s="47"/>
    </row>
    <row r="76" spans="1:25" ht="30.75" customHeight="1">
      <c r="A76" s="47" t="s">
        <v>2175</v>
      </c>
      <c r="B76" s="47"/>
      <c r="C76" s="47"/>
      <c r="D76" s="47"/>
      <c r="E76" s="47"/>
      <c r="F76" s="47"/>
      <c r="G76" s="47"/>
      <c r="H76" s="47"/>
      <c r="I76" s="47"/>
      <c r="J76" s="47" t="s">
        <v>2211</v>
      </c>
      <c r="K76" s="47"/>
      <c r="L76" s="47"/>
      <c r="M76" s="47"/>
      <c r="N76" s="47"/>
      <c r="O76" s="47"/>
      <c r="P76" s="47"/>
      <c r="Q76" s="47"/>
      <c r="R76" s="47"/>
      <c r="S76" s="47"/>
      <c r="T76" s="47"/>
      <c r="U76" s="47"/>
      <c r="V76" s="47"/>
      <c r="W76" s="47"/>
      <c r="X76" s="47"/>
      <c r="Y76" s="47"/>
    </row>
    <row r="77" spans="1:25" ht="30.75" customHeight="1">
      <c r="A77" s="47" t="s">
        <v>2212</v>
      </c>
      <c r="B77" s="47"/>
      <c r="C77" s="47"/>
      <c r="D77" s="47"/>
      <c r="E77" s="47"/>
      <c r="F77" s="47"/>
      <c r="G77" s="47"/>
      <c r="H77" s="47"/>
      <c r="I77" s="47"/>
      <c r="J77" s="47" t="s">
        <v>2213</v>
      </c>
      <c r="K77" s="47"/>
      <c r="L77" s="47"/>
      <c r="M77" s="47"/>
      <c r="N77" s="47"/>
      <c r="O77" s="47"/>
      <c r="P77" s="47"/>
      <c r="Q77" s="47"/>
      <c r="R77" s="47"/>
      <c r="S77" s="47"/>
      <c r="T77" s="47"/>
      <c r="U77" s="47"/>
      <c r="V77" s="47"/>
      <c r="W77" s="47"/>
      <c r="X77" s="47"/>
      <c r="Y77" s="47"/>
    </row>
    <row r="78" spans="1:25" ht="30.75" customHeight="1">
      <c r="A78" s="47" t="s">
        <v>2214</v>
      </c>
      <c r="B78" s="47"/>
      <c r="C78" s="47"/>
      <c r="D78" s="47"/>
      <c r="E78" s="47"/>
      <c r="F78" s="47"/>
      <c r="G78" s="47"/>
      <c r="H78" s="47"/>
      <c r="I78" s="47"/>
      <c r="J78" s="47" t="s">
        <v>2215</v>
      </c>
      <c r="K78" s="47"/>
      <c r="L78" s="47"/>
      <c r="M78" s="47"/>
      <c r="N78" s="47"/>
      <c r="O78" s="47"/>
      <c r="P78" s="47"/>
      <c r="Q78" s="47"/>
      <c r="R78" s="47"/>
      <c r="S78" s="47"/>
      <c r="T78" s="47"/>
      <c r="U78" s="47"/>
      <c r="V78" s="47"/>
      <c r="W78" s="47"/>
      <c r="X78" s="47"/>
      <c r="Y78" s="47"/>
    </row>
    <row r="79" spans="1:25" ht="30.75" customHeight="1">
      <c r="A79" s="47" t="s">
        <v>2216</v>
      </c>
      <c r="B79" s="47"/>
      <c r="C79" s="47"/>
      <c r="D79" s="47"/>
      <c r="E79" s="47"/>
      <c r="F79" s="47"/>
      <c r="G79" s="47"/>
      <c r="H79" s="47"/>
      <c r="I79" s="47"/>
      <c r="J79" s="47" t="s">
        <v>2217</v>
      </c>
      <c r="K79" s="47"/>
      <c r="L79" s="47"/>
      <c r="M79" s="47"/>
      <c r="N79" s="47"/>
      <c r="O79" s="47"/>
      <c r="P79" s="47"/>
      <c r="Q79" s="47"/>
      <c r="R79" s="47"/>
      <c r="S79" s="47"/>
      <c r="T79" s="47"/>
      <c r="U79" s="47"/>
      <c r="V79" s="47"/>
      <c r="W79" s="47"/>
      <c r="X79" s="47"/>
      <c r="Y79" s="47"/>
    </row>
    <row r="80" spans="1:25" ht="30.75" customHeight="1">
      <c r="A80" s="47" t="s">
        <v>2218</v>
      </c>
      <c r="B80" s="47"/>
      <c r="C80" s="47"/>
      <c r="D80" s="47"/>
      <c r="E80" s="47"/>
      <c r="F80" s="47"/>
      <c r="G80" s="47"/>
      <c r="H80" s="47"/>
      <c r="I80" s="47"/>
      <c r="J80" s="47" t="s">
        <v>2219</v>
      </c>
      <c r="K80" s="47"/>
      <c r="L80" s="47"/>
      <c r="M80" s="47"/>
      <c r="N80" s="47"/>
      <c r="O80" s="47"/>
      <c r="P80" s="47"/>
      <c r="Q80" s="47"/>
      <c r="R80" s="47"/>
      <c r="S80" s="47"/>
      <c r="T80" s="47"/>
      <c r="U80" s="47"/>
      <c r="V80" s="47"/>
      <c r="W80" s="47"/>
      <c r="X80" s="47"/>
      <c r="Y80" s="47"/>
    </row>
    <row r="81" spans="1:25" ht="30.75" customHeight="1">
      <c r="A81" s="47" t="s">
        <v>2220</v>
      </c>
      <c r="B81" s="47"/>
      <c r="C81" s="47"/>
      <c r="D81" s="47"/>
      <c r="E81" s="47"/>
      <c r="F81" s="47"/>
      <c r="G81" s="47"/>
      <c r="H81" s="47"/>
      <c r="I81" s="47"/>
      <c r="J81" s="47" t="s">
        <v>2221</v>
      </c>
      <c r="K81" s="47"/>
      <c r="L81" s="47"/>
      <c r="M81" s="47"/>
      <c r="N81" s="47"/>
      <c r="O81" s="47"/>
      <c r="P81" s="47"/>
      <c r="Q81" s="47"/>
      <c r="R81" s="47"/>
      <c r="S81" s="47"/>
      <c r="T81" s="47"/>
      <c r="U81" s="47"/>
      <c r="V81" s="47"/>
      <c r="W81" s="47"/>
      <c r="X81" s="47"/>
      <c r="Y81" s="47"/>
    </row>
    <row r="82" spans="1:25" ht="30.75" customHeight="1">
      <c r="A82" s="47" t="s">
        <v>2222</v>
      </c>
      <c r="B82" s="47"/>
      <c r="C82" s="47"/>
      <c r="D82" s="47"/>
      <c r="E82" s="47"/>
      <c r="F82" s="47"/>
      <c r="G82" s="47"/>
      <c r="H82" s="47"/>
      <c r="I82" s="47"/>
      <c r="J82" s="47" t="s">
        <v>2223</v>
      </c>
      <c r="K82" s="47"/>
      <c r="L82" s="47"/>
      <c r="M82" s="47"/>
      <c r="N82" s="47"/>
      <c r="O82" s="47"/>
      <c r="P82" s="47"/>
      <c r="Q82" s="47"/>
      <c r="R82" s="47"/>
      <c r="S82" s="47"/>
      <c r="T82" s="47"/>
      <c r="U82" s="47"/>
      <c r="V82" s="47"/>
      <c r="W82" s="47"/>
      <c r="X82" s="47"/>
      <c r="Y82" s="47"/>
    </row>
    <row r="83" spans="1:25" ht="30.75" customHeight="1">
      <c r="A83" s="47" t="s">
        <v>2224</v>
      </c>
      <c r="B83" s="47"/>
      <c r="C83" s="47"/>
      <c r="D83" s="47"/>
      <c r="E83" s="47"/>
      <c r="F83" s="47"/>
      <c r="G83" s="47"/>
      <c r="H83" s="47"/>
      <c r="I83" s="47"/>
      <c r="J83" s="47" t="s">
        <v>2225</v>
      </c>
      <c r="K83" s="47"/>
      <c r="L83" s="47"/>
      <c r="M83" s="47"/>
      <c r="N83" s="47"/>
      <c r="O83" s="47"/>
      <c r="P83" s="47"/>
      <c r="Q83" s="47"/>
      <c r="R83" s="47"/>
      <c r="S83" s="47"/>
      <c r="T83" s="47"/>
      <c r="U83" s="47"/>
      <c r="V83" s="47"/>
      <c r="W83" s="47"/>
      <c r="X83" s="47"/>
      <c r="Y83" s="47"/>
    </row>
    <row r="84" spans="1:25" ht="30.75" customHeight="1">
      <c r="A84" s="47" t="s">
        <v>2226</v>
      </c>
      <c r="B84" s="47"/>
      <c r="C84" s="47"/>
      <c r="D84" s="47"/>
      <c r="E84" s="47"/>
      <c r="F84" s="47"/>
      <c r="G84" s="47"/>
      <c r="H84" s="47"/>
      <c r="I84" s="47"/>
      <c r="J84" s="47" t="s">
        <v>2227</v>
      </c>
      <c r="K84" s="47"/>
      <c r="L84" s="47"/>
      <c r="M84" s="47"/>
      <c r="N84" s="47"/>
      <c r="O84" s="47"/>
      <c r="P84" s="47"/>
      <c r="Q84" s="47"/>
      <c r="R84" s="47"/>
      <c r="S84" s="47"/>
      <c r="T84" s="47"/>
      <c r="U84" s="47"/>
      <c r="V84" s="47"/>
      <c r="W84" s="47"/>
      <c r="X84" s="47"/>
      <c r="Y84" s="47"/>
    </row>
    <row r="85" spans="1:25" ht="30.75" customHeight="1">
      <c r="A85" s="47" t="s">
        <v>2228</v>
      </c>
      <c r="B85" s="47"/>
      <c r="C85" s="47"/>
      <c r="D85" s="47"/>
      <c r="E85" s="47"/>
      <c r="F85" s="47"/>
      <c r="G85" s="47"/>
      <c r="H85" s="47"/>
      <c r="I85" s="47"/>
      <c r="J85" s="47" t="s">
        <v>2229</v>
      </c>
      <c r="K85" s="47"/>
      <c r="L85" s="47"/>
      <c r="M85" s="47"/>
      <c r="N85" s="47"/>
      <c r="O85" s="47"/>
      <c r="P85" s="47"/>
      <c r="Q85" s="47"/>
      <c r="R85" s="47"/>
      <c r="S85" s="47"/>
      <c r="T85" s="47"/>
      <c r="U85" s="47"/>
      <c r="V85" s="47"/>
      <c r="W85" s="47"/>
      <c r="X85" s="47"/>
      <c r="Y85" s="47"/>
    </row>
    <row r="86" spans="1:25" ht="30.75" customHeight="1">
      <c r="A86" s="47" t="s">
        <v>2230</v>
      </c>
      <c r="B86" s="47"/>
      <c r="C86" s="47"/>
      <c r="D86" s="47"/>
      <c r="E86" s="47"/>
      <c r="F86" s="47"/>
      <c r="G86" s="47"/>
      <c r="H86" s="47"/>
      <c r="I86" s="47"/>
      <c r="J86" s="47" t="s">
        <v>2231</v>
      </c>
      <c r="K86" s="47"/>
      <c r="L86" s="47"/>
      <c r="M86" s="47"/>
      <c r="N86" s="47"/>
      <c r="O86" s="47"/>
      <c r="P86" s="47"/>
      <c r="Q86" s="47"/>
      <c r="R86" s="47"/>
      <c r="S86" s="47"/>
      <c r="T86" s="47"/>
      <c r="U86" s="47"/>
      <c r="V86" s="47"/>
      <c r="W86" s="47"/>
      <c r="X86" s="47"/>
      <c r="Y86" s="47"/>
    </row>
    <row r="87" spans="1:25" ht="30.75" customHeight="1">
      <c r="A87" s="47" t="s">
        <v>2232</v>
      </c>
      <c r="B87" s="47"/>
      <c r="C87" s="47"/>
      <c r="D87" s="47"/>
      <c r="E87" s="47"/>
      <c r="F87" s="47"/>
      <c r="G87" s="47"/>
      <c r="H87" s="47"/>
      <c r="I87" s="47"/>
      <c r="J87" s="47"/>
      <c r="K87" s="47"/>
      <c r="L87" s="47"/>
      <c r="M87" s="47"/>
      <c r="N87" s="47"/>
      <c r="O87" s="47"/>
      <c r="P87" s="47"/>
      <c r="Q87" s="47"/>
      <c r="R87" s="47"/>
      <c r="S87" s="47"/>
      <c r="T87" s="47"/>
      <c r="U87" s="47"/>
      <c r="V87" s="47"/>
      <c r="W87" s="47"/>
      <c r="X87" s="47"/>
      <c r="Y87" s="47"/>
    </row>
    <row r="88" spans="1:25" ht="30.75" customHeight="1">
      <c r="A88" s="47" t="s">
        <v>2233</v>
      </c>
      <c r="B88" s="47"/>
      <c r="C88" s="47"/>
      <c r="D88" s="47"/>
      <c r="E88" s="47"/>
      <c r="F88" s="47"/>
      <c r="G88" s="47"/>
      <c r="H88" s="47"/>
      <c r="I88" s="47"/>
      <c r="J88" s="47"/>
      <c r="K88" s="47"/>
      <c r="L88" s="47"/>
      <c r="M88" s="47"/>
      <c r="N88" s="47"/>
      <c r="O88" s="47"/>
      <c r="P88" s="47"/>
      <c r="Q88" s="47"/>
      <c r="R88" s="47"/>
      <c r="S88" s="47"/>
      <c r="T88" s="47"/>
      <c r="U88" s="47"/>
      <c r="V88" s="47"/>
      <c r="W88" s="47"/>
      <c r="X88" s="47"/>
      <c r="Y88" s="47"/>
    </row>
    <row r="89" spans="1:25" ht="30.75" customHeight="1">
      <c r="A89" s="47" t="s">
        <v>2234</v>
      </c>
      <c r="B89" s="47"/>
      <c r="C89" s="47"/>
      <c r="D89" s="47"/>
      <c r="E89" s="47"/>
      <c r="F89" s="47"/>
      <c r="G89" s="47"/>
      <c r="H89" s="47"/>
      <c r="I89" s="47"/>
      <c r="J89" s="47"/>
      <c r="K89" s="47"/>
      <c r="L89" s="47"/>
      <c r="M89" s="47"/>
      <c r="N89" s="47"/>
      <c r="O89" s="47"/>
      <c r="P89" s="47"/>
      <c r="Q89" s="47"/>
      <c r="R89" s="47"/>
      <c r="S89" s="47"/>
      <c r="T89" s="47"/>
      <c r="U89" s="47"/>
      <c r="V89" s="47"/>
      <c r="W89" s="47"/>
      <c r="X89" s="47"/>
      <c r="Y89" s="47"/>
    </row>
    <row r="90" spans="1:25" ht="30.75" customHeight="1">
      <c r="A90" s="47" t="s">
        <v>2235</v>
      </c>
      <c r="B90" s="47"/>
      <c r="C90" s="47"/>
      <c r="D90" s="47"/>
      <c r="E90" s="47"/>
      <c r="F90" s="47"/>
      <c r="G90" s="47"/>
      <c r="H90" s="47"/>
      <c r="I90" s="47"/>
      <c r="J90" s="47"/>
      <c r="K90" s="47"/>
      <c r="L90" s="47"/>
      <c r="M90" s="47"/>
      <c r="N90" s="47"/>
      <c r="O90" s="47"/>
      <c r="P90" s="47"/>
      <c r="Q90" s="47"/>
      <c r="R90" s="47"/>
      <c r="S90" s="47"/>
      <c r="T90" s="47"/>
      <c r="U90" s="47"/>
      <c r="V90" s="47"/>
      <c r="W90" s="47"/>
      <c r="X90" s="47"/>
      <c r="Y90" s="47"/>
    </row>
    <row r="91" spans="1:25" ht="30.75" customHeight="1">
      <c r="A91" s="47" t="s">
        <v>2236</v>
      </c>
      <c r="B91" s="47"/>
      <c r="C91" s="47"/>
      <c r="D91" s="47"/>
      <c r="E91" s="47"/>
      <c r="F91" s="47"/>
      <c r="G91" s="47"/>
      <c r="H91" s="47"/>
      <c r="I91" s="47"/>
      <c r="J91" s="47"/>
      <c r="K91" s="47"/>
      <c r="L91" s="47"/>
      <c r="M91" s="47"/>
      <c r="N91" s="47"/>
      <c r="O91" s="47"/>
      <c r="P91" s="47"/>
      <c r="Q91" s="47"/>
      <c r="R91" s="47"/>
      <c r="S91" s="47"/>
      <c r="T91" s="47"/>
      <c r="U91" s="47"/>
      <c r="V91" s="47"/>
      <c r="W91" s="47"/>
      <c r="X91" s="47"/>
      <c r="Y91" s="47"/>
    </row>
    <row r="92" spans="1:25" ht="30.75" customHeight="1">
      <c r="A92" s="47" t="s">
        <v>2237</v>
      </c>
      <c r="B92" s="47"/>
      <c r="C92" s="47"/>
      <c r="D92" s="47"/>
      <c r="E92" s="47"/>
      <c r="F92" s="47"/>
      <c r="G92" s="47"/>
      <c r="H92" s="47"/>
      <c r="I92" s="47"/>
      <c r="J92" s="47"/>
      <c r="K92" s="47"/>
      <c r="L92" s="47"/>
      <c r="M92" s="47"/>
      <c r="N92" s="47"/>
      <c r="O92" s="47"/>
      <c r="P92" s="47"/>
      <c r="Q92" s="47"/>
      <c r="R92" s="47"/>
      <c r="S92" s="47"/>
      <c r="T92" s="47"/>
      <c r="U92" s="47"/>
      <c r="V92" s="47"/>
      <c r="W92" s="47"/>
      <c r="X92" s="47"/>
      <c r="Y92" s="47"/>
    </row>
    <row r="93" spans="1:25" ht="30.75" customHeight="1">
      <c r="A93" s="47" t="s">
        <v>2238</v>
      </c>
      <c r="B93" s="47"/>
      <c r="C93" s="47"/>
      <c r="D93" s="47"/>
      <c r="E93" s="47"/>
      <c r="F93" s="47"/>
      <c r="G93" s="47"/>
      <c r="H93" s="47"/>
      <c r="I93" s="47"/>
      <c r="J93" s="47"/>
      <c r="K93" s="47"/>
      <c r="L93" s="47"/>
      <c r="M93" s="47"/>
      <c r="N93" s="47"/>
      <c r="O93" s="47"/>
      <c r="P93" s="47"/>
      <c r="Q93" s="47"/>
      <c r="R93" s="47"/>
      <c r="S93" s="47"/>
      <c r="T93" s="47"/>
      <c r="U93" s="47"/>
      <c r="V93" s="47"/>
      <c r="W93" s="47"/>
      <c r="X93" s="47"/>
      <c r="Y93" s="47"/>
    </row>
    <row r="94" spans="1:25" ht="30.75" customHeight="1">
      <c r="A94" s="47" t="s">
        <v>2239</v>
      </c>
      <c r="B94" s="47"/>
      <c r="C94" s="47"/>
      <c r="D94" s="47"/>
      <c r="E94" s="47"/>
      <c r="F94" s="47"/>
      <c r="G94" s="47"/>
      <c r="H94" s="47"/>
      <c r="I94" s="47"/>
      <c r="J94" s="47"/>
      <c r="K94" s="47"/>
      <c r="L94" s="47"/>
      <c r="M94" s="47"/>
      <c r="N94" s="47"/>
      <c r="O94" s="47"/>
      <c r="P94" s="47"/>
      <c r="Q94" s="47"/>
      <c r="R94" s="47"/>
      <c r="S94" s="47"/>
      <c r="T94" s="47"/>
      <c r="U94" s="47"/>
      <c r="V94" s="47"/>
      <c r="W94" s="47"/>
      <c r="X94" s="47"/>
      <c r="Y94" s="47"/>
    </row>
    <row r="95" spans="1:25" ht="30.75" customHeight="1">
      <c r="A95" s="47" t="s">
        <v>2240</v>
      </c>
      <c r="B95" s="47"/>
      <c r="C95" s="47"/>
      <c r="D95" s="47"/>
      <c r="E95" s="47"/>
      <c r="F95" s="47"/>
      <c r="G95" s="47"/>
      <c r="H95" s="47"/>
      <c r="I95" s="47"/>
      <c r="J95" s="47"/>
      <c r="K95" s="47"/>
      <c r="L95" s="47"/>
      <c r="M95" s="47"/>
      <c r="N95" s="47"/>
      <c r="O95" s="47"/>
      <c r="P95" s="47"/>
      <c r="Q95" s="47"/>
      <c r="R95" s="47"/>
      <c r="S95" s="47"/>
      <c r="T95" s="47"/>
      <c r="U95" s="47"/>
      <c r="V95" s="47"/>
      <c r="W95" s="47"/>
      <c r="X95" s="47"/>
      <c r="Y95" s="47"/>
    </row>
    <row r="96" spans="1:25" ht="30.75" customHeight="1">
      <c r="A96" s="47" t="s">
        <v>2241</v>
      </c>
      <c r="B96" s="47"/>
      <c r="C96" s="47"/>
      <c r="D96" s="47"/>
      <c r="E96" s="47"/>
      <c r="F96" s="47"/>
      <c r="G96" s="47"/>
      <c r="H96" s="47"/>
      <c r="I96" s="47"/>
      <c r="J96" s="47"/>
      <c r="K96" s="47"/>
      <c r="L96" s="47"/>
      <c r="M96" s="47"/>
      <c r="N96" s="47"/>
      <c r="O96" s="47"/>
      <c r="P96" s="47"/>
      <c r="Q96" s="47"/>
      <c r="R96" s="47"/>
      <c r="S96" s="47"/>
      <c r="T96" s="47"/>
      <c r="U96" s="47"/>
      <c r="V96" s="47"/>
      <c r="W96" s="47"/>
      <c r="X96" s="47"/>
      <c r="Y96" s="47"/>
    </row>
    <row r="97" spans="1:25" ht="30.75" customHeight="1">
      <c r="A97" s="47" t="s">
        <v>2242</v>
      </c>
      <c r="B97" s="47"/>
      <c r="C97" s="47"/>
      <c r="D97" s="47"/>
      <c r="E97" s="47"/>
      <c r="F97" s="47"/>
      <c r="G97" s="47"/>
      <c r="H97" s="47"/>
      <c r="I97" s="47"/>
      <c r="J97" s="47"/>
      <c r="K97" s="47"/>
      <c r="L97" s="47"/>
      <c r="M97" s="47"/>
      <c r="N97" s="47"/>
      <c r="O97" s="47"/>
      <c r="P97" s="47"/>
      <c r="Q97" s="47"/>
      <c r="R97" s="47"/>
      <c r="S97" s="47"/>
      <c r="T97" s="47"/>
      <c r="U97" s="47"/>
      <c r="V97" s="47"/>
      <c r="W97" s="47"/>
      <c r="X97" s="47"/>
      <c r="Y97" s="47"/>
    </row>
    <row r="98" spans="1:25" ht="30.75" customHeight="1">
      <c r="A98" s="47" t="s">
        <v>2243</v>
      </c>
      <c r="B98" s="47"/>
      <c r="C98" s="47"/>
      <c r="D98" s="47"/>
      <c r="E98" s="47"/>
      <c r="F98" s="47"/>
      <c r="G98" s="47"/>
      <c r="H98" s="47"/>
      <c r="I98" s="47"/>
      <c r="J98" s="47"/>
      <c r="K98" s="47"/>
      <c r="L98" s="47"/>
      <c r="M98" s="47"/>
      <c r="N98" s="47"/>
      <c r="O98" s="47"/>
      <c r="P98" s="47"/>
      <c r="Q98" s="47"/>
      <c r="R98" s="47"/>
      <c r="S98" s="47"/>
      <c r="T98" s="47"/>
      <c r="U98" s="47"/>
      <c r="V98" s="47"/>
      <c r="W98" s="47"/>
      <c r="X98" s="47"/>
      <c r="Y98" s="47"/>
    </row>
    <row r="99" spans="1:25" ht="30.75" customHeight="1">
      <c r="A99" s="47" t="s">
        <v>2244</v>
      </c>
      <c r="B99" s="47"/>
      <c r="C99" s="47"/>
      <c r="D99" s="47"/>
      <c r="E99" s="47"/>
      <c r="F99" s="47"/>
      <c r="G99" s="47"/>
      <c r="H99" s="47"/>
      <c r="I99" s="47"/>
      <c r="J99" s="47"/>
      <c r="K99" s="47"/>
      <c r="L99" s="47"/>
      <c r="M99" s="47"/>
      <c r="N99" s="47"/>
      <c r="O99" s="47"/>
      <c r="P99" s="47"/>
      <c r="Q99" s="47"/>
      <c r="R99" s="47"/>
      <c r="S99" s="47"/>
      <c r="T99" s="47"/>
      <c r="U99" s="47"/>
      <c r="V99" s="47"/>
      <c r="W99" s="47"/>
      <c r="X99" s="47"/>
      <c r="Y99" s="47"/>
    </row>
    <row r="100" spans="1:25" ht="30.75" customHeight="1">
      <c r="A100" s="47" t="s">
        <v>2245</v>
      </c>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row>
    <row r="101" spans="1:25" ht="30.75" customHeight="1">
      <c r="A101" s="47" t="s">
        <v>2246</v>
      </c>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row>
    <row r="102" spans="1:25" ht="30.75" customHeight="1">
      <c r="A102" s="47" t="s">
        <v>2247</v>
      </c>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row>
    <row r="103" spans="1:25" ht="30.75" customHeight="1">
      <c r="A103" s="47" t="s">
        <v>2248</v>
      </c>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row>
    <row r="104" spans="1:25" ht="30.75" customHeight="1">
      <c r="A104" s="47" t="s">
        <v>2211</v>
      </c>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row>
    <row r="105" spans="1:25" ht="30.75" customHeight="1">
      <c r="A105" s="47" t="s">
        <v>2249</v>
      </c>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row>
    <row r="106" spans="1:25" ht="30.75" customHeight="1">
      <c r="A106" s="151" t="s">
        <v>2250</v>
      </c>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row>
    <row r="107" spans="1:25" ht="30.75" customHeight="1">
      <c r="A107" s="209"/>
      <c r="B107" s="209"/>
      <c r="C107" s="209"/>
      <c r="D107" s="209"/>
      <c r="E107" s="209"/>
      <c r="F107" s="209"/>
      <c r="G107" s="209"/>
      <c r="H107" s="209"/>
      <c r="I107" s="209"/>
      <c r="J107" s="209"/>
      <c r="K107" s="209"/>
      <c r="L107" s="209"/>
      <c r="M107" s="209"/>
      <c r="N107" s="209"/>
      <c r="O107" s="209"/>
      <c r="P107" s="209"/>
      <c r="Q107" s="209"/>
      <c r="R107" s="209"/>
      <c r="S107" s="209"/>
      <c r="T107" s="209"/>
      <c r="U107" s="209"/>
      <c r="V107" s="209"/>
      <c r="W107" s="209"/>
      <c r="X107" s="209"/>
    </row>
  </sheetData>
  <hyperlinks>
    <hyperlink ref="H2" r:id="rId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2F3A56"/>
  </sheetPr>
  <dimension ref="A1:AA111"/>
  <sheetViews>
    <sheetView showGridLines="0" workbookViewId="0"/>
  </sheetViews>
  <sheetFormatPr defaultColWidth="9.125" defaultRowHeight="15.75"/>
  <cols>
    <col min="1" max="1" width="7.75" style="209" customWidth="1"/>
    <col min="2" max="2" width="11.875" style="209" customWidth="1"/>
    <col min="3" max="3" width="9.875" style="209" customWidth="1"/>
    <col min="4" max="4" width="10.75" style="209" customWidth="1"/>
    <col min="5" max="5" width="9.25" style="209" customWidth="1"/>
    <col min="6" max="6" width="8" style="209" customWidth="1"/>
    <col min="7" max="7" width="10.75" style="209" customWidth="1"/>
    <col min="8" max="8" width="10.375" style="209" customWidth="1"/>
    <col min="9" max="9" width="16.625" style="209" customWidth="1"/>
    <col min="10" max="10" width="9.125" style="209"/>
    <col min="11" max="11" width="11.375" style="209" customWidth="1"/>
    <col min="12" max="12" width="15.25" style="209" customWidth="1"/>
    <col min="13" max="13" width="12.625" style="209" customWidth="1"/>
    <col min="14" max="14" width="11.625" style="216" customWidth="1"/>
    <col min="15" max="15" width="8.875" style="209" customWidth="1"/>
    <col min="16" max="16" width="9.25" style="209" customWidth="1"/>
    <col min="17" max="16384" width="9.125" style="209"/>
  </cols>
  <sheetData>
    <row r="1" spans="1:27" s="213" customFormat="1" ht="30.75" customHeight="1">
      <c r="A1" s="211"/>
      <c r="B1" s="211"/>
      <c r="C1" s="211"/>
      <c r="D1" s="211"/>
      <c r="E1" s="211"/>
      <c r="F1" s="211"/>
      <c r="G1" s="211"/>
      <c r="H1" s="52" t="s">
        <v>4334</v>
      </c>
      <c r="I1" s="211"/>
      <c r="J1" s="211"/>
      <c r="K1" s="211"/>
      <c r="L1" s="211"/>
      <c r="M1" s="211"/>
      <c r="N1" s="214"/>
      <c r="O1" s="211"/>
      <c r="P1" s="211"/>
      <c r="Q1" s="211"/>
      <c r="R1" s="211"/>
      <c r="S1" s="211"/>
      <c r="T1" s="211"/>
      <c r="U1" s="211"/>
      <c r="V1" s="211"/>
      <c r="W1" s="211"/>
      <c r="X1" s="211"/>
      <c r="Y1" s="211"/>
      <c r="Z1" s="211"/>
      <c r="AA1" s="211"/>
    </row>
    <row r="2" spans="1:27" s="213" customFormat="1" ht="15" customHeight="1">
      <c r="A2" s="205" t="s">
        <v>2251</v>
      </c>
      <c r="B2" s="203"/>
      <c r="C2" s="203"/>
      <c r="D2" s="203"/>
      <c r="E2" s="203"/>
      <c r="F2" s="203"/>
      <c r="G2" s="203"/>
      <c r="H2" s="203"/>
      <c r="I2" s="203"/>
      <c r="J2" s="203"/>
      <c r="K2" s="203"/>
      <c r="L2" s="203"/>
      <c r="M2" s="212" t="s">
        <v>2252</v>
      </c>
      <c r="N2" s="203"/>
      <c r="O2" s="205" t="s">
        <v>2253</v>
      </c>
      <c r="P2" s="203"/>
      <c r="Q2" s="203"/>
      <c r="R2" s="203"/>
      <c r="S2" s="215"/>
      <c r="T2" s="203"/>
      <c r="U2" s="203"/>
      <c r="V2" s="203"/>
      <c r="W2" s="203"/>
      <c r="X2" s="203"/>
      <c r="Y2" s="203"/>
      <c r="Z2" s="203"/>
      <c r="AA2" s="203"/>
    </row>
    <row r="3" spans="1:27" ht="18" customHeight="1">
      <c r="A3" s="47" t="s">
        <v>42</v>
      </c>
      <c r="B3" s="47" t="s">
        <v>35</v>
      </c>
      <c r="C3" s="47" t="s">
        <v>2144</v>
      </c>
      <c r="D3" s="47" t="s">
        <v>477</v>
      </c>
      <c r="E3" s="47" t="s">
        <v>2145</v>
      </c>
      <c r="F3" s="47" t="s">
        <v>2146</v>
      </c>
      <c r="G3" s="47" t="s">
        <v>2147</v>
      </c>
      <c r="H3" s="47" t="s">
        <v>2148</v>
      </c>
      <c r="I3" s="47" t="s">
        <v>2149</v>
      </c>
      <c r="J3" s="47" t="s">
        <v>42</v>
      </c>
      <c r="K3" s="47" t="s">
        <v>35</v>
      </c>
      <c r="L3" s="47" t="s">
        <v>2144</v>
      </c>
      <c r="M3" s="47" t="s">
        <v>477</v>
      </c>
      <c r="N3" s="47" t="s">
        <v>2145</v>
      </c>
      <c r="O3" s="47" t="s">
        <v>2146</v>
      </c>
      <c r="P3" s="47" t="s">
        <v>2147</v>
      </c>
      <c r="Q3" s="47" t="s">
        <v>2148</v>
      </c>
      <c r="R3" s="47" t="s">
        <v>2150</v>
      </c>
      <c r="S3" s="47" t="s">
        <v>2151</v>
      </c>
      <c r="T3" s="47" t="s">
        <v>2149</v>
      </c>
      <c r="U3" s="47" t="s">
        <v>2152</v>
      </c>
      <c r="V3" s="47" t="s">
        <v>2153</v>
      </c>
      <c r="W3" s="47"/>
      <c r="X3" s="47"/>
      <c r="Y3" s="47"/>
      <c r="Z3" s="47"/>
      <c r="AA3" s="47"/>
    </row>
    <row r="4" spans="1:27" ht="18" customHeight="1">
      <c r="A4" s="47"/>
      <c r="B4" s="47" t="s">
        <v>99</v>
      </c>
      <c r="C4" s="47">
        <v>22</v>
      </c>
      <c r="D4" s="47">
        <v>2020</v>
      </c>
      <c r="E4" s="47">
        <v>2020</v>
      </c>
      <c r="F4" s="47">
        <v>583</v>
      </c>
      <c r="G4" s="47">
        <v>4645318</v>
      </c>
      <c r="H4" s="47">
        <v>12.6</v>
      </c>
      <c r="I4" s="47">
        <v>10.8</v>
      </c>
      <c r="J4" s="47"/>
      <c r="K4" s="47" t="s">
        <v>99</v>
      </c>
      <c r="L4" s="47">
        <v>22</v>
      </c>
      <c r="M4" s="47">
        <v>2024</v>
      </c>
      <c r="N4" s="47">
        <v>2024</v>
      </c>
      <c r="O4" s="47">
        <v>657</v>
      </c>
      <c r="P4" s="47">
        <v>4597740</v>
      </c>
      <c r="Q4" s="47">
        <v>14.3</v>
      </c>
      <c r="R4" s="47">
        <v>13.2</v>
      </c>
      <c r="S4" s="47">
        <v>15.4</v>
      </c>
      <c r="T4" s="47">
        <v>11.9</v>
      </c>
      <c r="U4" s="47">
        <v>11</v>
      </c>
      <c r="V4" s="47">
        <v>12.9</v>
      </c>
      <c r="W4" s="47"/>
      <c r="X4" s="47"/>
      <c r="Y4" s="47"/>
      <c r="Z4" s="47"/>
      <c r="AA4" s="47"/>
    </row>
    <row r="5" spans="1:27" ht="18" customHeight="1">
      <c r="A5" s="47"/>
      <c r="B5" s="47" t="s">
        <v>184</v>
      </c>
      <c r="C5" s="47">
        <v>28</v>
      </c>
      <c r="D5" s="47">
        <v>2020</v>
      </c>
      <c r="E5" s="47">
        <v>2020</v>
      </c>
      <c r="F5" s="47">
        <v>550</v>
      </c>
      <c r="G5" s="47">
        <v>2966786</v>
      </c>
      <c r="H5" s="47">
        <v>18.5</v>
      </c>
      <c r="I5" s="47">
        <v>15.7</v>
      </c>
      <c r="J5" s="47"/>
      <c r="K5" s="47" t="s">
        <v>184</v>
      </c>
      <c r="L5" s="47">
        <v>28</v>
      </c>
      <c r="M5" s="47">
        <v>2024</v>
      </c>
      <c r="N5" s="47">
        <v>2024</v>
      </c>
      <c r="O5" s="47">
        <v>601</v>
      </c>
      <c r="P5" s="47">
        <v>2943045</v>
      </c>
      <c r="Q5" s="47">
        <v>20.399999999999999</v>
      </c>
      <c r="R5" s="47">
        <v>18.8</v>
      </c>
      <c r="S5" s="47">
        <v>22.1</v>
      </c>
      <c r="T5" s="47">
        <v>17</v>
      </c>
      <c r="U5" s="47">
        <v>15.6</v>
      </c>
      <c r="V5" s="47">
        <v>18.399999999999999</v>
      </c>
      <c r="W5" s="47"/>
      <c r="X5" s="47"/>
      <c r="Y5" s="47"/>
      <c r="Z5" s="47"/>
      <c r="AA5" s="47"/>
    </row>
    <row r="6" spans="1:27" ht="18" customHeight="1">
      <c r="A6" s="47"/>
      <c r="B6" s="47" t="s">
        <v>99</v>
      </c>
      <c r="C6" s="47">
        <v>22</v>
      </c>
      <c r="D6" s="47">
        <v>2019</v>
      </c>
      <c r="E6" s="47">
        <v>2019</v>
      </c>
      <c r="F6" s="47">
        <v>509</v>
      </c>
      <c r="G6" s="47">
        <v>4648794</v>
      </c>
      <c r="H6" s="47">
        <v>10.9</v>
      </c>
      <c r="I6" s="47">
        <v>9.1999999999999993</v>
      </c>
      <c r="J6" s="47"/>
      <c r="K6" s="47" t="s">
        <v>99</v>
      </c>
      <c r="L6" s="47">
        <v>22</v>
      </c>
      <c r="M6" s="47">
        <v>2023</v>
      </c>
      <c r="N6" s="47">
        <v>2023</v>
      </c>
      <c r="O6" s="47">
        <v>604</v>
      </c>
      <c r="P6" s="47">
        <v>4573749</v>
      </c>
      <c r="Q6" s="47">
        <v>13.2</v>
      </c>
      <c r="R6" s="47">
        <v>12.2</v>
      </c>
      <c r="S6" s="47">
        <v>14.3</v>
      </c>
      <c r="T6" s="47">
        <v>10.9</v>
      </c>
      <c r="U6" s="47">
        <v>10.1</v>
      </c>
      <c r="V6" s="47">
        <v>11.9</v>
      </c>
      <c r="W6" s="47"/>
      <c r="X6" s="47"/>
      <c r="Y6" s="47"/>
      <c r="Z6" s="47"/>
      <c r="AA6" s="47"/>
    </row>
    <row r="7" spans="1:27" ht="18" customHeight="1">
      <c r="A7" s="47"/>
      <c r="B7" s="47" t="s">
        <v>184</v>
      </c>
      <c r="C7" s="47">
        <v>28</v>
      </c>
      <c r="D7" s="47">
        <v>2019</v>
      </c>
      <c r="E7" s="47">
        <v>2019</v>
      </c>
      <c r="F7" s="47">
        <v>457</v>
      </c>
      <c r="G7" s="47">
        <v>2976149</v>
      </c>
      <c r="H7" s="47">
        <v>15.4</v>
      </c>
      <c r="I7" s="47">
        <v>13</v>
      </c>
      <c r="J7" s="47"/>
      <c r="K7" s="47" t="s">
        <v>184</v>
      </c>
      <c r="L7" s="47">
        <v>28</v>
      </c>
      <c r="M7" s="47">
        <v>2023</v>
      </c>
      <c r="N7" s="47">
        <v>2023</v>
      </c>
      <c r="O7" s="47">
        <v>510</v>
      </c>
      <c r="P7" s="47">
        <v>2939690</v>
      </c>
      <c r="Q7" s="47">
        <v>17.3</v>
      </c>
      <c r="R7" s="47">
        <v>15.8</v>
      </c>
      <c r="S7" s="47">
        <v>18.899999999999999</v>
      </c>
      <c r="T7" s="47">
        <v>14.4</v>
      </c>
      <c r="U7" s="47">
        <v>13.1</v>
      </c>
      <c r="V7" s="47">
        <v>15.7</v>
      </c>
      <c r="W7" s="47"/>
      <c r="X7" s="47"/>
      <c r="Y7" s="47"/>
      <c r="Z7" s="47"/>
      <c r="AA7" s="47"/>
    </row>
    <row r="8" spans="1:27" ht="18" customHeight="1">
      <c r="A8" s="47"/>
      <c r="B8" s="47" t="s">
        <v>99</v>
      </c>
      <c r="C8" s="47">
        <v>22</v>
      </c>
      <c r="D8" s="47">
        <v>2018</v>
      </c>
      <c r="E8" s="47">
        <v>2018</v>
      </c>
      <c r="F8" s="47">
        <v>515</v>
      </c>
      <c r="G8" s="47">
        <v>4659978</v>
      </c>
      <c r="H8" s="47">
        <v>11.1</v>
      </c>
      <c r="I8" s="47">
        <v>9.5</v>
      </c>
      <c r="J8" s="47"/>
      <c r="K8" s="47" t="s">
        <v>99</v>
      </c>
      <c r="L8" s="47">
        <v>22</v>
      </c>
      <c r="M8" s="47">
        <v>2022</v>
      </c>
      <c r="N8" s="47">
        <v>2022</v>
      </c>
      <c r="O8" s="47">
        <v>649</v>
      </c>
      <c r="P8" s="47">
        <v>4590241</v>
      </c>
      <c r="Q8" s="47">
        <v>14.1</v>
      </c>
      <c r="R8" s="47">
        <v>13.1</v>
      </c>
      <c r="S8" s="47">
        <v>15.2</v>
      </c>
      <c r="T8" s="47">
        <v>11.8</v>
      </c>
      <c r="U8" s="47">
        <v>10.9</v>
      </c>
      <c r="V8" s="47">
        <v>12.8</v>
      </c>
      <c r="W8" s="47"/>
      <c r="X8" s="47"/>
      <c r="Y8" s="47"/>
      <c r="Z8" s="47"/>
      <c r="AA8" s="47"/>
    </row>
    <row r="9" spans="1:27" ht="18" customHeight="1">
      <c r="A9" s="47"/>
      <c r="B9" s="47" t="s">
        <v>184</v>
      </c>
      <c r="C9" s="47">
        <v>28</v>
      </c>
      <c r="D9" s="47">
        <v>2018</v>
      </c>
      <c r="E9" s="47">
        <v>2018</v>
      </c>
      <c r="F9" s="47">
        <v>432</v>
      </c>
      <c r="G9" s="47">
        <v>2986530</v>
      </c>
      <c r="H9" s="47">
        <v>14.5</v>
      </c>
      <c r="I9" s="47">
        <v>12</v>
      </c>
      <c r="J9" s="47"/>
      <c r="K9" s="47" t="s">
        <v>184</v>
      </c>
      <c r="L9" s="47">
        <v>28</v>
      </c>
      <c r="M9" s="47">
        <v>2022</v>
      </c>
      <c r="N9" s="47">
        <v>2022</v>
      </c>
      <c r="O9" s="47">
        <v>589</v>
      </c>
      <c r="P9" s="47">
        <v>2940057</v>
      </c>
      <c r="Q9" s="47">
        <v>20</v>
      </c>
      <c r="R9" s="47">
        <v>18.399999999999999</v>
      </c>
      <c r="S9" s="47">
        <v>21.7</v>
      </c>
      <c r="T9" s="47">
        <v>17</v>
      </c>
      <c r="U9" s="47">
        <v>15.6</v>
      </c>
      <c r="V9" s="47">
        <v>18.399999999999999</v>
      </c>
      <c r="W9" s="47"/>
      <c r="X9" s="47"/>
      <c r="Y9" s="47"/>
      <c r="Z9" s="47"/>
      <c r="AA9" s="47"/>
    </row>
    <row r="10" spans="1:27" ht="18" customHeight="1">
      <c r="A10" s="47"/>
      <c r="B10" s="47" t="s">
        <v>99</v>
      </c>
      <c r="C10" s="47">
        <v>22</v>
      </c>
      <c r="D10" s="47">
        <v>2017</v>
      </c>
      <c r="E10" s="47">
        <v>2017</v>
      </c>
      <c r="F10" s="47">
        <v>543</v>
      </c>
      <c r="G10" s="47">
        <v>4684333</v>
      </c>
      <c r="H10" s="47">
        <v>11.6</v>
      </c>
      <c r="I10" s="47">
        <v>10</v>
      </c>
      <c r="J10" s="47"/>
      <c r="K10" s="47" t="s">
        <v>99</v>
      </c>
      <c r="L10" s="47">
        <v>22</v>
      </c>
      <c r="M10" s="47">
        <v>2021</v>
      </c>
      <c r="N10" s="47">
        <v>2021</v>
      </c>
      <c r="O10" s="47">
        <v>667</v>
      </c>
      <c r="P10" s="47">
        <v>4624047</v>
      </c>
      <c r="Q10" s="47">
        <v>14.4</v>
      </c>
      <c r="R10" s="47">
        <v>13.3</v>
      </c>
      <c r="S10" s="47">
        <v>15.5</v>
      </c>
      <c r="T10" s="47">
        <v>12.2</v>
      </c>
      <c r="U10" s="47">
        <v>11.3</v>
      </c>
      <c r="V10" s="47">
        <v>13.2</v>
      </c>
      <c r="W10" s="47"/>
      <c r="X10" s="47"/>
      <c r="Y10" s="47"/>
      <c r="Z10" s="47"/>
      <c r="AA10" s="47"/>
    </row>
    <row r="11" spans="1:27" ht="18" customHeight="1">
      <c r="A11" s="47"/>
      <c r="B11" s="47" t="s">
        <v>184</v>
      </c>
      <c r="C11" s="47">
        <v>28</v>
      </c>
      <c r="D11" s="47">
        <v>2017</v>
      </c>
      <c r="E11" s="47">
        <v>2017</v>
      </c>
      <c r="F11" s="47">
        <v>437</v>
      </c>
      <c r="G11" s="47">
        <v>2984100</v>
      </c>
      <c r="H11" s="47">
        <v>14.6</v>
      </c>
      <c r="I11" s="47">
        <v>12.6</v>
      </c>
      <c r="J11" s="47"/>
      <c r="K11" s="47" t="s">
        <v>184</v>
      </c>
      <c r="L11" s="47">
        <v>28</v>
      </c>
      <c r="M11" s="47">
        <v>2021</v>
      </c>
      <c r="N11" s="47">
        <v>2021</v>
      </c>
      <c r="O11" s="47">
        <v>630</v>
      </c>
      <c r="P11" s="47">
        <v>2949965</v>
      </c>
      <c r="Q11" s="47">
        <v>21.4</v>
      </c>
      <c r="R11" s="47">
        <v>19.7</v>
      </c>
      <c r="S11" s="47">
        <v>23</v>
      </c>
      <c r="T11" s="47">
        <v>17.899999999999999</v>
      </c>
      <c r="U11" s="47">
        <v>16.5</v>
      </c>
      <c r="V11" s="47">
        <v>19.5</v>
      </c>
      <c r="W11" s="47"/>
      <c r="X11" s="47"/>
      <c r="Y11" s="47"/>
      <c r="Z11" s="47"/>
      <c r="AA11" s="47"/>
    </row>
    <row r="12" spans="1:27" ht="18" customHeight="1">
      <c r="A12" s="47"/>
      <c r="B12" s="47" t="s">
        <v>99</v>
      </c>
      <c r="C12" s="47">
        <v>22</v>
      </c>
      <c r="D12" s="47">
        <v>2016</v>
      </c>
      <c r="E12" s="47">
        <v>2016</v>
      </c>
      <c r="F12" s="47">
        <v>519</v>
      </c>
      <c r="G12" s="47">
        <v>4681666</v>
      </c>
      <c r="H12" s="47">
        <v>11.1</v>
      </c>
      <c r="I12" s="47">
        <v>9.6999999999999993</v>
      </c>
      <c r="J12" s="47"/>
      <c r="K12" s="47" t="s">
        <v>99</v>
      </c>
      <c r="L12" s="47">
        <v>22</v>
      </c>
      <c r="M12" s="47">
        <v>2020</v>
      </c>
      <c r="N12" s="47">
        <v>2020</v>
      </c>
      <c r="O12" s="47">
        <v>583</v>
      </c>
      <c r="P12" s="47">
        <v>4645318</v>
      </c>
      <c r="Q12" s="47">
        <v>12.6</v>
      </c>
      <c r="R12" s="47">
        <v>11.5</v>
      </c>
      <c r="S12" s="47">
        <v>13.6</v>
      </c>
      <c r="T12" s="47">
        <v>10.8</v>
      </c>
      <c r="U12" s="47">
        <v>9.9</v>
      </c>
      <c r="V12" s="47">
        <v>11.8</v>
      </c>
      <c r="W12" s="47"/>
      <c r="X12" s="47"/>
      <c r="Y12" s="47"/>
      <c r="Z12" s="47"/>
      <c r="AA12" s="47"/>
    </row>
    <row r="13" spans="1:27" ht="18" customHeight="1">
      <c r="A13" s="47"/>
      <c r="B13" s="47" t="s">
        <v>184</v>
      </c>
      <c r="C13" s="47">
        <v>28</v>
      </c>
      <c r="D13" s="47">
        <v>2016</v>
      </c>
      <c r="E13" s="47">
        <v>2016</v>
      </c>
      <c r="F13" s="47">
        <v>383</v>
      </c>
      <c r="G13" s="47">
        <v>2988726</v>
      </c>
      <c r="H13" s="47">
        <v>12.8</v>
      </c>
      <c r="I13" s="47">
        <v>11.1</v>
      </c>
      <c r="J13" s="47"/>
      <c r="K13" s="47" t="s">
        <v>184</v>
      </c>
      <c r="L13" s="47">
        <v>28</v>
      </c>
      <c r="M13" s="47">
        <v>2020</v>
      </c>
      <c r="N13" s="47">
        <v>2020</v>
      </c>
      <c r="O13" s="47">
        <v>550</v>
      </c>
      <c r="P13" s="47">
        <v>2966786</v>
      </c>
      <c r="Q13" s="47">
        <v>18.5</v>
      </c>
      <c r="R13" s="47">
        <v>17</v>
      </c>
      <c r="S13" s="47">
        <v>20.100000000000001</v>
      </c>
      <c r="T13" s="47">
        <v>15.7</v>
      </c>
      <c r="U13" s="47">
        <v>14.4</v>
      </c>
      <c r="V13" s="47">
        <v>17.100000000000001</v>
      </c>
      <c r="W13" s="47"/>
      <c r="X13" s="47"/>
      <c r="Y13" s="47"/>
      <c r="Z13" s="47"/>
      <c r="AA13" s="47"/>
    </row>
    <row r="14" spans="1:27" ht="18" customHeight="1">
      <c r="A14" s="47"/>
      <c r="B14" s="47" t="s">
        <v>99</v>
      </c>
      <c r="C14" s="47">
        <v>22</v>
      </c>
      <c r="D14" s="47">
        <v>2015</v>
      </c>
      <c r="E14" s="47">
        <v>2015</v>
      </c>
      <c r="F14" s="47">
        <v>553</v>
      </c>
      <c r="G14" s="47">
        <v>4670724</v>
      </c>
      <c r="H14" s="47">
        <v>11.8</v>
      </c>
      <c r="I14" s="47">
        <v>10.5</v>
      </c>
      <c r="J14" s="47"/>
      <c r="K14" s="47" t="s">
        <v>99</v>
      </c>
      <c r="L14" s="47">
        <v>22</v>
      </c>
      <c r="M14" s="47">
        <v>2019</v>
      </c>
      <c r="N14" s="47">
        <v>2019</v>
      </c>
      <c r="O14" s="47">
        <v>509</v>
      </c>
      <c r="P14" s="47">
        <v>4648794</v>
      </c>
      <c r="Q14" s="47">
        <v>10.9</v>
      </c>
      <c r="R14" s="47">
        <v>10</v>
      </c>
      <c r="S14" s="47">
        <v>11.9</v>
      </c>
      <c r="T14" s="47">
        <v>9.1999999999999993</v>
      </c>
      <c r="U14" s="47">
        <v>8.4</v>
      </c>
      <c r="V14" s="47">
        <v>10.1</v>
      </c>
      <c r="W14" s="47"/>
      <c r="X14" s="47"/>
      <c r="Y14" s="47"/>
      <c r="Z14" s="47"/>
      <c r="AA14" s="47"/>
    </row>
    <row r="15" spans="1:27" ht="18" customHeight="1">
      <c r="A15" s="47"/>
      <c r="B15" s="47" t="s">
        <v>184</v>
      </c>
      <c r="C15" s="47">
        <v>28</v>
      </c>
      <c r="D15" s="47">
        <v>2015</v>
      </c>
      <c r="E15" s="47">
        <v>2015</v>
      </c>
      <c r="F15" s="47">
        <v>382</v>
      </c>
      <c r="G15" s="47">
        <v>2992333</v>
      </c>
      <c r="H15" s="47">
        <v>12.8</v>
      </c>
      <c r="I15" s="47">
        <v>11.1</v>
      </c>
      <c r="J15" s="47"/>
      <c r="K15" s="47" t="s">
        <v>184</v>
      </c>
      <c r="L15" s="47">
        <v>28</v>
      </c>
      <c r="M15" s="47">
        <v>2019</v>
      </c>
      <c r="N15" s="47">
        <v>2019</v>
      </c>
      <c r="O15" s="47">
        <v>457</v>
      </c>
      <c r="P15" s="47">
        <v>2976149</v>
      </c>
      <c r="Q15" s="47">
        <v>15.4</v>
      </c>
      <c r="R15" s="47">
        <v>13.9</v>
      </c>
      <c r="S15" s="47">
        <v>16.8</v>
      </c>
      <c r="T15" s="47">
        <v>13</v>
      </c>
      <c r="U15" s="47">
        <v>11.8</v>
      </c>
      <c r="V15" s="47">
        <v>14.3</v>
      </c>
      <c r="W15" s="47"/>
      <c r="X15" s="47"/>
      <c r="Y15" s="47"/>
      <c r="Z15" s="47"/>
      <c r="AA15" s="47"/>
    </row>
    <row r="16" spans="1:27" ht="18" customHeight="1">
      <c r="A16" s="47"/>
      <c r="B16" s="47" t="s">
        <v>99</v>
      </c>
      <c r="C16" s="47">
        <v>22</v>
      </c>
      <c r="D16" s="47">
        <v>2014</v>
      </c>
      <c r="E16" s="47">
        <v>2014</v>
      </c>
      <c r="F16" s="47">
        <v>515</v>
      </c>
      <c r="G16" s="47">
        <v>4649676</v>
      </c>
      <c r="H16" s="47">
        <v>11.1</v>
      </c>
      <c r="I16" s="47">
        <v>9.8000000000000007</v>
      </c>
      <c r="J16" s="47"/>
      <c r="K16" s="47" t="s">
        <v>99</v>
      </c>
      <c r="L16" s="47">
        <v>22</v>
      </c>
      <c r="M16" s="47">
        <v>2018</v>
      </c>
      <c r="N16" s="47">
        <v>2018</v>
      </c>
      <c r="O16" s="47">
        <v>515</v>
      </c>
      <c r="P16" s="47">
        <v>4659978</v>
      </c>
      <c r="Q16" s="47">
        <v>11.1</v>
      </c>
      <c r="R16" s="47">
        <v>10.1</v>
      </c>
      <c r="S16" s="47">
        <v>12</v>
      </c>
      <c r="T16" s="47">
        <v>9.5</v>
      </c>
      <c r="U16" s="47">
        <v>8.6999999999999993</v>
      </c>
      <c r="V16" s="47">
        <v>10.4</v>
      </c>
      <c r="W16" s="47"/>
      <c r="X16" s="47"/>
      <c r="Y16" s="47"/>
      <c r="Z16" s="47"/>
      <c r="AA16" s="47"/>
    </row>
    <row r="17" spans="1:27" ht="18" customHeight="1">
      <c r="A17" s="47"/>
      <c r="B17" s="47" t="s">
        <v>184</v>
      </c>
      <c r="C17" s="47">
        <v>28</v>
      </c>
      <c r="D17" s="47">
        <v>2014</v>
      </c>
      <c r="E17" s="47">
        <v>2014</v>
      </c>
      <c r="F17" s="47">
        <v>347</v>
      </c>
      <c r="G17" s="47">
        <v>2994079</v>
      </c>
      <c r="H17" s="47">
        <v>11.6</v>
      </c>
      <c r="I17" s="47">
        <v>10.3</v>
      </c>
      <c r="J17" s="47"/>
      <c r="K17" s="47" t="s">
        <v>184</v>
      </c>
      <c r="L17" s="47">
        <v>28</v>
      </c>
      <c r="M17" s="47">
        <v>2018</v>
      </c>
      <c r="N17" s="47">
        <v>2018</v>
      </c>
      <c r="O17" s="47">
        <v>432</v>
      </c>
      <c r="P17" s="47">
        <v>2986530</v>
      </c>
      <c r="Q17" s="47">
        <v>14.5</v>
      </c>
      <c r="R17" s="47">
        <v>13.1</v>
      </c>
      <c r="S17" s="47">
        <v>15.8</v>
      </c>
      <c r="T17" s="47">
        <v>12</v>
      </c>
      <c r="U17" s="47">
        <v>10.9</v>
      </c>
      <c r="V17" s="47">
        <v>13.3</v>
      </c>
      <c r="W17" s="47"/>
      <c r="X17" s="47"/>
      <c r="Y17" s="47"/>
      <c r="Z17" s="47"/>
      <c r="AA17" s="47"/>
    </row>
    <row r="18" spans="1:27" ht="18" customHeight="1">
      <c r="A18" s="47"/>
      <c r="B18" s="47" t="s">
        <v>99</v>
      </c>
      <c r="C18" s="47">
        <v>22</v>
      </c>
      <c r="D18" s="47">
        <v>2013</v>
      </c>
      <c r="E18" s="47">
        <v>2013</v>
      </c>
      <c r="F18" s="47">
        <v>503</v>
      </c>
      <c r="G18" s="47">
        <v>4625470</v>
      </c>
      <c r="H18" s="47">
        <v>10.9</v>
      </c>
      <c r="I18" s="47">
        <v>9.6999999999999993</v>
      </c>
      <c r="J18" s="47" t="s">
        <v>2132</v>
      </c>
      <c r="K18" s="47" t="s">
        <v>99</v>
      </c>
      <c r="L18" s="47">
        <v>22</v>
      </c>
      <c r="M18" s="47"/>
      <c r="N18" s="47"/>
      <c r="O18" s="47">
        <v>4184</v>
      </c>
      <c r="P18" s="47">
        <v>32339867</v>
      </c>
      <c r="Q18" s="47">
        <v>12.9</v>
      </c>
      <c r="R18" s="47">
        <v>12.5</v>
      </c>
      <c r="S18" s="47">
        <v>13.3</v>
      </c>
      <c r="T18" s="47">
        <v>10.9</v>
      </c>
      <c r="U18" s="47">
        <v>10.6</v>
      </c>
      <c r="V18" s="47">
        <v>11.3</v>
      </c>
      <c r="W18" s="47"/>
      <c r="X18" s="47"/>
      <c r="Y18" s="47"/>
      <c r="Z18" s="47"/>
      <c r="AA18" s="47"/>
    </row>
    <row r="19" spans="1:27" ht="18" customHeight="1">
      <c r="A19" s="47"/>
      <c r="B19" s="47" t="s">
        <v>184</v>
      </c>
      <c r="C19" s="47">
        <v>28</v>
      </c>
      <c r="D19" s="47">
        <v>2013</v>
      </c>
      <c r="E19" s="47">
        <v>2013</v>
      </c>
      <c r="F19" s="47">
        <v>327</v>
      </c>
      <c r="G19" s="47">
        <v>2991207</v>
      </c>
      <c r="H19" s="47">
        <v>10.9</v>
      </c>
      <c r="I19" s="47">
        <v>9.6999999999999993</v>
      </c>
      <c r="J19" s="47" t="s">
        <v>2132</v>
      </c>
      <c r="K19" s="47" t="s">
        <v>184</v>
      </c>
      <c r="L19" s="47">
        <v>28</v>
      </c>
      <c r="M19" s="47"/>
      <c r="N19" s="47"/>
      <c r="O19" s="47">
        <v>3769</v>
      </c>
      <c r="P19" s="47">
        <v>20702222</v>
      </c>
      <c r="Q19" s="47">
        <v>18.2</v>
      </c>
      <c r="R19" s="47">
        <v>17.600000000000001</v>
      </c>
      <c r="S19" s="47">
        <v>18.8</v>
      </c>
      <c r="T19" s="47">
        <v>15.3</v>
      </c>
      <c r="U19" s="47">
        <v>14.8</v>
      </c>
      <c r="V19" s="47">
        <v>15.8</v>
      </c>
      <c r="W19" s="47"/>
      <c r="X19" s="47"/>
      <c r="Y19" s="47"/>
      <c r="Z19" s="47"/>
      <c r="AA19" s="47"/>
    </row>
    <row r="20" spans="1:27" ht="18" customHeight="1">
      <c r="A20" s="47"/>
      <c r="B20" s="47" t="s">
        <v>99</v>
      </c>
      <c r="C20" s="47">
        <v>22</v>
      </c>
      <c r="D20" s="47">
        <v>2012</v>
      </c>
      <c r="E20" s="47">
        <v>2012</v>
      </c>
      <c r="F20" s="47">
        <v>434</v>
      </c>
      <c r="G20" s="47">
        <v>4601893</v>
      </c>
      <c r="H20" s="47">
        <v>9.4</v>
      </c>
      <c r="I20" s="47">
        <v>8.6999999999999993</v>
      </c>
      <c r="J20" s="47" t="s">
        <v>2132</v>
      </c>
      <c r="K20" s="47"/>
      <c r="L20" s="47"/>
      <c r="M20" s="47"/>
      <c r="N20" s="47"/>
      <c r="O20" s="47">
        <v>7953</v>
      </c>
      <c r="P20" s="47">
        <v>53042089</v>
      </c>
      <c r="Q20" s="47">
        <v>15</v>
      </c>
      <c r="R20" s="47">
        <v>14.7</v>
      </c>
      <c r="S20" s="47">
        <v>15.3</v>
      </c>
      <c r="T20" s="47">
        <v>12.6</v>
      </c>
      <c r="U20" s="47">
        <v>12.4</v>
      </c>
      <c r="V20" s="47">
        <v>12.9</v>
      </c>
      <c r="W20" s="47"/>
      <c r="X20" s="47"/>
      <c r="Y20" s="47"/>
      <c r="Z20" s="47"/>
      <c r="AA20" s="47"/>
    </row>
    <row r="21" spans="1:27" ht="18" customHeight="1">
      <c r="A21" s="47"/>
      <c r="B21" s="47" t="s">
        <v>184</v>
      </c>
      <c r="C21" s="47">
        <v>28</v>
      </c>
      <c r="D21" s="47">
        <v>2012</v>
      </c>
      <c r="E21" s="47">
        <v>2012</v>
      </c>
      <c r="F21" s="47">
        <v>303</v>
      </c>
      <c r="G21" s="47">
        <v>2984926</v>
      </c>
      <c r="H21" s="47">
        <v>10.199999999999999</v>
      </c>
      <c r="I21" s="47">
        <v>9.1999999999999993</v>
      </c>
      <c r="J21" s="47" t="s">
        <v>2154</v>
      </c>
      <c r="K21" s="47"/>
      <c r="L21" s="47"/>
      <c r="M21" s="47"/>
      <c r="N21" s="47"/>
      <c r="O21" s="47"/>
      <c r="P21" s="47"/>
      <c r="Q21" s="47"/>
      <c r="R21" s="47"/>
      <c r="S21" s="47"/>
      <c r="T21" s="47"/>
      <c r="U21" s="47"/>
      <c r="V21" s="47"/>
      <c r="W21" s="47"/>
      <c r="X21" s="47"/>
      <c r="Y21" s="47"/>
      <c r="Z21" s="47"/>
      <c r="AA21" s="47"/>
    </row>
    <row r="22" spans="1:27" ht="18" customHeight="1">
      <c r="A22" s="47"/>
      <c r="B22" s="47" t="s">
        <v>99</v>
      </c>
      <c r="C22" s="47">
        <v>22</v>
      </c>
      <c r="D22" s="47">
        <v>2011</v>
      </c>
      <c r="E22" s="47">
        <v>2011</v>
      </c>
      <c r="F22" s="47">
        <v>386</v>
      </c>
      <c r="G22" s="47">
        <v>4574836</v>
      </c>
      <c r="H22" s="47">
        <v>8.4</v>
      </c>
      <c r="I22" s="47">
        <v>7.8</v>
      </c>
      <c r="J22" s="47" t="s">
        <v>2155</v>
      </c>
      <c r="K22" s="47"/>
      <c r="L22" s="47"/>
      <c r="M22" s="47"/>
      <c r="N22" s="47"/>
      <c r="O22" s="47"/>
      <c r="P22" s="47"/>
      <c r="Q22" s="47"/>
      <c r="R22" s="47"/>
      <c r="S22" s="47"/>
      <c r="T22" s="47"/>
      <c r="U22" s="47"/>
      <c r="V22" s="47"/>
      <c r="W22" s="47"/>
      <c r="X22" s="47"/>
      <c r="Y22" s="47"/>
      <c r="Z22" s="47"/>
      <c r="AA22" s="47"/>
    </row>
    <row r="23" spans="1:27" ht="18" customHeight="1">
      <c r="A23" s="47"/>
      <c r="B23" s="47" t="s">
        <v>184</v>
      </c>
      <c r="C23" s="47">
        <v>28</v>
      </c>
      <c r="D23" s="47">
        <v>2011</v>
      </c>
      <c r="E23" s="47">
        <v>2011</v>
      </c>
      <c r="F23" s="47">
        <v>339</v>
      </c>
      <c r="G23" s="47">
        <v>2978512</v>
      </c>
      <c r="H23" s="47">
        <v>11.4</v>
      </c>
      <c r="I23" s="47">
        <v>10.6</v>
      </c>
      <c r="J23" s="47" t="s">
        <v>2156</v>
      </c>
      <c r="K23" s="47"/>
      <c r="L23" s="47"/>
      <c r="M23" s="47"/>
      <c r="N23" s="47"/>
      <c r="O23" s="47"/>
      <c r="P23" s="47"/>
      <c r="Q23" s="47"/>
      <c r="R23" s="47"/>
      <c r="S23" s="47"/>
      <c r="T23" s="47"/>
      <c r="U23" s="47"/>
      <c r="V23" s="47"/>
      <c r="W23" s="47"/>
      <c r="X23" s="47"/>
      <c r="Y23" s="47"/>
      <c r="Z23" s="47"/>
      <c r="AA23" s="47"/>
    </row>
    <row r="24" spans="1:27" ht="18" customHeight="1">
      <c r="A24" s="47"/>
      <c r="B24" s="47" t="s">
        <v>99</v>
      </c>
      <c r="C24" s="47">
        <v>22</v>
      </c>
      <c r="D24" s="47">
        <v>2010</v>
      </c>
      <c r="E24" s="47">
        <v>2010</v>
      </c>
      <c r="F24" s="47">
        <v>390</v>
      </c>
      <c r="G24" s="47">
        <v>4533372</v>
      </c>
      <c r="H24" s="47">
        <v>8.6</v>
      </c>
      <c r="I24" s="47">
        <v>7.9</v>
      </c>
      <c r="J24" s="47" t="s">
        <v>2254</v>
      </c>
      <c r="K24" s="47"/>
      <c r="L24" s="47"/>
      <c r="M24" s="47"/>
      <c r="N24" s="47"/>
      <c r="O24" s="47"/>
      <c r="P24" s="47"/>
      <c r="Q24" s="47"/>
      <c r="R24" s="47"/>
      <c r="S24" s="47"/>
      <c r="T24" s="47"/>
      <c r="U24" s="47"/>
      <c r="V24" s="47"/>
      <c r="W24" s="47"/>
      <c r="X24" s="47"/>
      <c r="Y24" s="47"/>
      <c r="Z24" s="47"/>
      <c r="AA24" s="47"/>
    </row>
    <row r="25" spans="1:27" ht="18" customHeight="1">
      <c r="A25" s="47"/>
      <c r="B25" s="47" t="s">
        <v>184</v>
      </c>
      <c r="C25" s="47">
        <v>28</v>
      </c>
      <c r="D25" s="47">
        <v>2010</v>
      </c>
      <c r="E25" s="47">
        <v>2010</v>
      </c>
      <c r="F25" s="47">
        <v>291</v>
      </c>
      <c r="G25" s="47">
        <v>2967297</v>
      </c>
      <c r="H25" s="47">
        <v>9.8000000000000007</v>
      </c>
      <c r="I25" s="47">
        <v>9</v>
      </c>
      <c r="J25" s="47" t="s">
        <v>2255</v>
      </c>
      <c r="K25" s="47"/>
      <c r="L25" s="47"/>
      <c r="M25" s="47"/>
      <c r="N25" s="47"/>
      <c r="O25" s="47"/>
      <c r="P25" s="47"/>
      <c r="Q25" s="47"/>
      <c r="R25" s="47"/>
      <c r="S25" s="47"/>
      <c r="T25" s="47"/>
      <c r="U25" s="47"/>
      <c r="V25" s="47"/>
      <c r="W25" s="47"/>
      <c r="X25" s="47"/>
      <c r="Y25" s="47"/>
      <c r="Z25" s="47"/>
      <c r="AA25" s="47"/>
    </row>
    <row r="26" spans="1:27" ht="18" customHeight="1">
      <c r="A26" s="47"/>
      <c r="B26" s="47" t="s">
        <v>99</v>
      </c>
      <c r="C26" s="47">
        <v>22</v>
      </c>
      <c r="D26" s="47">
        <v>2009</v>
      </c>
      <c r="E26" s="47">
        <v>2009</v>
      </c>
      <c r="F26" s="47">
        <v>382</v>
      </c>
      <c r="G26" s="47">
        <v>4491648</v>
      </c>
      <c r="H26" s="47">
        <v>8.5</v>
      </c>
      <c r="I26" s="47">
        <v>7.9</v>
      </c>
      <c r="J26" s="47" t="s">
        <v>2256</v>
      </c>
      <c r="K26" s="47"/>
      <c r="L26" s="47"/>
      <c r="M26" s="47"/>
      <c r="N26" s="47"/>
      <c r="O26" s="47"/>
      <c r="P26" s="47"/>
      <c r="Q26" s="47"/>
      <c r="R26" s="47"/>
      <c r="S26" s="47"/>
      <c r="T26" s="47"/>
      <c r="U26" s="47"/>
      <c r="V26" s="47"/>
      <c r="W26" s="47"/>
      <c r="X26" s="47"/>
      <c r="Y26" s="47"/>
      <c r="Z26" s="47"/>
      <c r="AA26" s="47"/>
    </row>
    <row r="27" spans="1:27" ht="18" customHeight="1">
      <c r="A27" s="47"/>
      <c r="B27" s="47" t="s">
        <v>184</v>
      </c>
      <c r="C27" s="47">
        <v>28</v>
      </c>
      <c r="D27" s="47">
        <v>2009</v>
      </c>
      <c r="E27" s="47">
        <v>2009</v>
      </c>
      <c r="F27" s="47">
        <v>289</v>
      </c>
      <c r="G27" s="47">
        <v>2958774</v>
      </c>
      <c r="H27" s="47">
        <v>9.8000000000000007</v>
      </c>
      <c r="I27" s="47">
        <v>9.3000000000000007</v>
      </c>
      <c r="J27" s="47" t="s">
        <v>2257</v>
      </c>
      <c r="K27" s="47"/>
      <c r="L27" s="47"/>
      <c r="M27" s="47"/>
      <c r="N27" s="47"/>
      <c r="O27" s="47"/>
      <c r="P27" s="47"/>
      <c r="Q27" s="47"/>
      <c r="R27" s="47"/>
      <c r="S27" s="47"/>
      <c r="T27" s="47"/>
      <c r="U27" s="47"/>
      <c r="V27" s="47"/>
      <c r="W27" s="47"/>
      <c r="X27" s="47"/>
      <c r="Y27" s="47"/>
      <c r="Z27" s="47"/>
      <c r="AA27" s="47"/>
    </row>
    <row r="28" spans="1:27" ht="18" customHeight="1">
      <c r="A28" s="47"/>
      <c r="B28" s="47" t="s">
        <v>99</v>
      </c>
      <c r="C28" s="47">
        <v>22</v>
      </c>
      <c r="D28" s="47">
        <v>2008</v>
      </c>
      <c r="E28" s="47">
        <v>2008</v>
      </c>
      <c r="F28" s="47">
        <v>389</v>
      </c>
      <c r="G28" s="47">
        <v>4435586</v>
      </c>
      <c r="H28" s="47">
        <v>8.8000000000000007</v>
      </c>
      <c r="I28" s="47">
        <v>8.3000000000000007</v>
      </c>
      <c r="J28" s="47" t="s">
        <v>2258</v>
      </c>
      <c r="K28" s="47"/>
      <c r="L28" s="47"/>
      <c r="M28" s="47"/>
      <c r="N28" s="47"/>
      <c r="O28" s="47"/>
      <c r="P28" s="47"/>
      <c r="Q28" s="47"/>
      <c r="R28" s="47"/>
      <c r="S28" s="47"/>
      <c r="T28" s="47"/>
      <c r="U28" s="47"/>
      <c r="V28" s="47"/>
      <c r="W28" s="47"/>
      <c r="X28" s="47"/>
      <c r="Y28" s="47"/>
      <c r="Z28" s="47"/>
      <c r="AA28" s="47"/>
    </row>
    <row r="29" spans="1:27" ht="18" customHeight="1">
      <c r="A29" s="47"/>
      <c r="B29" s="47" t="s">
        <v>184</v>
      </c>
      <c r="C29" s="47">
        <v>28</v>
      </c>
      <c r="D29" s="47">
        <v>2008</v>
      </c>
      <c r="E29" s="47">
        <v>2008</v>
      </c>
      <c r="F29" s="47">
        <v>269</v>
      </c>
      <c r="G29" s="47">
        <v>2947806</v>
      </c>
      <c r="H29" s="47">
        <v>9.1</v>
      </c>
      <c r="I29" s="47">
        <v>8.6</v>
      </c>
      <c r="J29" s="47" t="s">
        <v>2259</v>
      </c>
      <c r="K29" s="47"/>
      <c r="L29" s="47"/>
      <c r="M29" s="47"/>
      <c r="N29" s="47"/>
      <c r="O29" s="47"/>
      <c r="P29" s="47"/>
      <c r="Q29" s="47"/>
      <c r="R29" s="47"/>
      <c r="S29" s="47"/>
      <c r="T29" s="47"/>
      <c r="U29" s="47"/>
      <c r="V29" s="47"/>
      <c r="W29" s="47"/>
      <c r="X29" s="47"/>
      <c r="Y29" s="47"/>
      <c r="Z29" s="47"/>
      <c r="AA29" s="47"/>
    </row>
    <row r="30" spans="1:27" ht="18" customHeight="1">
      <c r="A30" s="47"/>
      <c r="B30" s="47" t="s">
        <v>99</v>
      </c>
      <c r="C30" s="47">
        <v>22</v>
      </c>
      <c r="D30" s="47">
        <v>2007</v>
      </c>
      <c r="E30" s="47">
        <v>2007</v>
      </c>
      <c r="F30" s="47">
        <v>357</v>
      </c>
      <c r="G30" s="47">
        <v>4375581</v>
      </c>
      <c r="H30" s="47">
        <v>8.1999999999999993</v>
      </c>
      <c r="I30" s="47">
        <v>7.8</v>
      </c>
      <c r="J30" s="47" t="s">
        <v>2260</v>
      </c>
      <c r="K30" s="47"/>
      <c r="L30" s="47"/>
      <c r="M30" s="47"/>
      <c r="N30" s="47"/>
      <c r="O30" s="47"/>
      <c r="P30" s="47"/>
      <c r="Q30" s="47"/>
      <c r="R30" s="47"/>
      <c r="S30" s="47"/>
      <c r="T30" s="47"/>
      <c r="U30" s="47"/>
      <c r="V30" s="47"/>
      <c r="W30" s="47"/>
      <c r="X30" s="47"/>
      <c r="Y30" s="47"/>
      <c r="Z30" s="47"/>
      <c r="AA30" s="47"/>
    </row>
    <row r="31" spans="1:27" ht="18" customHeight="1">
      <c r="A31" s="47"/>
      <c r="B31" s="47" t="s">
        <v>184</v>
      </c>
      <c r="C31" s="47">
        <v>28</v>
      </c>
      <c r="D31" s="47">
        <v>2007</v>
      </c>
      <c r="E31" s="47">
        <v>2007</v>
      </c>
      <c r="F31" s="47">
        <v>263</v>
      </c>
      <c r="G31" s="47">
        <v>2928350</v>
      </c>
      <c r="H31" s="47">
        <v>9</v>
      </c>
      <c r="I31" s="47">
        <v>8.6999999999999993</v>
      </c>
      <c r="J31" s="47" t="s">
        <v>2161</v>
      </c>
      <c r="K31" s="47"/>
      <c r="L31" s="47"/>
      <c r="M31" s="47"/>
      <c r="N31" s="47"/>
      <c r="O31" s="47"/>
      <c r="P31" s="47"/>
      <c r="Q31" s="47"/>
      <c r="R31" s="47"/>
      <c r="S31" s="47"/>
      <c r="T31" s="47"/>
      <c r="U31" s="47"/>
      <c r="V31" s="47"/>
      <c r="W31" s="47"/>
      <c r="X31" s="47"/>
      <c r="Y31" s="47"/>
      <c r="Z31" s="47"/>
      <c r="AA31" s="47"/>
    </row>
    <row r="32" spans="1:27" ht="18" customHeight="1">
      <c r="A32" s="47"/>
      <c r="B32" s="47" t="s">
        <v>99</v>
      </c>
      <c r="C32" s="47">
        <v>22</v>
      </c>
      <c r="D32" s="47">
        <v>2006</v>
      </c>
      <c r="E32" s="47">
        <v>2006</v>
      </c>
      <c r="F32" s="47">
        <v>342</v>
      </c>
      <c r="G32" s="47">
        <v>4302665</v>
      </c>
      <c r="H32" s="47">
        <v>7.9</v>
      </c>
      <c r="I32" s="47">
        <v>7.7</v>
      </c>
      <c r="J32" s="47" t="s">
        <v>2162</v>
      </c>
      <c r="K32" s="47"/>
      <c r="L32" s="47"/>
      <c r="M32" s="47"/>
      <c r="N32" s="47"/>
      <c r="O32" s="47"/>
      <c r="P32" s="47"/>
      <c r="Q32" s="47"/>
      <c r="R32" s="47"/>
      <c r="S32" s="47"/>
      <c r="T32" s="47"/>
      <c r="U32" s="47"/>
      <c r="V32" s="47"/>
      <c r="W32" s="47"/>
      <c r="X32" s="47"/>
      <c r="Y32" s="47"/>
      <c r="Z32" s="47"/>
      <c r="AA32" s="47"/>
    </row>
    <row r="33" spans="1:27" ht="18" customHeight="1">
      <c r="A33" s="47"/>
      <c r="B33" s="47" t="s">
        <v>184</v>
      </c>
      <c r="C33" s="47">
        <v>28</v>
      </c>
      <c r="D33" s="47">
        <v>2006</v>
      </c>
      <c r="E33" s="47">
        <v>2006</v>
      </c>
      <c r="F33" s="47">
        <v>267</v>
      </c>
      <c r="G33" s="47">
        <v>2904978</v>
      </c>
      <c r="H33" s="47">
        <v>9.1999999999999993</v>
      </c>
      <c r="I33" s="47">
        <v>9</v>
      </c>
      <c r="J33" s="47" t="s">
        <v>2163</v>
      </c>
      <c r="K33" s="47"/>
      <c r="L33" s="47"/>
      <c r="M33" s="47"/>
      <c r="N33" s="47"/>
      <c r="O33" s="47"/>
      <c r="P33" s="47"/>
      <c r="Q33" s="47"/>
      <c r="R33" s="47"/>
      <c r="S33" s="47"/>
      <c r="T33" s="47"/>
      <c r="U33" s="47"/>
      <c r="V33" s="47"/>
      <c r="W33" s="47"/>
      <c r="X33" s="47"/>
      <c r="Y33" s="47"/>
      <c r="Z33" s="47"/>
      <c r="AA33" s="47"/>
    </row>
    <row r="34" spans="1:27" ht="18" customHeight="1">
      <c r="A34" s="47"/>
      <c r="B34" s="47" t="s">
        <v>99</v>
      </c>
      <c r="C34" s="47">
        <v>22</v>
      </c>
      <c r="D34" s="47">
        <v>2005</v>
      </c>
      <c r="E34" s="47">
        <v>2005</v>
      </c>
      <c r="F34" s="47">
        <v>380</v>
      </c>
      <c r="G34" s="47">
        <v>4576628</v>
      </c>
      <c r="H34" s="47">
        <v>8.3000000000000007</v>
      </c>
      <c r="I34" s="47">
        <v>8.1999999999999993</v>
      </c>
      <c r="J34" s="47" t="s">
        <v>2164</v>
      </c>
      <c r="K34" s="47"/>
      <c r="L34" s="47"/>
      <c r="M34" s="47"/>
      <c r="N34" s="47"/>
      <c r="O34" s="47"/>
      <c r="P34" s="47"/>
      <c r="Q34" s="47"/>
      <c r="R34" s="47"/>
      <c r="S34" s="47"/>
      <c r="T34" s="47"/>
      <c r="U34" s="47"/>
      <c r="V34" s="47"/>
      <c r="W34" s="47"/>
      <c r="X34" s="47"/>
      <c r="Y34" s="47"/>
      <c r="Z34" s="47"/>
      <c r="AA34" s="47"/>
    </row>
    <row r="35" spans="1:27" ht="18" customHeight="1">
      <c r="A35" s="47"/>
      <c r="B35" s="47" t="s">
        <v>184</v>
      </c>
      <c r="C35" s="47">
        <v>28</v>
      </c>
      <c r="D35" s="47">
        <v>2005</v>
      </c>
      <c r="E35" s="47">
        <v>2005</v>
      </c>
      <c r="F35" s="47">
        <v>272</v>
      </c>
      <c r="G35" s="47">
        <v>2905943</v>
      </c>
      <c r="H35" s="47">
        <v>9.4</v>
      </c>
      <c r="I35" s="47">
        <v>9.1999999999999993</v>
      </c>
      <c r="J35" s="47" t="s">
        <v>2165</v>
      </c>
      <c r="K35" s="47"/>
      <c r="L35" s="47"/>
      <c r="M35" s="47"/>
      <c r="N35" s="47"/>
      <c r="O35" s="47"/>
      <c r="P35" s="47"/>
      <c r="Q35" s="47"/>
      <c r="R35" s="47"/>
      <c r="S35" s="47"/>
      <c r="T35" s="47"/>
      <c r="U35" s="47"/>
      <c r="V35" s="47"/>
      <c r="W35" s="47"/>
      <c r="X35" s="47"/>
      <c r="Y35" s="47"/>
      <c r="Z35" s="47"/>
      <c r="AA35" s="47"/>
    </row>
    <row r="36" spans="1:27" ht="18" customHeight="1">
      <c r="A36" s="47"/>
      <c r="B36" s="47" t="s">
        <v>99</v>
      </c>
      <c r="C36" s="47">
        <v>22</v>
      </c>
      <c r="D36" s="47">
        <v>2004</v>
      </c>
      <c r="E36" s="47">
        <v>2004</v>
      </c>
      <c r="F36" s="47">
        <v>363</v>
      </c>
      <c r="G36" s="47">
        <v>4552238</v>
      </c>
      <c r="H36" s="47">
        <v>8</v>
      </c>
      <c r="I36" s="47">
        <v>8</v>
      </c>
      <c r="J36" s="47" t="s">
        <v>2166</v>
      </c>
      <c r="K36" s="47"/>
      <c r="L36" s="47"/>
      <c r="M36" s="47"/>
      <c r="N36" s="47"/>
      <c r="O36" s="47"/>
      <c r="P36" s="47"/>
      <c r="Q36" s="47"/>
      <c r="R36" s="47"/>
      <c r="S36" s="47"/>
      <c r="T36" s="47"/>
      <c r="U36" s="47"/>
      <c r="V36" s="47"/>
      <c r="W36" s="47"/>
      <c r="X36" s="47"/>
      <c r="Y36" s="47"/>
      <c r="Z36" s="47"/>
      <c r="AA36" s="47"/>
    </row>
    <row r="37" spans="1:27" ht="18" customHeight="1">
      <c r="A37" s="47"/>
      <c r="B37" s="47" t="s">
        <v>184</v>
      </c>
      <c r="C37" s="47">
        <v>28</v>
      </c>
      <c r="D37" s="47">
        <v>2004</v>
      </c>
      <c r="E37" s="47">
        <v>2004</v>
      </c>
      <c r="F37" s="47">
        <v>267</v>
      </c>
      <c r="G37" s="47">
        <v>2889010</v>
      </c>
      <c r="H37" s="47">
        <v>9.1999999999999993</v>
      </c>
      <c r="I37" s="47">
        <v>9.1999999999999993</v>
      </c>
      <c r="J37" s="47" t="s">
        <v>2167</v>
      </c>
      <c r="K37" s="47"/>
      <c r="L37" s="47"/>
      <c r="M37" s="47"/>
      <c r="N37" s="47"/>
      <c r="O37" s="47"/>
      <c r="P37" s="47"/>
      <c r="Q37" s="47"/>
      <c r="R37" s="47"/>
      <c r="S37" s="47"/>
      <c r="T37" s="47"/>
      <c r="U37" s="47"/>
      <c r="V37" s="47"/>
      <c r="W37" s="47"/>
      <c r="X37" s="47"/>
      <c r="Y37" s="47"/>
      <c r="Z37" s="47"/>
      <c r="AA37" s="47"/>
    </row>
    <row r="38" spans="1:27" ht="18" customHeight="1">
      <c r="A38" s="47"/>
      <c r="B38" s="47" t="s">
        <v>99</v>
      </c>
      <c r="C38" s="47">
        <v>22</v>
      </c>
      <c r="D38" s="47">
        <v>2003</v>
      </c>
      <c r="E38" s="47">
        <v>2003</v>
      </c>
      <c r="F38" s="47">
        <v>356</v>
      </c>
      <c r="G38" s="47">
        <v>4521042</v>
      </c>
      <c r="H38" s="47">
        <v>7.9</v>
      </c>
      <c r="I38" s="47">
        <v>8</v>
      </c>
      <c r="J38" s="47" t="s">
        <v>2168</v>
      </c>
      <c r="K38" s="47"/>
      <c r="L38" s="47"/>
      <c r="M38" s="47"/>
      <c r="N38" s="47"/>
      <c r="O38" s="47"/>
      <c r="P38" s="47"/>
      <c r="Q38" s="47"/>
      <c r="R38" s="47"/>
      <c r="S38" s="47"/>
      <c r="T38" s="47"/>
      <c r="U38" s="47"/>
      <c r="V38" s="47"/>
      <c r="W38" s="47"/>
      <c r="X38" s="47"/>
      <c r="Y38" s="47"/>
      <c r="Z38" s="47"/>
      <c r="AA38" s="47"/>
    </row>
    <row r="39" spans="1:27" ht="18" customHeight="1">
      <c r="A39" s="47"/>
      <c r="B39" s="47" t="s">
        <v>184</v>
      </c>
      <c r="C39" s="47">
        <v>28</v>
      </c>
      <c r="D39" s="47">
        <v>2003</v>
      </c>
      <c r="E39" s="47">
        <v>2003</v>
      </c>
      <c r="F39" s="47">
        <v>220</v>
      </c>
      <c r="G39" s="47">
        <v>2868312</v>
      </c>
      <c r="H39" s="47">
        <v>7.7</v>
      </c>
      <c r="I39" s="47">
        <v>7.7</v>
      </c>
      <c r="J39" s="47" t="s">
        <v>2154</v>
      </c>
      <c r="K39" s="47"/>
      <c r="L39" s="47"/>
      <c r="M39" s="47"/>
      <c r="N39" s="47"/>
      <c r="O39" s="47"/>
      <c r="P39" s="47"/>
      <c r="Q39" s="47"/>
      <c r="R39" s="47"/>
      <c r="S39" s="47"/>
      <c r="T39" s="47"/>
      <c r="U39" s="47"/>
      <c r="V39" s="47"/>
      <c r="W39" s="47"/>
      <c r="X39" s="47"/>
      <c r="Y39" s="47"/>
      <c r="Z39" s="47"/>
      <c r="AA39" s="47"/>
    </row>
    <row r="40" spans="1:27" ht="18" customHeight="1">
      <c r="A40" s="47"/>
      <c r="B40" s="47" t="s">
        <v>99</v>
      </c>
      <c r="C40" s="47">
        <v>22</v>
      </c>
      <c r="D40" s="47">
        <v>2002</v>
      </c>
      <c r="E40" s="47">
        <v>2002</v>
      </c>
      <c r="F40" s="47">
        <v>365</v>
      </c>
      <c r="G40" s="47">
        <v>4497267</v>
      </c>
      <c r="H40" s="47">
        <v>8.1</v>
      </c>
      <c r="I40" s="47">
        <v>8.3000000000000007</v>
      </c>
      <c r="J40" s="47" t="s">
        <v>2169</v>
      </c>
      <c r="K40" s="47"/>
      <c r="L40" s="47"/>
      <c r="M40" s="47"/>
      <c r="N40" s="47"/>
      <c r="O40" s="47"/>
      <c r="P40" s="47"/>
      <c r="Q40" s="47"/>
      <c r="R40" s="47"/>
      <c r="S40" s="47"/>
      <c r="T40" s="47"/>
      <c r="U40" s="47"/>
      <c r="V40" s="47"/>
      <c r="W40" s="47"/>
      <c r="X40" s="47"/>
      <c r="Y40" s="47"/>
      <c r="Z40" s="47"/>
      <c r="AA40" s="47"/>
    </row>
    <row r="41" spans="1:27" ht="18" customHeight="1">
      <c r="A41" s="47"/>
      <c r="B41" s="47" t="s">
        <v>184</v>
      </c>
      <c r="C41" s="47">
        <v>28</v>
      </c>
      <c r="D41" s="47">
        <v>2002</v>
      </c>
      <c r="E41" s="47">
        <v>2002</v>
      </c>
      <c r="F41" s="47">
        <v>229</v>
      </c>
      <c r="G41" s="47">
        <v>2858681</v>
      </c>
      <c r="H41" s="47">
        <v>8</v>
      </c>
      <c r="I41" s="47">
        <v>8.1</v>
      </c>
      <c r="J41" s="47" t="s">
        <v>2154</v>
      </c>
      <c r="K41" s="47"/>
      <c r="L41" s="47"/>
      <c r="M41" s="47"/>
      <c r="N41" s="47"/>
      <c r="O41" s="47"/>
      <c r="P41" s="47"/>
      <c r="Q41" s="47"/>
      <c r="R41" s="47"/>
      <c r="S41" s="47"/>
      <c r="T41" s="47"/>
      <c r="U41" s="47"/>
      <c r="V41" s="47"/>
      <c r="W41" s="47"/>
      <c r="X41" s="47"/>
      <c r="Y41" s="47"/>
      <c r="Z41" s="47"/>
      <c r="AA41" s="47"/>
    </row>
    <row r="42" spans="1:27" ht="18" customHeight="1">
      <c r="A42" s="47"/>
      <c r="B42" s="47" t="s">
        <v>99</v>
      </c>
      <c r="C42" s="47">
        <v>22</v>
      </c>
      <c r="D42" s="47">
        <v>2001</v>
      </c>
      <c r="E42" s="47">
        <v>2001</v>
      </c>
      <c r="F42" s="47">
        <v>327</v>
      </c>
      <c r="G42" s="47">
        <v>4477875</v>
      </c>
      <c r="H42" s="47">
        <v>7.3</v>
      </c>
      <c r="I42" s="47">
        <v>7.6</v>
      </c>
      <c r="J42" s="47" t="s">
        <v>2261</v>
      </c>
      <c r="K42" s="47"/>
      <c r="L42" s="47"/>
      <c r="M42" s="47"/>
      <c r="N42" s="47"/>
      <c r="O42" s="47"/>
      <c r="P42" s="47"/>
      <c r="Q42" s="47"/>
      <c r="R42" s="47"/>
      <c r="S42" s="47"/>
      <c r="T42" s="47"/>
      <c r="U42" s="47"/>
      <c r="V42" s="47"/>
      <c r="W42" s="47"/>
      <c r="X42" s="47"/>
      <c r="Y42" s="47"/>
      <c r="Z42" s="47"/>
      <c r="AA42" s="47"/>
    </row>
    <row r="43" spans="1:27" ht="18" customHeight="1">
      <c r="A43" s="47"/>
      <c r="B43" s="47" t="s">
        <v>184</v>
      </c>
      <c r="C43" s="47">
        <v>28</v>
      </c>
      <c r="D43" s="47">
        <v>2001</v>
      </c>
      <c r="E43" s="47">
        <v>2001</v>
      </c>
      <c r="F43" s="47">
        <v>265</v>
      </c>
      <c r="G43" s="47">
        <v>2852994</v>
      </c>
      <c r="H43" s="47">
        <v>9.3000000000000007</v>
      </c>
      <c r="I43" s="47">
        <v>9.6</v>
      </c>
      <c r="J43" s="47" t="s">
        <v>2154</v>
      </c>
      <c r="K43" s="47"/>
      <c r="L43" s="47"/>
      <c r="M43" s="47"/>
      <c r="N43" s="47"/>
      <c r="O43" s="47"/>
      <c r="P43" s="47"/>
      <c r="Q43" s="47"/>
      <c r="R43" s="47"/>
      <c r="S43" s="47"/>
      <c r="T43" s="47"/>
      <c r="U43" s="47"/>
      <c r="V43" s="47"/>
      <c r="W43" s="47"/>
      <c r="X43" s="47"/>
      <c r="Y43" s="47"/>
      <c r="Z43" s="47"/>
      <c r="AA43" s="47"/>
    </row>
    <row r="44" spans="1:27" ht="18" customHeight="1">
      <c r="A44" s="47"/>
      <c r="B44" s="47" t="s">
        <v>99</v>
      </c>
      <c r="C44" s="47">
        <v>22</v>
      </c>
      <c r="D44" s="47">
        <v>2000</v>
      </c>
      <c r="E44" s="47">
        <v>2000</v>
      </c>
      <c r="F44" s="47">
        <v>366</v>
      </c>
      <c r="G44" s="47">
        <v>4468976</v>
      </c>
      <c r="H44" s="47">
        <v>8.1999999999999993</v>
      </c>
      <c r="I44" s="47">
        <v>8.6</v>
      </c>
      <c r="J44" s="47" t="s">
        <v>2171</v>
      </c>
      <c r="K44" s="47"/>
      <c r="L44" s="47"/>
      <c r="M44" s="47"/>
      <c r="N44" s="47"/>
      <c r="O44" s="47"/>
      <c r="P44" s="47"/>
      <c r="Q44" s="47"/>
      <c r="R44" s="47"/>
      <c r="S44" s="47"/>
      <c r="T44" s="47"/>
      <c r="U44" s="47"/>
      <c r="V44" s="47"/>
      <c r="W44" s="47"/>
      <c r="X44" s="47"/>
      <c r="Y44" s="47"/>
      <c r="Z44" s="47"/>
      <c r="AA44" s="47"/>
    </row>
    <row r="45" spans="1:27" ht="18" customHeight="1">
      <c r="A45" s="47"/>
      <c r="B45" s="47" t="s">
        <v>184</v>
      </c>
      <c r="C45" s="47">
        <v>28</v>
      </c>
      <c r="D45" s="47">
        <v>2000</v>
      </c>
      <c r="E45" s="47">
        <v>2000</v>
      </c>
      <c r="F45" s="47">
        <v>246</v>
      </c>
      <c r="G45" s="47">
        <v>2844658</v>
      </c>
      <c r="H45" s="47">
        <v>8.6</v>
      </c>
      <c r="I45" s="47">
        <v>9</v>
      </c>
      <c r="J45" s="47" t="s">
        <v>2172</v>
      </c>
      <c r="K45" s="47"/>
      <c r="L45" s="47"/>
      <c r="M45" s="47"/>
      <c r="N45" s="47"/>
      <c r="O45" s="47"/>
      <c r="P45" s="47"/>
      <c r="Q45" s="47"/>
      <c r="R45" s="47"/>
      <c r="S45" s="47"/>
      <c r="T45" s="47"/>
      <c r="U45" s="47"/>
      <c r="V45" s="47"/>
      <c r="W45" s="47"/>
      <c r="X45" s="47"/>
      <c r="Y45" s="47"/>
      <c r="Z45" s="47"/>
      <c r="AA45" s="47"/>
    </row>
    <row r="46" spans="1:27" ht="18" customHeight="1">
      <c r="A46" s="47"/>
      <c r="B46" s="47" t="s">
        <v>99</v>
      </c>
      <c r="C46" s="47">
        <v>22</v>
      </c>
      <c r="D46" s="47">
        <v>1999</v>
      </c>
      <c r="E46" s="47">
        <v>1999</v>
      </c>
      <c r="F46" s="47">
        <v>392</v>
      </c>
      <c r="G46" s="47">
        <v>4460811</v>
      </c>
      <c r="H46" s="47">
        <v>8.8000000000000007</v>
      </c>
      <c r="I46" s="47">
        <v>9.4</v>
      </c>
      <c r="J46" s="47" t="s">
        <v>2173</v>
      </c>
      <c r="K46" s="47"/>
      <c r="L46" s="47"/>
      <c r="M46" s="47"/>
      <c r="N46" s="47"/>
      <c r="O46" s="47"/>
      <c r="P46" s="47"/>
      <c r="Q46" s="47"/>
      <c r="R46" s="47"/>
      <c r="S46" s="47"/>
      <c r="T46" s="47"/>
      <c r="U46" s="47"/>
      <c r="V46" s="47"/>
      <c r="W46" s="47"/>
      <c r="X46" s="47"/>
      <c r="Y46" s="47"/>
      <c r="Z46" s="47"/>
      <c r="AA46" s="47"/>
    </row>
    <row r="47" spans="1:27" ht="18" customHeight="1">
      <c r="A47" s="47"/>
      <c r="B47" s="47" t="s">
        <v>184</v>
      </c>
      <c r="C47" s="47">
        <v>28</v>
      </c>
      <c r="D47" s="47">
        <v>1999</v>
      </c>
      <c r="E47" s="47">
        <v>1999</v>
      </c>
      <c r="F47" s="47">
        <v>250</v>
      </c>
      <c r="G47" s="47">
        <v>2828408</v>
      </c>
      <c r="H47" s="47">
        <v>8.8000000000000007</v>
      </c>
      <c r="I47" s="47">
        <v>9.3000000000000007</v>
      </c>
      <c r="J47" s="47" t="s">
        <v>2262</v>
      </c>
      <c r="K47" s="47"/>
      <c r="L47" s="47"/>
      <c r="M47" s="47"/>
      <c r="N47" s="47"/>
      <c r="O47" s="47"/>
      <c r="P47" s="47"/>
      <c r="Q47" s="47"/>
      <c r="R47" s="47"/>
      <c r="S47" s="47"/>
      <c r="T47" s="47"/>
      <c r="U47" s="47"/>
      <c r="V47" s="47"/>
      <c r="W47" s="47"/>
      <c r="X47" s="47"/>
      <c r="Y47" s="47"/>
      <c r="Z47" s="47"/>
      <c r="AA47" s="47"/>
    </row>
    <row r="48" spans="1:27" ht="18" customHeight="1">
      <c r="A48" s="47" t="s">
        <v>2132</v>
      </c>
      <c r="B48" s="47" t="s">
        <v>99</v>
      </c>
      <c r="C48" s="47">
        <v>22</v>
      </c>
      <c r="D48" s="47"/>
      <c r="E48" s="47"/>
      <c r="F48" s="47">
        <v>9469</v>
      </c>
      <c r="G48" s="47">
        <v>100136377</v>
      </c>
      <c r="H48" s="47">
        <v>9.5</v>
      </c>
      <c r="I48" s="47">
        <v>8.9</v>
      </c>
      <c r="J48" s="47" t="s">
        <v>2154</v>
      </c>
      <c r="K48" s="47"/>
      <c r="L48" s="47"/>
      <c r="M48" s="47"/>
      <c r="N48" s="47"/>
      <c r="O48" s="47"/>
      <c r="P48" s="47"/>
      <c r="Q48" s="47"/>
      <c r="R48" s="47"/>
      <c r="S48" s="47"/>
      <c r="T48" s="47"/>
      <c r="U48" s="47"/>
      <c r="V48" s="47"/>
      <c r="W48" s="47"/>
      <c r="X48" s="47"/>
      <c r="Y48" s="47"/>
      <c r="Z48" s="47"/>
      <c r="AA48" s="47"/>
    </row>
    <row r="49" spans="1:27" ht="18" customHeight="1">
      <c r="A49" s="47" t="s">
        <v>2132</v>
      </c>
      <c r="B49" s="47" t="s">
        <v>184</v>
      </c>
      <c r="C49" s="47">
        <v>28</v>
      </c>
      <c r="D49" s="47"/>
      <c r="E49" s="47"/>
      <c r="F49" s="47">
        <v>7085</v>
      </c>
      <c r="G49" s="47">
        <v>64598559</v>
      </c>
      <c r="H49" s="47">
        <v>11</v>
      </c>
      <c r="I49" s="47">
        <v>10.3</v>
      </c>
      <c r="J49" s="47" t="s">
        <v>2175</v>
      </c>
      <c r="K49" s="47"/>
      <c r="L49" s="47"/>
      <c r="M49" s="47"/>
      <c r="N49" s="47"/>
      <c r="O49" s="47"/>
      <c r="P49" s="47"/>
      <c r="Q49" s="47"/>
      <c r="R49" s="47"/>
      <c r="S49" s="47"/>
      <c r="T49" s="47"/>
      <c r="U49" s="47"/>
      <c r="V49" s="47"/>
      <c r="W49" s="47"/>
      <c r="X49" s="47"/>
      <c r="Y49" s="47"/>
      <c r="Z49" s="47"/>
      <c r="AA49" s="47"/>
    </row>
    <row r="50" spans="1:27" ht="18" customHeight="1">
      <c r="A50" s="47" t="s">
        <v>2132</v>
      </c>
      <c r="B50" s="47"/>
      <c r="C50" s="47"/>
      <c r="D50" s="47"/>
      <c r="E50" s="47"/>
      <c r="F50" s="47">
        <v>16554</v>
      </c>
      <c r="G50" s="47">
        <v>164734936</v>
      </c>
      <c r="H50" s="47">
        <v>10</v>
      </c>
      <c r="I50" s="47">
        <v>9.4</v>
      </c>
      <c r="J50" s="47" t="s">
        <v>2176</v>
      </c>
      <c r="K50" s="47"/>
      <c r="L50" s="47"/>
      <c r="M50" s="47"/>
      <c r="N50" s="47"/>
      <c r="O50" s="47"/>
      <c r="P50" s="47"/>
      <c r="Q50" s="47"/>
      <c r="R50" s="47"/>
      <c r="S50" s="47"/>
      <c r="T50" s="47"/>
      <c r="U50" s="47"/>
      <c r="V50" s="47"/>
      <c r="W50" s="47"/>
      <c r="X50" s="47"/>
      <c r="Y50" s="47"/>
      <c r="Z50" s="47"/>
      <c r="AA50" s="47"/>
    </row>
    <row r="51" spans="1:27" ht="18" customHeight="1">
      <c r="A51" s="47" t="s">
        <v>2154</v>
      </c>
      <c r="B51" s="47"/>
      <c r="C51" s="47"/>
      <c r="D51" s="47"/>
      <c r="E51" s="47"/>
      <c r="F51" s="47"/>
      <c r="G51" s="47"/>
      <c r="H51" s="47"/>
      <c r="I51" s="47"/>
      <c r="J51" s="47" t="s">
        <v>2177</v>
      </c>
      <c r="K51" s="47"/>
      <c r="L51" s="47"/>
      <c r="M51" s="47"/>
      <c r="N51" s="47"/>
      <c r="O51" s="47"/>
      <c r="P51" s="47"/>
      <c r="Q51" s="47"/>
      <c r="R51" s="47"/>
      <c r="S51" s="47"/>
      <c r="T51" s="47"/>
      <c r="U51" s="47"/>
      <c r="V51" s="47"/>
      <c r="W51" s="47"/>
      <c r="X51" s="47"/>
      <c r="Y51" s="47"/>
      <c r="Z51" s="47"/>
      <c r="AA51" s="47"/>
    </row>
    <row r="52" spans="1:27" ht="18" customHeight="1">
      <c r="A52" s="47" t="s">
        <v>2181</v>
      </c>
      <c r="B52" s="47"/>
      <c r="C52" s="47"/>
      <c r="D52" s="47"/>
      <c r="E52" s="47"/>
      <c r="F52" s="47"/>
      <c r="G52" s="47"/>
      <c r="H52" s="47"/>
      <c r="I52" s="47"/>
      <c r="J52" s="47" t="s">
        <v>2178</v>
      </c>
      <c r="K52" s="47"/>
      <c r="L52" s="47"/>
      <c r="M52" s="47"/>
      <c r="N52" s="47"/>
      <c r="O52" s="47"/>
      <c r="P52" s="47"/>
      <c r="Q52" s="47"/>
      <c r="R52" s="47"/>
      <c r="S52" s="47"/>
      <c r="T52" s="47"/>
      <c r="U52" s="47"/>
      <c r="V52" s="47"/>
      <c r="W52" s="47"/>
      <c r="X52" s="47"/>
      <c r="Y52" s="47"/>
      <c r="Z52" s="47"/>
      <c r="AA52" s="47"/>
    </row>
    <row r="53" spans="1:27" ht="18" customHeight="1">
      <c r="A53" s="47" t="s">
        <v>2156</v>
      </c>
      <c r="B53" s="47"/>
      <c r="C53" s="47"/>
      <c r="D53" s="47"/>
      <c r="E53" s="47"/>
      <c r="F53" s="47"/>
      <c r="G53" s="47"/>
      <c r="H53" s="47"/>
      <c r="I53" s="47"/>
      <c r="J53" s="47" t="s">
        <v>2179</v>
      </c>
      <c r="K53" s="47"/>
      <c r="L53" s="47"/>
      <c r="M53" s="47"/>
      <c r="N53" s="47"/>
      <c r="O53" s="47"/>
      <c r="P53" s="47"/>
      <c r="Q53" s="47"/>
      <c r="R53" s="47"/>
      <c r="S53" s="47"/>
      <c r="T53" s="47"/>
      <c r="U53" s="47"/>
      <c r="V53" s="47"/>
      <c r="W53" s="47"/>
      <c r="X53" s="47"/>
      <c r="Y53" s="47"/>
      <c r="Z53" s="47"/>
      <c r="AA53" s="47"/>
    </row>
    <row r="54" spans="1:27" ht="18" customHeight="1">
      <c r="A54" s="47" t="s">
        <v>2254</v>
      </c>
      <c r="B54" s="47"/>
      <c r="C54" s="47"/>
      <c r="D54" s="47"/>
      <c r="E54" s="47"/>
      <c r="F54" s="47"/>
      <c r="G54" s="47"/>
      <c r="H54" s="47"/>
      <c r="I54" s="47"/>
      <c r="J54" s="47" t="s">
        <v>2180</v>
      </c>
      <c r="K54" s="47"/>
      <c r="L54" s="47"/>
      <c r="M54" s="47"/>
      <c r="N54" s="47"/>
      <c r="O54" s="47"/>
      <c r="P54" s="47"/>
      <c r="Q54" s="47"/>
      <c r="R54" s="47"/>
      <c r="S54" s="47"/>
      <c r="T54" s="47"/>
      <c r="U54" s="47"/>
      <c r="V54" s="47"/>
      <c r="W54" s="47"/>
      <c r="X54" s="47"/>
      <c r="Y54" s="47"/>
      <c r="Z54" s="47"/>
      <c r="AA54" s="47"/>
    </row>
    <row r="55" spans="1:27" ht="18" customHeight="1">
      <c r="A55" s="47" t="s">
        <v>2255</v>
      </c>
      <c r="B55" s="47"/>
      <c r="C55" s="47"/>
      <c r="D55" s="47"/>
      <c r="E55" s="47"/>
      <c r="F55" s="47"/>
      <c r="G55" s="47"/>
      <c r="H55" s="47"/>
      <c r="I55" s="47"/>
      <c r="J55" s="47" t="s">
        <v>2182</v>
      </c>
      <c r="K55" s="47"/>
      <c r="L55" s="47"/>
      <c r="M55" s="47"/>
      <c r="N55" s="47"/>
      <c r="O55" s="47"/>
      <c r="P55" s="47"/>
      <c r="Q55" s="47"/>
      <c r="R55" s="47"/>
      <c r="S55" s="47"/>
      <c r="T55" s="47"/>
      <c r="U55" s="47"/>
      <c r="V55" s="47"/>
      <c r="W55" s="47"/>
      <c r="X55" s="47"/>
      <c r="Y55" s="47"/>
      <c r="Z55" s="47"/>
      <c r="AA55" s="47"/>
    </row>
    <row r="56" spans="1:27" ht="18" customHeight="1">
      <c r="A56" s="47" t="s">
        <v>2256</v>
      </c>
      <c r="B56" s="47"/>
      <c r="C56" s="47"/>
      <c r="D56" s="47"/>
      <c r="E56" s="47"/>
      <c r="F56" s="47"/>
      <c r="G56" s="47"/>
      <c r="H56" s="47"/>
      <c r="I56" s="47"/>
      <c r="J56" s="47" t="s">
        <v>2183</v>
      </c>
      <c r="K56" s="47"/>
      <c r="L56" s="47"/>
      <c r="M56" s="47"/>
      <c r="N56" s="47"/>
      <c r="O56" s="47"/>
      <c r="P56" s="47"/>
      <c r="Q56" s="47"/>
      <c r="R56" s="47"/>
      <c r="S56" s="47"/>
      <c r="T56" s="47"/>
      <c r="U56" s="47"/>
      <c r="V56" s="47"/>
      <c r="W56" s="47"/>
      <c r="X56" s="47"/>
      <c r="Y56" s="47"/>
      <c r="Z56" s="47"/>
      <c r="AA56" s="47"/>
    </row>
    <row r="57" spans="1:27" ht="18" customHeight="1">
      <c r="A57" s="47" t="s">
        <v>2257</v>
      </c>
      <c r="B57" s="47"/>
      <c r="C57" s="47"/>
      <c r="D57" s="47"/>
      <c r="E57" s="47"/>
      <c r="F57" s="47"/>
      <c r="G57" s="47"/>
      <c r="H57" s="47"/>
      <c r="I57" s="47"/>
      <c r="J57" s="47" t="s">
        <v>2184</v>
      </c>
      <c r="K57" s="47"/>
      <c r="L57" s="47"/>
      <c r="M57" s="47"/>
      <c r="N57" s="47"/>
      <c r="O57" s="47"/>
      <c r="P57" s="47"/>
      <c r="Q57" s="47"/>
      <c r="R57" s="47"/>
      <c r="S57" s="47"/>
      <c r="T57" s="47"/>
      <c r="U57" s="47"/>
      <c r="V57" s="47"/>
      <c r="W57" s="47"/>
      <c r="X57" s="47"/>
      <c r="Y57" s="47"/>
      <c r="Z57" s="47"/>
      <c r="AA57" s="47"/>
    </row>
    <row r="58" spans="1:27" ht="18" customHeight="1">
      <c r="A58" s="47" t="s">
        <v>2258</v>
      </c>
      <c r="B58" s="47"/>
      <c r="C58" s="47"/>
      <c r="D58" s="47"/>
      <c r="E58" s="47"/>
      <c r="F58" s="47"/>
      <c r="G58" s="47"/>
      <c r="H58" s="47"/>
      <c r="I58" s="47"/>
      <c r="J58" s="47" t="s">
        <v>2185</v>
      </c>
      <c r="K58" s="47"/>
      <c r="L58" s="47"/>
      <c r="M58" s="47"/>
      <c r="N58" s="47"/>
      <c r="O58" s="47"/>
      <c r="P58" s="47"/>
      <c r="Q58" s="47"/>
      <c r="R58" s="47"/>
      <c r="S58" s="47"/>
      <c r="T58" s="47"/>
      <c r="U58" s="47"/>
      <c r="V58" s="47"/>
      <c r="W58" s="47"/>
      <c r="X58" s="47"/>
      <c r="Y58" s="47"/>
      <c r="Z58" s="47"/>
      <c r="AA58" s="47"/>
    </row>
    <row r="59" spans="1:27" ht="18" customHeight="1">
      <c r="A59" s="47" t="s">
        <v>2259</v>
      </c>
      <c r="B59" s="47"/>
      <c r="C59" s="47"/>
      <c r="D59" s="47"/>
      <c r="E59" s="47"/>
      <c r="F59" s="47"/>
      <c r="G59" s="47"/>
      <c r="H59" s="47"/>
      <c r="I59" s="47"/>
      <c r="J59" s="47" t="s">
        <v>2186</v>
      </c>
      <c r="K59" s="47"/>
      <c r="L59" s="47"/>
      <c r="M59" s="47"/>
      <c r="N59" s="47"/>
      <c r="O59" s="47"/>
      <c r="P59" s="47"/>
      <c r="Q59" s="47"/>
      <c r="R59" s="47"/>
      <c r="S59" s="47"/>
      <c r="T59" s="47"/>
      <c r="U59" s="47"/>
      <c r="V59" s="47"/>
      <c r="W59" s="47"/>
      <c r="X59" s="47"/>
      <c r="Y59" s="47"/>
      <c r="Z59" s="47"/>
      <c r="AA59" s="47"/>
    </row>
    <row r="60" spans="1:27" ht="18" customHeight="1">
      <c r="A60" s="47" t="s">
        <v>2260</v>
      </c>
      <c r="B60" s="47"/>
      <c r="C60" s="47"/>
      <c r="D60" s="47"/>
      <c r="E60" s="47"/>
      <c r="F60" s="47"/>
      <c r="G60" s="47"/>
      <c r="H60" s="47"/>
      <c r="I60" s="47"/>
      <c r="J60" s="47" t="s">
        <v>2187</v>
      </c>
      <c r="K60" s="47"/>
      <c r="L60" s="47"/>
      <c r="M60" s="47"/>
      <c r="N60" s="47"/>
      <c r="O60" s="47"/>
      <c r="P60" s="47"/>
      <c r="Q60" s="47"/>
      <c r="R60" s="47"/>
      <c r="S60" s="47"/>
      <c r="T60" s="47"/>
      <c r="U60" s="47"/>
      <c r="V60" s="47"/>
      <c r="W60" s="47"/>
      <c r="X60" s="47"/>
      <c r="Y60" s="47"/>
      <c r="Z60" s="47"/>
      <c r="AA60" s="47"/>
    </row>
    <row r="61" spans="1:27" ht="18" customHeight="1">
      <c r="A61" s="47" t="s">
        <v>2161</v>
      </c>
      <c r="B61" s="47"/>
      <c r="C61" s="47"/>
      <c r="D61" s="47"/>
      <c r="E61" s="47"/>
      <c r="F61" s="47"/>
      <c r="G61" s="47"/>
      <c r="H61" s="47"/>
      <c r="I61" s="47"/>
      <c r="J61" s="47" t="s">
        <v>2188</v>
      </c>
      <c r="K61" s="47"/>
      <c r="L61" s="47"/>
      <c r="M61" s="47"/>
      <c r="N61" s="47"/>
      <c r="O61" s="47"/>
      <c r="P61" s="47"/>
      <c r="Q61" s="47"/>
      <c r="R61" s="47"/>
      <c r="S61" s="47"/>
      <c r="T61" s="47"/>
      <c r="U61" s="47"/>
      <c r="V61" s="47"/>
      <c r="W61" s="47"/>
      <c r="X61" s="47"/>
      <c r="Y61" s="47"/>
      <c r="Z61" s="47"/>
      <c r="AA61" s="47"/>
    </row>
    <row r="62" spans="1:27" ht="18" customHeight="1">
      <c r="A62" s="47" t="s">
        <v>2162</v>
      </c>
      <c r="B62" s="47"/>
      <c r="C62" s="47"/>
      <c r="D62" s="47"/>
      <c r="E62" s="47"/>
      <c r="F62" s="47"/>
      <c r="G62" s="47"/>
      <c r="H62" s="47"/>
      <c r="I62" s="47"/>
      <c r="J62" s="47" t="s">
        <v>2189</v>
      </c>
      <c r="K62" s="47"/>
      <c r="L62" s="47"/>
      <c r="M62" s="47"/>
      <c r="N62" s="47"/>
      <c r="O62" s="47"/>
      <c r="P62" s="47"/>
      <c r="Q62" s="47"/>
      <c r="R62" s="47"/>
      <c r="S62" s="47"/>
      <c r="T62" s="47"/>
      <c r="U62" s="47"/>
      <c r="V62" s="47"/>
      <c r="W62" s="47"/>
      <c r="X62" s="47"/>
      <c r="Y62" s="47"/>
      <c r="Z62" s="47"/>
      <c r="AA62" s="47"/>
    </row>
    <row r="63" spans="1:27" ht="18" customHeight="1">
      <c r="A63" s="47" t="s">
        <v>2163</v>
      </c>
      <c r="B63" s="47"/>
      <c r="C63" s="47"/>
      <c r="D63" s="47"/>
      <c r="E63" s="47"/>
      <c r="F63" s="47"/>
      <c r="G63" s="47"/>
      <c r="H63" s="47"/>
      <c r="I63" s="47"/>
      <c r="J63" s="47" t="s">
        <v>2190</v>
      </c>
      <c r="K63" s="47"/>
      <c r="L63" s="47"/>
      <c r="M63" s="47"/>
      <c r="N63" s="47"/>
      <c r="O63" s="47"/>
      <c r="P63" s="47"/>
      <c r="Q63" s="47"/>
      <c r="R63" s="47"/>
      <c r="S63" s="47"/>
      <c r="T63" s="47"/>
      <c r="U63" s="47"/>
      <c r="V63" s="47"/>
      <c r="W63" s="47"/>
      <c r="X63" s="47"/>
      <c r="Y63" s="47"/>
      <c r="Z63" s="47"/>
      <c r="AA63" s="47"/>
    </row>
    <row r="64" spans="1:27" ht="18" customHeight="1">
      <c r="A64" s="47" t="s">
        <v>2164</v>
      </c>
      <c r="B64" s="47"/>
      <c r="C64" s="47"/>
      <c r="D64" s="47"/>
      <c r="E64" s="47"/>
      <c r="F64" s="47"/>
      <c r="G64" s="47"/>
      <c r="H64" s="47"/>
      <c r="I64" s="47"/>
      <c r="J64" s="47" t="s">
        <v>2191</v>
      </c>
      <c r="K64" s="47"/>
      <c r="L64" s="47"/>
      <c r="M64" s="47"/>
      <c r="N64" s="47"/>
      <c r="O64" s="47"/>
      <c r="P64" s="47"/>
      <c r="Q64" s="47"/>
      <c r="R64" s="47"/>
      <c r="S64" s="47"/>
      <c r="T64" s="47"/>
      <c r="U64" s="47"/>
      <c r="V64" s="47"/>
      <c r="W64" s="47"/>
      <c r="X64" s="47"/>
      <c r="Y64" s="47"/>
      <c r="Z64" s="47"/>
      <c r="AA64" s="47"/>
    </row>
    <row r="65" spans="1:27" ht="18" customHeight="1">
      <c r="A65" s="47" t="s">
        <v>2165</v>
      </c>
      <c r="B65" s="47"/>
      <c r="C65" s="47"/>
      <c r="D65" s="47"/>
      <c r="E65" s="47"/>
      <c r="F65" s="47"/>
      <c r="G65" s="47"/>
      <c r="H65" s="47"/>
      <c r="I65" s="47"/>
      <c r="J65" s="47" t="s">
        <v>2192</v>
      </c>
      <c r="K65" s="47"/>
      <c r="L65" s="47"/>
      <c r="M65" s="47"/>
      <c r="N65" s="47"/>
      <c r="O65" s="47"/>
      <c r="P65" s="47"/>
      <c r="Q65" s="47"/>
      <c r="R65" s="47"/>
      <c r="S65" s="47"/>
      <c r="T65" s="47"/>
      <c r="U65" s="47"/>
      <c r="V65" s="47"/>
      <c r="W65" s="47"/>
      <c r="X65" s="47"/>
      <c r="Y65" s="47"/>
      <c r="Z65" s="47"/>
      <c r="AA65" s="47"/>
    </row>
    <row r="66" spans="1:27" ht="18" customHeight="1">
      <c r="A66" s="47" t="s">
        <v>2166</v>
      </c>
      <c r="B66" s="47"/>
      <c r="C66" s="47"/>
      <c r="D66" s="47"/>
      <c r="E66" s="47"/>
      <c r="F66" s="47"/>
      <c r="G66" s="47"/>
      <c r="H66" s="47"/>
      <c r="I66" s="47"/>
      <c r="J66" s="47" t="s">
        <v>2193</v>
      </c>
      <c r="K66" s="47"/>
      <c r="L66" s="47"/>
      <c r="M66" s="47"/>
      <c r="N66" s="47"/>
      <c r="O66" s="47"/>
      <c r="P66" s="47"/>
      <c r="Q66" s="47"/>
      <c r="R66" s="47"/>
      <c r="S66" s="47"/>
      <c r="T66" s="47"/>
      <c r="U66" s="47"/>
      <c r="V66" s="47"/>
      <c r="W66" s="47"/>
      <c r="X66" s="47"/>
      <c r="Y66" s="47"/>
      <c r="Z66" s="47"/>
      <c r="AA66" s="47"/>
    </row>
    <row r="67" spans="1:27" ht="18" customHeight="1">
      <c r="A67" s="47" t="s">
        <v>2167</v>
      </c>
      <c r="B67" s="47"/>
      <c r="C67" s="47"/>
      <c r="D67" s="47"/>
      <c r="E67" s="47"/>
      <c r="F67" s="47"/>
      <c r="G67" s="47"/>
      <c r="H67" s="47"/>
      <c r="I67" s="47"/>
      <c r="J67" s="47" t="s">
        <v>2194</v>
      </c>
      <c r="K67" s="47"/>
      <c r="L67" s="47"/>
      <c r="M67" s="47"/>
      <c r="N67" s="47"/>
      <c r="O67" s="47"/>
      <c r="P67" s="47"/>
      <c r="Q67" s="47"/>
      <c r="R67" s="47"/>
      <c r="S67" s="47"/>
      <c r="T67" s="47"/>
      <c r="U67" s="47"/>
      <c r="V67" s="47"/>
      <c r="W67" s="47"/>
      <c r="X67" s="47"/>
      <c r="Y67" s="47"/>
      <c r="Z67" s="47"/>
      <c r="AA67" s="47"/>
    </row>
    <row r="68" spans="1:27" ht="18" customHeight="1">
      <c r="A68" s="47" t="s">
        <v>2168</v>
      </c>
      <c r="B68" s="47"/>
      <c r="C68" s="47"/>
      <c r="D68" s="47"/>
      <c r="E68" s="47"/>
      <c r="F68" s="47"/>
      <c r="G68" s="47"/>
      <c r="H68" s="47"/>
      <c r="I68" s="47"/>
      <c r="J68" s="47" t="s">
        <v>2195</v>
      </c>
      <c r="K68" s="47"/>
      <c r="L68" s="47"/>
      <c r="M68" s="47"/>
      <c r="N68" s="47"/>
      <c r="O68" s="47"/>
      <c r="P68" s="47"/>
      <c r="Q68" s="47"/>
      <c r="R68" s="47"/>
      <c r="S68" s="47"/>
      <c r="T68" s="47"/>
      <c r="U68" s="47"/>
      <c r="V68" s="47"/>
      <c r="W68" s="47"/>
      <c r="X68" s="47"/>
      <c r="Y68" s="47"/>
      <c r="Z68" s="47"/>
      <c r="AA68" s="47"/>
    </row>
    <row r="69" spans="1:27" ht="18" customHeight="1">
      <c r="A69" s="47" t="s">
        <v>2154</v>
      </c>
      <c r="B69" s="47"/>
      <c r="C69" s="47"/>
      <c r="D69" s="47"/>
      <c r="E69" s="47"/>
      <c r="F69" s="47"/>
      <c r="G69" s="47"/>
      <c r="H69" s="47"/>
      <c r="I69" s="47"/>
      <c r="J69" s="47" t="s">
        <v>2196</v>
      </c>
      <c r="K69" s="47"/>
      <c r="L69" s="47"/>
      <c r="M69" s="47"/>
      <c r="N69" s="47"/>
      <c r="O69" s="47"/>
      <c r="P69" s="47"/>
      <c r="Q69" s="47"/>
      <c r="R69" s="47"/>
      <c r="S69" s="47"/>
      <c r="T69" s="47"/>
      <c r="U69" s="47"/>
      <c r="V69" s="47"/>
      <c r="W69" s="47"/>
      <c r="X69" s="47"/>
      <c r="Y69" s="47"/>
      <c r="Z69" s="47"/>
      <c r="AA69" s="47"/>
    </row>
    <row r="70" spans="1:27" ht="18" customHeight="1">
      <c r="A70" s="47" t="s">
        <v>2197</v>
      </c>
      <c r="B70" s="47"/>
      <c r="C70" s="47"/>
      <c r="D70" s="47"/>
      <c r="E70" s="47"/>
      <c r="F70" s="47"/>
      <c r="G70" s="47"/>
      <c r="H70" s="47"/>
      <c r="I70" s="47"/>
      <c r="J70" s="47" t="s">
        <v>2198</v>
      </c>
      <c r="K70" s="47"/>
      <c r="L70" s="47"/>
      <c r="M70" s="47"/>
      <c r="N70" s="47"/>
      <c r="O70" s="47"/>
      <c r="P70" s="47"/>
      <c r="Q70" s="47"/>
      <c r="R70" s="47"/>
      <c r="S70" s="47"/>
      <c r="T70" s="47"/>
      <c r="U70" s="47"/>
      <c r="V70" s="47"/>
      <c r="W70" s="47"/>
      <c r="X70" s="47"/>
      <c r="Y70" s="47"/>
      <c r="Z70" s="47"/>
      <c r="AA70" s="47"/>
    </row>
    <row r="71" spans="1:27" ht="18" customHeight="1">
      <c r="A71" s="47" t="s">
        <v>2154</v>
      </c>
      <c r="B71" s="47"/>
      <c r="C71" s="47"/>
      <c r="D71" s="47"/>
      <c r="E71" s="47"/>
      <c r="F71" s="47"/>
      <c r="G71" s="47"/>
      <c r="H71" s="47"/>
      <c r="I71" s="47"/>
      <c r="J71" s="47" t="s">
        <v>2199</v>
      </c>
      <c r="K71" s="47"/>
      <c r="L71" s="47"/>
      <c r="M71" s="47"/>
      <c r="N71" s="47"/>
      <c r="O71" s="47"/>
      <c r="P71" s="47"/>
      <c r="Q71" s="47"/>
      <c r="R71" s="47"/>
      <c r="S71" s="47"/>
      <c r="T71" s="47"/>
      <c r="U71" s="47"/>
      <c r="V71" s="47"/>
      <c r="W71" s="47"/>
      <c r="X71" s="47"/>
      <c r="Y71" s="47"/>
      <c r="Z71" s="47"/>
      <c r="AA71" s="47"/>
    </row>
    <row r="72" spans="1:27" ht="18" customHeight="1">
      <c r="A72" s="47" t="s">
        <v>2263</v>
      </c>
      <c r="B72" s="47"/>
      <c r="C72" s="47"/>
      <c r="D72" s="47"/>
      <c r="E72" s="47"/>
      <c r="F72" s="47"/>
      <c r="G72" s="47"/>
      <c r="H72" s="47"/>
      <c r="I72" s="47"/>
      <c r="J72" s="47" t="s">
        <v>2201</v>
      </c>
      <c r="K72" s="47"/>
      <c r="L72" s="47"/>
      <c r="M72" s="47"/>
      <c r="N72" s="47"/>
      <c r="O72" s="47"/>
      <c r="P72" s="47"/>
      <c r="Q72" s="47"/>
      <c r="R72" s="47"/>
      <c r="S72" s="47"/>
      <c r="T72" s="47"/>
      <c r="U72" s="47"/>
      <c r="V72" s="47"/>
      <c r="W72" s="47"/>
      <c r="X72" s="47"/>
      <c r="Y72" s="47"/>
      <c r="Z72" s="47"/>
      <c r="AA72" s="47"/>
    </row>
    <row r="73" spans="1:27" ht="18" customHeight="1">
      <c r="A73" s="47" t="s">
        <v>2154</v>
      </c>
      <c r="B73" s="47"/>
      <c r="C73" s="47"/>
      <c r="D73" s="47"/>
      <c r="E73" s="47"/>
      <c r="F73" s="47"/>
      <c r="G73" s="47"/>
      <c r="H73" s="47"/>
      <c r="I73" s="47"/>
      <c r="J73" s="47" t="s">
        <v>2202</v>
      </c>
      <c r="K73" s="47"/>
      <c r="L73" s="47"/>
      <c r="M73" s="47"/>
      <c r="N73" s="47"/>
      <c r="O73" s="47"/>
      <c r="P73" s="47"/>
      <c r="Q73" s="47"/>
      <c r="R73" s="47"/>
      <c r="S73" s="47"/>
      <c r="T73" s="47"/>
      <c r="U73" s="47"/>
      <c r="V73" s="47"/>
      <c r="W73" s="47"/>
      <c r="X73" s="47"/>
      <c r="Y73" s="47"/>
      <c r="Z73" s="47"/>
      <c r="AA73" s="47"/>
    </row>
    <row r="74" spans="1:27" ht="18" customHeight="1">
      <c r="A74" s="47" t="s">
        <v>2171</v>
      </c>
      <c r="B74" s="47"/>
      <c r="C74" s="47"/>
      <c r="D74" s="47"/>
      <c r="E74" s="47"/>
      <c r="F74" s="47"/>
      <c r="G74" s="47"/>
      <c r="H74" s="47"/>
      <c r="I74" s="47"/>
      <c r="J74" s="47" t="s">
        <v>2203</v>
      </c>
      <c r="K74" s="47"/>
      <c r="L74" s="47"/>
      <c r="M74" s="47"/>
      <c r="N74" s="47"/>
      <c r="O74" s="47"/>
      <c r="P74" s="47"/>
      <c r="Q74" s="47"/>
      <c r="R74" s="47"/>
      <c r="S74" s="47"/>
      <c r="T74" s="47"/>
      <c r="U74" s="47"/>
      <c r="V74" s="47"/>
      <c r="W74" s="47"/>
      <c r="X74" s="47"/>
      <c r="Y74" s="47"/>
      <c r="Z74" s="47"/>
      <c r="AA74" s="47"/>
    </row>
    <row r="75" spans="1:27" ht="18" customHeight="1">
      <c r="A75" s="47" t="s">
        <v>2204</v>
      </c>
      <c r="B75" s="47"/>
      <c r="C75" s="47"/>
      <c r="D75" s="47"/>
      <c r="E75" s="47"/>
      <c r="F75" s="47"/>
      <c r="G75" s="47"/>
      <c r="H75" s="47"/>
      <c r="I75" s="47"/>
      <c r="J75" s="47" t="s">
        <v>2205</v>
      </c>
      <c r="K75" s="47"/>
      <c r="L75" s="47"/>
      <c r="M75" s="47"/>
      <c r="N75" s="47"/>
      <c r="O75" s="47"/>
      <c r="P75" s="47"/>
      <c r="Q75" s="47"/>
      <c r="R75" s="47"/>
      <c r="S75" s="47"/>
      <c r="T75" s="47"/>
      <c r="U75" s="47"/>
      <c r="V75" s="47"/>
      <c r="W75" s="47"/>
      <c r="X75" s="47"/>
      <c r="Y75" s="47"/>
      <c r="Z75" s="47"/>
      <c r="AA75" s="47"/>
    </row>
    <row r="76" spans="1:27" ht="18" customHeight="1">
      <c r="A76" s="47" t="s">
        <v>2206</v>
      </c>
      <c r="B76" s="47"/>
      <c r="C76" s="47"/>
      <c r="D76" s="47"/>
      <c r="E76" s="47"/>
      <c r="F76" s="47"/>
      <c r="G76" s="47"/>
      <c r="H76" s="47"/>
      <c r="I76" s="47"/>
      <c r="J76" s="47" t="s">
        <v>2207</v>
      </c>
      <c r="K76" s="47"/>
      <c r="L76" s="47"/>
      <c r="M76" s="47"/>
      <c r="N76" s="47"/>
      <c r="O76" s="47"/>
      <c r="P76" s="47"/>
      <c r="Q76" s="47"/>
      <c r="R76" s="47"/>
      <c r="S76" s="47"/>
      <c r="T76" s="47"/>
      <c r="U76" s="47"/>
      <c r="V76" s="47"/>
      <c r="W76" s="47"/>
      <c r="X76" s="47"/>
      <c r="Y76" s="47"/>
      <c r="Z76" s="47"/>
      <c r="AA76" s="47"/>
    </row>
    <row r="77" spans="1:27" ht="18" customHeight="1">
      <c r="A77" s="47" t="s">
        <v>2264</v>
      </c>
      <c r="B77" s="47"/>
      <c r="C77" s="47"/>
      <c r="D77" s="47"/>
      <c r="E77" s="47"/>
      <c r="F77" s="47"/>
      <c r="G77" s="47"/>
      <c r="H77" s="47"/>
      <c r="I77" s="47"/>
      <c r="J77" s="47" t="s">
        <v>2209</v>
      </c>
      <c r="K77" s="47"/>
      <c r="L77" s="47"/>
      <c r="M77" s="47"/>
      <c r="N77" s="47"/>
      <c r="O77" s="47"/>
      <c r="P77" s="47"/>
      <c r="Q77" s="47"/>
      <c r="R77" s="47"/>
      <c r="S77" s="47"/>
      <c r="T77" s="47"/>
      <c r="U77" s="47"/>
      <c r="V77" s="47"/>
      <c r="W77" s="47"/>
      <c r="X77" s="47"/>
      <c r="Y77" s="47"/>
      <c r="Z77" s="47"/>
      <c r="AA77" s="47"/>
    </row>
    <row r="78" spans="1:27" ht="18" customHeight="1">
      <c r="A78" s="47" t="s">
        <v>2154</v>
      </c>
      <c r="B78" s="47"/>
      <c r="C78" s="47"/>
      <c r="D78" s="47"/>
      <c r="E78" s="47"/>
      <c r="F78" s="47"/>
      <c r="G78" s="47"/>
      <c r="H78" s="47"/>
      <c r="I78" s="47"/>
      <c r="J78" s="47" t="s">
        <v>2210</v>
      </c>
      <c r="K78" s="47"/>
      <c r="L78" s="47"/>
      <c r="M78" s="47"/>
      <c r="N78" s="47"/>
      <c r="O78" s="47"/>
      <c r="P78" s="47"/>
      <c r="Q78" s="47"/>
      <c r="R78" s="47"/>
      <c r="S78" s="47"/>
      <c r="T78" s="47"/>
      <c r="U78" s="47"/>
      <c r="V78" s="47"/>
      <c r="W78" s="47"/>
      <c r="X78" s="47"/>
      <c r="Y78" s="47"/>
      <c r="Z78" s="47"/>
      <c r="AA78" s="47"/>
    </row>
    <row r="79" spans="1:27" ht="18" customHeight="1">
      <c r="A79" s="47" t="s">
        <v>2175</v>
      </c>
      <c r="B79" s="47"/>
      <c r="C79" s="47"/>
      <c r="D79" s="47"/>
      <c r="E79" s="47"/>
      <c r="F79" s="47"/>
      <c r="G79" s="47"/>
      <c r="H79" s="47"/>
      <c r="I79" s="47"/>
      <c r="J79" s="47" t="s">
        <v>2211</v>
      </c>
      <c r="K79" s="47"/>
      <c r="L79" s="47"/>
      <c r="M79" s="47"/>
      <c r="N79" s="47"/>
      <c r="O79" s="47"/>
      <c r="P79" s="47"/>
      <c r="Q79" s="47"/>
      <c r="R79" s="47"/>
      <c r="S79" s="47"/>
      <c r="T79" s="47"/>
      <c r="U79" s="47"/>
      <c r="V79" s="47"/>
      <c r="W79" s="47"/>
      <c r="X79" s="47"/>
      <c r="Y79" s="47"/>
      <c r="Z79" s="47"/>
      <c r="AA79" s="47"/>
    </row>
    <row r="80" spans="1:27" ht="18" customHeight="1">
      <c r="A80" s="47" t="s">
        <v>2212</v>
      </c>
      <c r="B80" s="47"/>
      <c r="C80" s="47"/>
      <c r="D80" s="47"/>
      <c r="E80" s="47"/>
      <c r="F80" s="47"/>
      <c r="G80" s="47"/>
      <c r="H80" s="47"/>
      <c r="I80" s="47"/>
      <c r="J80" s="47" t="s">
        <v>2213</v>
      </c>
      <c r="K80" s="47"/>
      <c r="L80" s="47"/>
      <c r="M80" s="47"/>
      <c r="N80" s="47"/>
      <c r="O80" s="47"/>
      <c r="P80" s="47"/>
      <c r="Q80" s="47"/>
      <c r="R80" s="47"/>
      <c r="S80" s="47"/>
      <c r="T80" s="47"/>
      <c r="U80" s="47"/>
      <c r="V80" s="47"/>
      <c r="W80" s="47"/>
      <c r="X80" s="47"/>
      <c r="Y80" s="47"/>
      <c r="Z80" s="47"/>
      <c r="AA80" s="47"/>
    </row>
    <row r="81" spans="1:27" ht="18" customHeight="1">
      <c r="A81" s="47" t="s">
        <v>2214</v>
      </c>
      <c r="B81" s="47"/>
      <c r="C81" s="47"/>
      <c r="D81" s="47"/>
      <c r="E81" s="47"/>
      <c r="F81" s="47"/>
      <c r="G81" s="47"/>
      <c r="H81" s="47"/>
      <c r="I81" s="47"/>
      <c r="J81" s="47" t="s">
        <v>2215</v>
      </c>
      <c r="K81" s="47"/>
      <c r="L81" s="47"/>
      <c r="M81" s="47"/>
      <c r="N81" s="47"/>
      <c r="O81" s="47"/>
      <c r="P81" s="47"/>
      <c r="Q81" s="47"/>
      <c r="R81" s="47"/>
      <c r="S81" s="47"/>
      <c r="T81" s="47"/>
      <c r="U81" s="47"/>
      <c r="V81" s="47"/>
      <c r="W81" s="47"/>
      <c r="X81" s="47"/>
      <c r="Y81" s="47"/>
      <c r="Z81" s="47"/>
      <c r="AA81" s="47"/>
    </row>
    <row r="82" spans="1:27" ht="18" customHeight="1">
      <c r="A82" s="47" t="s">
        <v>2216</v>
      </c>
      <c r="B82" s="47"/>
      <c r="C82" s="47"/>
      <c r="D82" s="47"/>
      <c r="E82" s="47"/>
      <c r="F82" s="47"/>
      <c r="G82" s="47"/>
      <c r="H82" s="47"/>
      <c r="I82" s="47"/>
      <c r="J82" s="47" t="s">
        <v>2217</v>
      </c>
      <c r="K82" s="47"/>
      <c r="L82" s="47"/>
      <c r="M82" s="47"/>
      <c r="N82" s="47"/>
      <c r="O82" s="47"/>
      <c r="P82" s="47"/>
      <c r="Q82" s="47"/>
      <c r="R82" s="47"/>
      <c r="S82" s="47"/>
      <c r="T82" s="47"/>
      <c r="U82" s="47"/>
      <c r="V82" s="47"/>
      <c r="W82" s="47"/>
      <c r="X82" s="47"/>
      <c r="Y82" s="47"/>
      <c r="Z82" s="47"/>
      <c r="AA82" s="47"/>
    </row>
    <row r="83" spans="1:27" ht="18" customHeight="1">
      <c r="A83" s="47" t="s">
        <v>2218</v>
      </c>
      <c r="B83" s="47"/>
      <c r="C83" s="47"/>
      <c r="D83" s="47"/>
      <c r="E83" s="47"/>
      <c r="F83" s="47"/>
      <c r="G83" s="47"/>
      <c r="H83" s="47"/>
      <c r="I83" s="47"/>
      <c r="J83" s="47" t="s">
        <v>2219</v>
      </c>
      <c r="K83" s="47"/>
      <c r="L83" s="47"/>
      <c r="M83" s="47"/>
      <c r="N83" s="47"/>
      <c r="O83" s="47"/>
      <c r="P83" s="47"/>
      <c r="Q83" s="47"/>
      <c r="R83" s="47"/>
      <c r="S83" s="47"/>
      <c r="T83" s="47"/>
      <c r="U83" s="47"/>
      <c r="V83" s="47"/>
      <c r="W83" s="47"/>
      <c r="X83" s="47"/>
      <c r="Y83" s="47"/>
      <c r="Z83" s="47"/>
      <c r="AA83" s="47"/>
    </row>
    <row r="84" spans="1:27" ht="18" customHeight="1">
      <c r="A84" s="47" t="s">
        <v>2220</v>
      </c>
      <c r="B84" s="47"/>
      <c r="C84" s="47"/>
      <c r="D84" s="47"/>
      <c r="E84" s="47"/>
      <c r="F84" s="47"/>
      <c r="G84" s="47"/>
      <c r="H84" s="47"/>
      <c r="I84" s="47"/>
      <c r="J84" s="47" t="s">
        <v>2221</v>
      </c>
      <c r="K84" s="47"/>
      <c r="L84" s="47"/>
      <c r="M84" s="47"/>
      <c r="N84" s="47"/>
      <c r="O84" s="47"/>
      <c r="P84" s="47"/>
      <c r="Q84" s="47"/>
      <c r="R84" s="47"/>
      <c r="S84" s="47"/>
      <c r="T84" s="47"/>
      <c r="U84" s="47"/>
      <c r="V84" s="47"/>
      <c r="W84" s="47"/>
      <c r="X84" s="47"/>
      <c r="Y84" s="47"/>
      <c r="Z84" s="47"/>
      <c r="AA84" s="47"/>
    </row>
    <row r="85" spans="1:27" ht="18" customHeight="1">
      <c r="A85" s="47" t="s">
        <v>2222</v>
      </c>
      <c r="B85" s="47"/>
      <c r="C85" s="47"/>
      <c r="D85" s="47"/>
      <c r="E85" s="47"/>
      <c r="F85" s="47"/>
      <c r="G85" s="47"/>
      <c r="H85" s="47"/>
      <c r="I85" s="47"/>
      <c r="J85" s="47" t="s">
        <v>2223</v>
      </c>
      <c r="K85" s="47"/>
      <c r="L85" s="47"/>
      <c r="M85" s="47"/>
      <c r="N85" s="47"/>
      <c r="O85" s="47"/>
      <c r="P85" s="47"/>
      <c r="Q85" s="47"/>
      <c r="R85" s="47"/>
      <c r="S85" s="47"/>
      <c r="T85" s="47"/>
      <c r="U85" s="47"/>
      <c r="V85" s="47"/>
      <c r="W85" s="47"/>
      <c r="X85" s="47"/>
      <c r="Y85" s="47"/>
      <c r="Z85" s="47"/>
      <c r="AA85" s="47"/>
    </row>
    <row r="86" spans="1:27" ht="18" customHeight="1">
      <c r="A86" s="47" t="s">
        <v>2224</v>
      </c>
      <c r="B86" s="47"/>
      <c r="C86" s="47"/>
      <c r="D86" s="47"/>
      <c r="E86" s="47"/>
      <c r="F86" s="47"/>
      <c r="G86" s="47"/>
      <c r="H86" s="47"/>
      <c r="I86" s="47"/>
      <c r="J86" s="47" t="s">
        <v>2225</v>
      </c>
      <c r="K86" s="47"/>
      <c r="L86" s="47"/>
      <c r="M86" s="47"/>
      <c r="N86" s="47"/>
      <c r="O86" s="47"/>
      <c r="P86" s="47"/>
      <c r="Q86" s="47"/>
      <c r="R86" s="47"/>
      <c r="S86" s="47"/>
      <c r="T86" s="47"/>
      <c r="U86" s="47"/>
      <c r="V86" s="47"/>
      <c r="W86" s="47"/>
      <c r="X86" s="47"/>
      <c r="Y86" s="47"/>
      <c r="Z86" s="47"/>
      <c r="AA86" s="47"/>
    </row>
    <row r="87" spans="1:27" ht="18" customHeight="1">
      <c r="A87" s="47" t="s">
        <v>2226</v>
      </c>
      <c r="B87" s="47"/>
      <c r="C87" s="47"/>
      <c r="D87" s="47"/>
      <c r="E87" s="47"/>
      <c r="F87" s="47"/>
      <c r="G87" s="47"/>
      <c r="H87" s="47"/>
      <c r="I87" s="47"/>
      <c r="J87" s="47" t="s">
        <v>2227</v>
      </c>
      <c r="K87" s="47"/>
      <c r="L87" s="47"/>
      <c r="M87" s="47"/>
      <c r="N87" s="47"/>
      <c r="O87" s="47"/>
      <c r="P87" s="47"/>
      <c r="Q87" s="47"/>
      <c r="R87" s="47"/>
      <c r="S87" s="47"/>
      <c r="T87" s="47"/>
      <c r="U87" s="47"/>
      <c r="V87" s="47"/>
      <c r="W87" s="47"/>
      <c r="X87" s="47"/>
      <c r="Y87" s="47"/>
      <c r="Z87" s="47"/>
      <c r="AA87" s="47"/>
    </row>
    <row r="88" spans="1:27" ht="18" customHeight="1">
      <c r="A88" s="47" t="s">
        <v>2228</v>
      </c>
      <c r="B88" s="47"/>
      <c r="C88" s="47"/>
      <c r="D88" s="47"/>
      <c r="E88" s="47"/>
      <c r="F88" s="47"/>
      <c r="G88" s="47"/>
      <c r="H88" s="47"/>
      <c r="I88" s="47"/>
      <c r="J88" s="47" t="s">
        <v>2229</v>
      </c>
      <c r="K88" s="47"/>
      <c r="L88" s="47"/>
      <c r="M88" s="47"/>
      <c r="N88" s="47"/>
      <c r="O88" s="47"/>
      <c r="P88" s="47"/>
      <c r="Q88" s="47"/>
      <c r="R88" s="47"/>
      <c r="S88" s="47"/>
      <c r="T88" s="47"/>
      <c r="U88" s="47"/>
      <c r="V88" s="47"/>
      <c r="W88" s="47"/>
      <c r="X88" s="47"/>
      <c r="Y88" s="47"/>
      <c r="Z88" s="47"/>
      <c r="AA88" s="47"/>
    </row>
    <row r="89" spans="1:27" ht="18" customHeight="1">
      <c r="A89" s="47" t="s">
        <v>2230</v>
      </c>
      <c r="B89" s="47"/>
      <c r="C89" s="47"/>
      <c r="D89" s="47"/>
      <c r="E89" s="47"/>
      <c r="F89" s="47"/>
      <c r="G89" s="47"/>
      <c r="H89" s="47"/>
      <c r="I89" s="47"/>
      <c r="J89" s="47" t="s">
        <v>2231</v>
      </c>
      <c r="K89" s="47"/>
      <c r="L89" s="47"/>
      <c r="M89" s="47"/>
      <c r="N89" s="47"/>
      <c r="O89" s="47"/>
      <c r="P89" s="47"/>
      <c r="Q89" s="47"/>
      <c r="R89" s="47"/>
      <c r="S89" s="47"/>
      <c r="T89" s="47"/>
      <c r="U89" s="47"/>
      <c r="V89" s="47"/>
      <c r="W89" s="47"/>
      <c r="X89" s="47"/>
      <c r="Y89" s="47"/>
      <c r="Z89" s="47"/>
      <c r="AA89" s="47"/>
    </row>
    <row r="90" spans="1:27" ht="18" customHeight="1">
      <c r="A90" s="47" t="s">
        <v>2232</v>
      </c>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spans="1:27" ht="18" customHeight="1">
      <c r="A91" s="47" t="s">
        <v>2233</v>
      </c>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spans="1:27" ht="18" customHeight="1">
      <c r="A92" s="47" t="s">
        <v>2234</v>
      </c>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spans="1:27" ht="18" customHeight="1">
      <c r="A93" s="47" t="s">
        <v>2235</v>
      </c>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spans="1:27" ht="18" customHeight="1">
      <c r="A94" s="47" t="s">
        <v>2236</v>
      </c>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spans="1:27" ht="18" customHeight="1">
      <c r="A95" s="47" t="s">
        <v>2237</v>
      </c>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spans="1:27" ht="18" customHeight="1">
      <c r="A96" s="47" t="s">
        <v>2238</v>
      </c>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spans="1:27" ht="18" customHeight="1">
      <c r="A97" s="47" t="s">
        <v>2239</v>
      </c>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spans="1:27" ht="18" customHeight="1">
      <c r="A98" s="47" t="s">
        <v>2240</v>
      </c>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spans="1:27" ht="18" customHeight="1">
      <c r="A99" s="47" t="s">
        <v>2241</v>
      </c>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spans="1:27" ht="18" customHeight="1">
      <c r="A100" s="47" t="s">
        <v>2242</v>
      </c>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ht="18" customHeight="1">
      <c r="A101" s="47" t="s">
        <v>2243</v>
      </c>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ht="18" customHeight="1">
      <c r="A102" s="47" t="s">
        <v>2244</v>
      </c>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spans="1:27" ht="18" customHeight="1">
      <c r="A103" s="47" t="s">
        <v>2245</v>
      </c>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spans="1:27" ht="18" customHeight="1">
      <c r="A104" s="47" t="s">
        <v>2246</v>
      </c>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spans="1:27" ht="18" customHeight="1">
      <c r="A105" s="47" t="s">
        <v>2247</v>
      </c>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spans="1:27" ht="18" customHeight="1">
      <c r="A106" s="47" t="s">
        <v>2248</v>
      </c>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spans="1:27" ht="18" customHeight="1">
      <c r="A107" s="47" t="s">
        <v>2211</v>
      </c>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spans="1:27" ht="18" customHeight="1">
      <c r="A108" s="47" t="s">
        <v>2249</v>
      </c>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spans="1:27" ht="18" customHeight="1">
      <c r="A109" s="47" t="s">
        <v>2250</v>
      </c>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spans="1:27" ht="18" customHeight="1">
      <c r="A110" s="47" t="s">
        <v>2265</v>
      </c>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spans="1:27" ht="18" customHeight="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2F3A56"/>
  </sheetPr>
  <dimension ref="A1:AB119"/>
  <sheetViews>
    <sheetView showGridLines="0" workbookViewId="0"/>
  </sheetViews>
  <sheetFormatPr defaultColWidth="10.875" defaultRowHeight="15.75"/>
  <cols>
    <col min="1" max="1" width="9" style="180" customWidth="1"/>
    <col min="2" max="2" width="11.375" style="180" customWidth="1"/>
    <col min="3" max="3" width="10" style="180" customWidth="1"/>
    <col min="4" max="4" width="11.375" style="180" customWidth="1"/>
    <col min="5" max="5" width="14" style="180" customWidth="1"/>
    <col min="6" max="6" width="10.875" style="180"/>
    <col min="7" max="7" width="14.125" style="180" customWidth="1"/>
    <col min="8" max="8" width="15" style="180" customWidth="1"/>
    <col min="9" max="9" width="10.875" style="180"/>
    <col min="10" max="10" width="7.125" style="180" customWidth="1"/>
    <col min="11" max="11" width="7.75" style="180" customWidth="1"/>
    <col min="12" max="13" width="10.875" style="180"/>
    <col min="14" max="14" width="7.375" style="180" customWidth="1"/>
    <col min="15" max="15" width="10" style="180" customWidth="1"/>
    <col min="16" max="16" width="7.25" style="180" customWidth="1"/>
    <col min="17" max="16384" width="10.875" style="180"/>
  </cols>
  <sheetData>
    <row r="1" spans="1:28" s="175" customFormat="1" ht="30.75" customHeight="1">
      <c r="H1" s="52" t="s">
        <v>4333</v>
      </c>
    </row>
    <row r="2" spans="1:28" s="175" customFormat="1" ht="15" customHeight="1">
      <c r="A2" s="198" t="s">
        <v>2266</v>
      </c>
      <c r="B2" s="217"/>
      <c r="C2" s="217"/>
      <c r="D2" s="217"/>
      <c r="E2" s="149"/>
      <c r="F2" s="218"/>
      <c r="G2" s="149"/>
      <c r="H2" s="219" t="s">
        <v>2267</v>
      </c>
      <c r="I2" s="149"/>
      <c r="J2" s="198" t="s">
        <v>2268</v>
      </c>
      <c r="K2" s="149"/>
      <c r="L2" s="149"/>
      <c r="M2" s="149"/>
      <c r="N2" s="149"/>
      <c r="O2" s="149"/>
      <c r="P2" s="149"/>
      <c r="Q2" s="149"/>
      <c r="R2" s="149"/>
      <c r="S2" s="149"/>
      <c r="T2" s="149"/>
      <c r="U2" s="149"/>
      <c r="V2" s="149"/>
      <c r="W2" s="149"/>
      <c r="X2" s="149"/>
      <c r="Y2" s="149"/>
      <c r="Z2" s="149"/>
      <c r="AA2" s="149"/>
      <c r="AB2" s="149"/>
    </row>
    <row r="3" spans="1:28" ht="18" customHeight="1">
      <c r="A3" s="151" t="s">
        <v>42</v>
      </c>
      <c r="B3" s="151" t="s">
        <v>35</v>
      </c>
      <c r="C3" s="151" t="s">
        <v>2144</v>
      </c>
      <c r="D3" s="151" t="s">
        <v>477</v>
      </c>
      <c r="E3" s="151" t="s">
        <v>2145</v>
      </c>
      <c r="F3" s="151" t="s">
        <v>2146</v>
      </c>
      <c r="G3" s="151" t="s">
        <v>2147</v>
      </c>
      <c r="H3" s="151" t="s">
        <v>2148</v>
      </c>
      <c r="I3" s="151" t="s">
        <v>2149</v>
      </c>
      <c r="J3" s="151"/>
      <c r="K3" s="151" t="s">
        <v>42</v>
      </c>
      <c r="L3" s="151" t="s">
        <v>35</v>
      </c>
      <c r="M3" s="151" t="s">
        <v>2144</v>
      </c>
      <c r="N3" s="151" t="s">
        <v>477</v>
      </c>
      <c r="O3" s="151" t="s">
        <v>2145</v>
      </c>
      <c r="P3" s="151" t="s">
        <v>2146</v>
      </c>
      <c r="Q3" s="151" t="s">
        <v>2147</v>
      </c>
      <c r="R3" s="151" t="s">
        <v>2148</v>
      </c>
      <c r="S3" s="151" t="s">
        <v>2150</v>
      </c>
      <c r="T3" s="151" t="s">
        <v>2151</v>
      </c>
      <c r="U3" s="151" t="s">
        <v>2149</v>
      </c>
      <c r="V3" s="151" t="s">
        <v>2152</v>
      </c>
      <c r="W3" s="151" t="s">
        <v>2153</v>
      </c>
      <c r="X3" s="151"/>
      <c r="Y3" s="151"/>
      <c r="Z3" s="151"/>
      <c r="AA3" s="151"/>
      <c r="AB3" s="151"/>
    </row>
    <row r="4" spans="1:28" ht="18" customHeight="1">
      <c r="A4" s="151"/>
      <c r="B4" s="151" t="s">
        <v>99</v>
      </c>
      <c r="C4" s="151">
        <v>22</v>
      </c>
      <c r="D4" s="151">
        <v>2020</v>
      </c>
      <c r="E4" s="151">
        <v>2020</v>
      </c>
      <c r="F4" s="151">
        <v>1896</v>
      </c>
      <c r="G4" s="151">
        <v>4645318</v>
      </c>
      <c r="H4" s="151">
        <v>40.799999999999997</v>
      </c>
      <c r="I4" s="151">
        <v>42.7</v>
      </c>
      <c r="J4" s="151"/>
      <c r="K4" s="151"/>
      <c r="L4" s="151" t="s">
        <v>99</v>
      </c>
      <c r="M4" s="151">
        <v>22</v>
      </c>
      <c r="N4" s="151">
        <v>2024</v>
      </c>
      <c r="O4" s="151">
        <v>2024</v>
      </c>
      <c r="P4" s="151">
        <v>1467</v>
      </c>
      <c r="Q4" s="151">
        <v>4597740</v>
      </c>
      <c r="R4" s="151">
        <v>31.9</v>
      </c>
      <c r="S4" s="151">
        <v>30.3</v>
      </c>
      <c r="T4" s="151">
        <v>33.5</v>
      </c>
      <c r="U4" s="151">
        <v>33.5</v>
      </c>
      <c r="V4" s="151">
        <v>31.7</v>
      </c>
      <c r="W4" s="151">
        <v>35.200000000000003</v>
      </c>
      <c r="X4" s="151"/>
      <c r="Y4" s="151"/>
      <c r="Z4" s="151"/>
      <c r="AA4" s="151"/>
      <c r="AB4" s="151"/>
    </row>
    <row r="5" spans="1:28" ht="18" customHeight="1">
      <c r="A5" s="151"/>
      <c r="B5" s="151" t="s">
        <v>184</v>
      </c>
      <c r="C5" s="151">
        <v>28</v>
      </c>
      <c r="D5" s="151">
        <v>2020</v>
      </c>
      <c r="E5" s="151">
        <v>2020</v>
      </c>
      <c r="F5" s="151">
        <v>586</v>
      </c>
      <c r="G5" s="151">
        <v>2966786</v>
      </c>
      <c r="H5" s="151">
        <v>19.8</v>
      </c>
      <c r="I5" s="151">
        <v>21.1</v>
      </c>
      <c r="J5" s="151"/>
      <c r="K5" s="151"/>
      <c r="L5" s="151" t="s">
        <v>184</v>
      </c>
      <c r="M5" s="151">
        <v>28</v>
      </c>
      <c r="N5" s="151">
        <v>2024</v>
      </c>
      <c r="O5" s="151">
        <v>2024</v>
      </c>
      <c r="P5" s="151">
        <v>525</v>
      </c>
      <c r="Q5" s="151">
        <v>2943045</v>
      </c>
      <c r="R5" s="151">
        <v>17.8</v>
      </c>
      <c r="S5" s="151">
        <v>16.3</v>
      </c>
      <c r="T5" s="151">
        <v>19.399999999999999</v>
      </c>
      <c r="U5" s="151">
        <v>18.600000000000001</v>
      </c>
      <c r="V5" s="151">
        <v>17</v>
      </c>
      <c r="W5" s="151">
        <v>20.3</v>
      </c>
      <c r="X5" s="151"/>
      <c r="Y5" s="151"/>
      <c r="Z5" s="151"/>
      <c r="AA5" s="151"/>
      <c r="AB5" s="151"/>
    </row>
    <row r="6" spans="1:28" ht="18" customHeight="1">
      <c r="A6" s="151"/>
      <c r="B6" s="151" t="s">
        <v>99</v>
      </c>
      <c r="C6" s="151">
        <v>22</v>
      </c>
      <c r="D6" s="151">
        <v>2019</v>
      </c>
      <c r="E6" s="151">
        <v>2019</v>
      </c>
      <c r="F6" s="151">
        <v>1267</v>
      </c>
      <c r="G6" s="151">
        <v>4648794</v>
      </c>
      <c r="H6" s="151">
        <v>27.3</v>
      </c>
      <c r="I6" s="151">
        <v>28.3</v>
      </c>
      <c r="J6" s="151"/>
      <c r="K6" s="151"/>
      <c r="L6" s="151" t="s">
        <v>99</v>
      </c>
      <c r="M6" s="151">
        <v>22</v>
      </c>
      <c r="N6" s="151">
        <v>2023</v>
      </c>
      <c r="O6" s="151">
        <v>2023</v>
      </c>
      <c r="P6" s="151">
        <v>2224</v>
      </c>
      <c r="Q6" s="151">
        <v>4573749</v>
      </c>
      <c r="R6" s="151">
        <v>48.6</v>
      </c>
      <c r="S6" s="151">
        <v>46.6</v>
      </c>
      <c r="T6" s="151">
        <v>50.6</v>
      </c>
      <c r="U6" s="151">
        <v>50.6</v>
      </c>
      <c r="V6" s="151">
        <v>48.5</v>
      </c>
      <c r="W6" s="151">
        <v>52.8</v>
      </c>
      <c r="X6" s="151"/>
      <c r="Y6" s="151"/>
      <c r="Z6" s="151"/>
      <c r="AA6" s="151"/>
      <c r="AB6" s="151"/>
    </row>
    <row r="7" spans="1:28" ht="18" customHeight="1">
      <c r="A7" s="151"/>
      <c r="B7" s="151" t="s">
        <v>184</v>
      </c>
      <c r="C7" s="151">
        <v>28</v>
      </c>
      <c r="D7" s="151">
        <v>2019</v>
      </c>
      <c r="E7" s="151">
        <v>2019</v>
      </c>
      <c r="F7" s="151">
        <v>394</v>
      </c>
      <c r="G7" s="151">
        <v>2976149</v>
      </c>
      <c r="H7" s="151">
        <v>13.2</v>
      </c>
      <c r="I7" s="151">
        <v>13.6</v>
      </c>
      <c r="J7" s="151"/>
      <c r="K7" s="151"/>
      <c r="L7" s="151" t="s">
        <v>184</v>
      </c>
      <c r="M7" s="151">
        <v>28</v>
      </c>
      <c r="N7" s="151">
        <v>2023</v>
      </c>
      <c r="O7" s="151">
        <v>2023</v>
      </c>
      <c r="P7" s="151">
        <v>702</v>
      </c>
      <c r="Q7" s="151">
        <v>2939690</v>
      </c>
      <c r="R7" s="151">
        <v>23.9</v>
      </c>
      <c r="S7" s="151">
        <v>22.1</v>
      </c>
      <c r="T7" s="151">
        <v>25.6</v>
      </c>
      <c r="U7" s="151">
        <v>25.3</v>
      </c>
      <c r="V7" s="151">
        <v>23.4</v>
      </c>
      <c r="W7" s="151">
        <v>27.3</v>
      </c>
      <c r="X7" s="151"/>
      <c r="Y7" s="151"/>
      <c r="Z7" s="151"/>
      <c r="AA7" s="151"/>
      <c r="AB7" s="151"/>
    </row>
    <row r="8" spans="1:28" ht="18" customHeight="1">
      <c r="A8" s="151"/>
      <c r="B8" s="151" t="s">
        <v>99</v>
      </c>
      <c r="C8" s="151">
        <v>22</v>
      </c>
      <c r="D8" s="151">
        <v>2018</v>
      </c>
      <c r="E8" s="151">
        <v>2018</v>
      </c>
      <c r="F8" s="151">
        <v>1140</v>
      </c>
      <c r="G8" s="151">
        <v>4659978</v>
      </c>
      <c r="H8" s="151">
        <v>24.5</v>
      </c>
      <c r="I8" s="151">
        <v>25.4</v>
      </c>
      <c r="J8" s="151"/>
      <c r="K8" s="151"/>
      <c r="L8" s="151" t="s">
        <v>99</v>
      </c>
      <c r="M8" s="151">
        <v>22</v>
      </c>
      <c r="N8" s="151">
        <v>2022</v>
      </c>
      <c r="O8" s="151">
        <v>2022</v>
      </c>
      <c r="P8" s="151">
        <v>2376</v>
      </c>
      <c r="Q8" s="151">
        <v>4590241</v>
      </c>
      <c r="R8" s="151">
        <v>51.8</v>
      </c>
      <c r="S8" s="151">
        <v>49.7</v>
      </c>
      <c r="T8" s="151">
        <v>53.8</v>
      </c>
      <c r="U8" s="151">
        <v>54.5</v>
      </c>
      <c r="V8" s="151">
        <v>52.3</v>
      </c>
      <c r="W8" s="151">
        <v>56.8</v>
      </c>
      <c r="X8" s="151"/>
      <c r="Y8" s="151"/>
      <c r="Z8" s="151"/>
      <c r="AA8" s="151"/>
      <c r="AB8" s="151"/>
    </row>
    <row r="9" spans="1:28" ht="18" customHeight="1">
      <c r="A9" s="151"/>
      <c r="B9" s="151" t="s">
        <v>184</v>
      </c>
      <c r="C9" s="151">
        <v>28</v>
      </c>
      <c r="D9" s="151">
        <v>2018</v>
      </c>
      <c r="E9" s="151">
        <v>2018</v>
      </c>
      <c r="F9" s="151">
        <v>310</v>
      </c>
      <c r="G9" s="151">
        <v>2986530</v>
      </c>
      <c r="H9" s="151">
        <v>10.4</v>
      </c>
      <c r="I9" s="151">
        <v>10.8</v>
      </c>
      <c r="J9" s="151"/>
      <c r="K9" s="151"/>
      <c r="L9" s="151" t="s">
        <v>184</v>
      </c>
      <c r="M9" s="151">
        <v>28</v>
      </c>
      <c r="N9" s="151">
        <v>2022</v>
      </c>
      <c r="O9" s="151">
        <v>2022</v>
      </c>
      <c r="P9" s="151">
        <v>758</v>
      </c>
      <c r="Q9" s="151">
        <v>2940057</v>
      </c>
      <c r="R9" s="151">
        <v>25.8</v>
      </c>
      <c r="S9" s="151">
        <v>23.9</v>
      </c>
      <c r="T9" s="151">
        <v>27.6</v>
      </c>
      <c r="U9" s="151">
        <v>27.6</v>
      </c>
      <c r="V9" s="151">
        <v>25.7</v>
      </c>
      <c r="W9" s="151">
        <v>29.7</v>
      </c>
      <c r="X9" s="151"/>
      <c r="Y9" s="151"/>
      <c r="Z9" s="151"/>
      <c r="AA9" s="151"/>
      <c r="AB9" s="151"/>
    </row>
    <row r="10" spans="1:28" ht="18" customHeight="1">
      <c r="A10" s="151"/>
      <c r="B10" s="151" t="s">
        <v>99</v>
      </c>
      <c r="C10" s="151">
        <v>22</v>
      </c>
      <c r="D10" s="151">
        <v>2017</v>
      </c>
      <c r="E10" s="151">
        <v>2017</v>
      </c>
      <c r="F10" s="151">
        <v>1108</v>
      </c>
      <c r="G10" s="151">
        <v>4684333</v>
      </c>
      <c r="H10" s="151">
        <v>23.7</v>
      </c>
      <c r="I10" s="151">
        <v>24.5</v>
      </c>
      <c r="J10" s="151"/>
      <c r="K10" s="151"/>
      <c r="L10" s="151" t="s">
        <v>99</v>
      </c>
      <c r="M10" s="151">
        <v>22</v>
      </c>
      <c r="N10" s="151">
        <v>2021</v>
      </c>
      <c r="O10" s="151">
        <v>2021</v>
      </c>
      <c r="P10" s="151">
        <v>2463</v>
      </c>
      <c r="Q10" s="151">
        <v>4624047</v>
      </c>
      <c r="R10" s="151">
        <v>53.3</v>
      </c>
      <c r="S10" s="151">
        <v>51.2</v>
      </c>
      <c r="T10" s="151">
        <v>55.4</v>
      </c>
      <c r="U10" s="151">
        <v>55.9</v>
      </c>
      <c r="V10" s="151">
        <v>53.7</v>
      </c>
      <c r="W10" s="151">
        <v>58.2</v>
      </c>
      <c r="X10" s="151"/>
      <c r="Y10" s="151"/>
      <c r="Z10" s="151"/>
      <c r="AA10" s="151"/>
      <c r="AB10" s="151"/>
    </row>
    <row r="11" spans="1:28" ht="18" customHeight="1">
      <c r="A11" s="151"/>
      <c r="B11" s="151" t="s">
        <v>184</v>
      </c>
      <c r="C11" s="151">
        <v>28</v>
      </c>
      <c r="D11" s="151">
        <v>2017</v>
      </c>
      <c r="E11" s="151">
        <v>2017</v>
      </c>
      <c r="F11" s="151">
        <v>354</v>
      </c>
      <c r="G11" s="151">
        <v>2984100</v>
      </c>
      <c r="H11" s="151">
        <v>11.9</v>
      </c>
      <c r="I11" s="151">
        <v>12.2</v>
      </c>
      <c r="J11" s="151"/>
      <c r="K11" s="151"/>
      <c r="L11" s="151" t="s">
        <v>184</v>
      </c>
      <c r="M11" s="151">
        <v>28</v>
      </c>
      <c r="N11" s="151">
        <v>2021</v>
      </c>
      <c r="O11" s="151">
        <v>2021</v>
      </c>
      <c r="P11" s="151">
        <v>787</v>
      </c>
      <c r="Q11" s="151">
        <v>2949965</v>
      </c>
      <c r="R11" s="151">
        <v>26.7</v>
      </c>
      <c r="S11" s="151">
        <v>24.8</v>
      </c>
      <c r="T11" s="151">
        <v>28.5</v>
      </c>
      <c r="U11" s="151">
        <v>28.4</v>
      </c>
      <c r="V11" s="151">
        <v>26.4</v>
      </c>
      <c r="W11" s="151">
        <v>30.5</v>
      </c>
      <c r="X11" s="151"/>
      <c r="Y11" s="151"/>
      <c r="Z11" s="151"/>
      <c r="AA11" s="151"/>
      <c r="AB11" s="151"/>
    </row>
    <row r="12" spans="1:28" ht="18" customHeight="1">
      <c r="A12" s="151"/>
      <c r="B12" s="151" t="s">
        <v>99</v>
      </c>
      <c r="C12" s="151">
        <v>22</v>
      </c>
      <c r="D12" s="151">
        <v>2016</v>
      </c>
      <c r="E12" s="151">
        <v>2016</v>
      </c>
      <c r="F12" s="151">
        <v>996</v>
      </c>
      <c r="G12" s="151">
        <v>4681666</v>
      </c>
      <c r="H12" s="151">
        <v>21.3</v>
      </c>
      <c r="I12" s="151">
        <v>21.8</v>
      </c>
      <c r="J12" s="151"/>
      <c r="K12" s="151"/>
      <c r="L12" s="151" t="s">
        <v>99</v>
      </c>
      <c r="M12" s="151">
        <v>22</v>
      </c>
      <c r="N12" s="151">
        <v>2020</v>
      </c>
      <c r="O12" s="151">
        <v>2020</v>
      </c>
      <c r="P12" s="151">
        <v>1896</v>
      </c>
      <c r="Q12" s="151">
        <v>4645318</v>
      </c>
      <c r="R12" s="151">
        <v>40.799999999999997</v>
      </c>
      <c r="S12" s="151">
        <v>39</v>
      </c>
      <c r="T12" s="151">
        <v>42.7</v>
      </c>
      <c r="U12" s="151">
        <v>42.7</v>
      </c>
      <c r="V12" s="151">
        <v>40.700000000000003</v>
      </c>
      <c r="W12" s="151">
        <v>44.7</v>
      </c>
      <c r="X12" s="151"/>
      <c r="Y12" s="151"/>
      <c r="Z12" s="151"/>
      <c r="AA12" s="151"/>
      <c r="AB12" s="151"/>
    </row>
    <row r="13" spans="1:28" ht="18" customHeight="1">
      <c r="A13" s="151"/>
      <c r="B13" s="151" t="s">
        <v>184</v>
      </c>
      <c r="C13" s="151">
        <v>28</v>
      </c>
      <c r="D13" s="151">
        <v>2016</v>
      </c>
      <c r="E13" s="151">
        <v>2016</v>
      </c>
      <c r="F13" s="151">
        <v>352</v>
      </c>
      <c r="G13" s="151">
        <v>2988726</v>
      </c>
      <c r="H13" s="151">
        <v>11.8</v>
      </c>
      <c r="I13" s="151">
        <v>12.1</v>
      </c>
      <c r="J13" s="151"/>
      <c r="K13" s="151"/>
      <c r="L13" s="151" t="s">
        <v>184</v>
      </c>
      <c r="M13" s="151">
        <v>28</v>
      </c>
      <c r="N13" s="151">
        <v>2020</v>
      </c>
      <c r="O13" s="151">
        <v>2020</v>
      </c>
      <c r="P13" s="151">
        <v>586</v>
      </c>
      <c r="Q13" s="151">
        <v>2966786</v>
      </c>
      <c r="R13" s="151">
        <v>19.8</v>
      </c>
      <c r="S13" s="151">
        <v>18.2</v>
      </c>
      <c r="T13" s="151">
        <v>21.4</v>
      </c>
      <c r="U13" s="151">
        <v>21.1</v>
      </c>
      <c r="V13" s="151">
        <v>19.399999999999999</v>
      </c>
      <c r="W13" s="151">
        <v>22.9</v>
      </c>
      <c r="X13" s="151"/>
      <c r="Y13" s="151"/>
      <c r="Z13" s="151"/>
      <c r="AA13" s="151"/>
      <c r="AB13" s="151"/>
    </row>
    <row r="14" spans="1:28" ht="18" customHeight="1">
      <c r="A14" s="151"/>
      <c r="B14" s="151" t="s">
        <v>99</v>
      </c>
      <c r="C14" s="151">
        <v>22</v>
      </c>
      <c r="D14" s="151">
        <v>2015</v>
      </c>
      <c r="E14" s="151">
        <v>2015</v>
      </c>
      <c r="F14" s="151">
        <v>861</v>
      </c>
      <c r="G14" s="151">
        <v>4670724</v>
      </c>
      <c r="H14" s="151">
        <v>18.399999999999999</v>
      </c>
      <c r="I14" s="151">
        <v>19</v>
      </c>
      <c r="J14" s="151"/>
      <c r="K14" s="151"/>
      <c r="L14" s="151" t="s">
        <v>99</v>
      </c>
      <c r="M14" s="151">
        <v>22</v>
      </c>
      <c r="N14" s="151">
        <v>2019</v>
      </c>
      <c r="O14" s="151">
        <v>2019</v>
      </c>
      <c r="P14" s="151">
        <v>1267</v>
      </c>
      <c r="Q14" s="151">
        <v>4648794</v>
      </c>
      <c r="R14" s="151">
        <v>27.3</v>
      </c>
      <c r="S14" s="151">
        <v>25.8</v>
      </c>
      <c r="T14" s="151">
        <v>28.8</v>
      </c>
      <c r="U14" s="151">
        <v>28.3</v>
      </c>
      <c r="V14" s="151">
        <v>26.8</v>
      </c>
      <c r="W14" s="151">
        <v>30</v>
      </c>
      <c r="X14" s="151"/>
      <c r="Y14" s="151"/>
      <c r="Z14" s="151"/>
      <c r="AA14" s="151"/>
      <c r="AB14" s="151"/>
    </row>
    <row r="15" spans="1:28" ht="18" customHeight="1">
      <c r="A15" s="151"/>
      <c r="B15" s="151" t="s">
        <v>184</v>
      </c>
      <c r="C15" s="151">
        <v>28</v>
      </c>
      <c r="D15" s="151">
        <v>2015</v>
      </c>
      <c r="E15" s="151">
        <v>2015</v>
      </c>
      <c r="F15" s="151">
        <v>351</v>
      </c>
      <c r="G15" s="151">
        <v>2992333</v>
      </c>
      <c r="H15" s="151">
        <v>11.7</v>
      </c>
      <c r="I15" s="151">
        <v>12.3</v>
      </c>
      <c r="J15" s="151"/>
      <c r="K15" s="151"/>
      <c r="L15" s="151" t="s">
        <v>184</v>
      </c>
      <c r="M15" s="151">
        <v>28</v>
      </c>
      <c r="N15" s="151">
        <v>2019</v>
      </c>
      <c r="O15" s="151">
        <v>2019</v>
      </c>
      <c r="P15" s="151">
        <v>394</v>
      </c>
      <c r="Q15" s="151">
        <v>2976149</v>
      </c>
      <c r="R15" s="151">
        <v>13.2</v>
      </c>
      <c r="S15" s="151">
        <v>11.9</v>
      </c>
      <c r="T15" s="151">
        <v>14.5</v>
      </c>
      <c r="U15" s="151">
        <v>13.6</v>
      </c>
      <c r="V15" s="151">
        <v>12.3</v>
      </c>
      <c r="W15" s="151">
        <v>15.1</v>
      </c>
      <c r="X15" s="151"/>
      <c r="Y15" s="151"/>
      <c r="Z15" s="151"/>
      <c r="AA15" s="151"/>
      <c r="AB15" s="151"/>
    </row>
    <row r="16" spans="1:28" ht="18" customHeight="1">
      <c r="A16" s="151"/>
      <c r="B16" s="151" t="s">
        <v>99</v>
      </c>
      <c r="C16" s="151">
        <v>22</v>
      </c>
      <c r="D16" s="151">
        <v>2014</v>
      </c>
      <c r="E16" s="151">
        <v>2014</v>
      </c>
      <c r="F16" s="151">
        <v>777</v>
      </c>
      <c r="G16" s="151">
        <v>4649676</v>
      </c>
      <c r="H16" s="151">
        <v>16.7</v>
      </c>
      <c r="I16" s="151">
        <v>16.899999999999999</v>
      </c>
      <c r="J16" s="151"/>
      <c r="K16" s="151"/>
      <c r="L16" s="151" t="s">
        <v>99</v>
      </c>
      <c r="M16" s="151">
        <v>22</v>
      </c>
      <c r="N16" s="151">
        <v>2018</v>
      </c>
      <c r="O16" s="151">
        <v>2018</v>
      </c>
      <c r="P16" s="151">
        <v>1140</v>
      </c>
      <c r="Q16" s="151">
        <v>4659978</v>
      </c>
      <c r="R16" s="151">
        <v>24.5</v>
      </c>
      <c r="S16" s="151">
        <v>23</v>
      </c>
      <c r="T16" s="151">
        <v>25.9</v>
      </c>
      <c r="U16" s="151">
        <v>25.4</v>
      </c>
      <c r="V16" s="151">
        <v>23.9</v>
      </c>
      <c r="W16" s="151">
        <v>27</v>
      </c>
      <c r="X16" s="151"/>
      <c r="Y16" s="151"/>
      <c r="Z16" s="151"/>
      <c r="AA16" s="151"/>
      <c r="AB16" s="151"/>
    </row>
    <row r="17" spans="1:28" ht="18" customHeight="1">
      <c r="A17" s="151"/>
      <c r="B17" s="151" t="s">
        <v>184</v>
      </c>
      <c r="C17" s="151">
        <v>28</v>
      </c>
      <c r="D17" s="151">
        <v>2014</v>
      </c>
      <c r="E17" s="151">
        <v>2014</v>
      </c>
      <c r="F17" s="151">
        <v>336</v>
      </c>
      <c r="G17" s="151">
        <v>2994079</v>
      </c>
      <c r="H17" s="151">
        <v>11.2</v>
      </c>
      <c r="I17" s="151">
        <v>11.6</v>
      </c>
      <c r="J17" s="151"/>
      <c r="K17" s="151"/>
      <c r="L17" s="151" t="s">
        <v>184</v>
      </c>
      <c r="M17" s="151">
        <v>28</v>
      </c>
      <c r="N17" s="151">
        <v>2018</v>
      </c>
      <c r="O17" s="151">
        <v>2018</v>
      </c>
      <c r="P17" s="151">
        <v>310</v>
      </c>
      <c r="Q17" s="151">
        <v>2986530</v>
      </c>
      <c r="R17" s="151">
        <v>10.4</v>
      </c>
      <c r="S17" s="151">
        <v>9.1999999999999993</v>
      </c>
      <c r="T17" s="151">
        <v>11.5</v>
      </c>
      <c r="U17" s="151">
        <v>10.8</v>
      </c>
      <c r="V17" s="151">
        <v>9.6</v>
      </c>
      <c r="W17" s="151">
        <v>12.2</v>
      </c>
      <c r="X17" s="151"/>
      <c r="Y17" s="151"/>
      <c r="Z17" s="151"/>
      <c r="AA17" s="151"/>
      <c r="AB17" s="151"/>
    </row>
    <row r="18" spans="1:28" ht="18" customHeight="1">
      <c r="A18" s="151"/>
      <c r="B18" s="151" t="s">
        <v>99</v>
      </c>
      <c r="C18" s="151">
        <v>22</v>
      </c>
      <c r="D18" s="151">
        <v>2013</v>
      </c>
      <c r="E18" s="151">
        <v>2013</v>
      </c>
      <c r="F18" s="151">
        <v>809</v>
      </c>
      <c r="G18" s="151">
        <v>4625470</v>
      </c>
      <c r="H18" s="151">
        <v>17.5</v>
      </c>
      <c r="I18" s="151">
        <v>17.8</v>
      </c>
      <c r="J18" s="151"/>
      <c r="K18" s="151" t="s">
        <v>2132</v>
      </c>
      <c r="L18" s="151" t="s">
        <v>99</v>
      </c>
      <c r="M18" s="151">
        <v>22</v>
      </c>
      <c r="N18" s="151"/>
      <c r="O18" s="151"/>
      <c r="P18" s="151">
        <v>12833</v>
      </c>
      <c r="Q18" s="151">
        <v>32339867</v>
      </c>
      <c r="R18" s="151">
        <v>39.700000000000003</v>
      </c>
      <c r="S18" s="151">
        <v>39</v>
      </c>
      <c r="T18" s="151">
        <v>40.4</v>
      </c>
      <c r="U18" s="151">
        <v>41.5</v>
      </c>
      <c r="V18" s="151">
        <v>40.799999999999997</v>
      </c>
      <c r="W18" s="151">
        <v>42.3</v>
      </c>
      <c r="X18" s="151"/>
      <c r="Y18" s="151"/>
      <c r="Z18" s="151"/>
      <c r="AA18" s="151"/>
      <c r="AB18" s="151"/>
    </row>
    <row r="19" spans="1:28" ht="18" customHeight="1">
      <c r="A19" s="151"/>
      <c r="B19" s="151" t="s">
        <v>184</v>
      </c>
      <c r="C19" s="151">
        <v>28</v>
      </c>
      <c r="D19" s="151">
        <v>2013</v>
      </c>
      <c r="E19" s="151">
        <v>2013</v>
      </c>
      <c r="F19" s="151">
        <v>316</v>
      </c>
      <c r="G19" s="151">
        <v>2991207</v>
      </c>
      <c r="H19" s="151">
        <v>10.6</v>
      </c>
      <c r="I19" s="151">
        <v>10.8</v>
      </c>
      <c r="J19" s="151"/>
      <c r="K19" s="151" t="s">
        <v>2132</v>
      </c>
      <c r="L19" s="151" t="s">
        <v>184</v>
      </c>
      <c r="M19" s="151">
        <v>28</v>
      </c>
      <c r="N19" s="151"/>
      <c r="O19" s="151"/>
      <c r="P19" s="151">
        <v>4062</v>
      </c>
      <c r="Q19" s="151">
        <v>20702222</v>
      </c>
      <c r="R19" s="151">
        <v>19.600000000000001</v>
      </c>
      <c r="S19" s="151">
        <v>19</v>
      </c>
      <c r="T19" s="151">
        <v>20.2</v>
      </c>
      <c r="U19" s="151">
        <v>20.8</v>
      </c>
      <c r="V19" s="151">
        <v>20.100000000000001</v>
      </c>
      <c r="W19" s="151">
        <v>21.4</v>
      </c>
      <c r="X19" s="151"/>
      <c r="Y19" s="151"/>
      <c r="Z19" s="151"/>
      <c r="AA19" s="151"/>
      <c r="AB19" s="151"/>
    </row>
    <row r="20" spans="1:28" ht="18" customHeight="1">
      <c r="A20" s="151"/>
      <c r="B20" s="151" t="s">
        <v>99</v>
      </c>
      <c r="C20" s="151">
        <v>22</v>
      </c>
      <c r="D20" s="151">
        <v>2012</v>
      </c>
      <c r="E20" s="151">
        <v>2012</v>
      </c>
      <c r="F20" s="151">
        <v>566</v>
      </c>
      <c r="G20" s="151">
        <v>4601893</v>
      </c>
      <c r="H20" s="151">
        <v>12.3</v>
      </c>
      <c r="I20" s="151">
        <v>12.3</v>
      </c>
      <c r="J20" s="151"/>
      <c r="K20" s="151" t="s">
        <v>2132</v>
      </c>
      <c r="L20" s="151"/>
      <c r="M20" s="151"/>
      <c r="N20" s="151"/>
      <c r="O20" s="151"/>
      <c r="P20" s="151">
        <v>16895</v>
      </c>
      <c r="Q20" s="151">
        <v>53042089</v>
      </c>
      <c r="R20" s="151">
        <v>31.9</v>
      </c>
      <c r="S20" s="151">
        <v>31.4</v>
      </c>
      <c r="T20" s="151">
        <v>32.299999999999997</v>
      </c>
      <c r="U20" s="151">
        <v>33.5</v>
      </c>
      <c r="V20" s="151">
        <v>33</v>
      </c>
      <c r="W20" s="151">
        <v>34</v>
      </c>
      <c r="X20" s="151"/>
      <c r="Y20" s="151"/>
      <c r="Z20" s="151"/>
      <c r="AA20" s="151"/>
      <c r="AB20" s="151"/>
    </row>
    <row r="21" spans="1:28" ht="18" customHeight="1">
      <c r="A21" s="151"/>
      <c r="B21" s="151" t="s">
        <v>184</v>
      </c>
      <c r="C21" s="151">
        <v>28</v>
      </c>
      <c r="D21" s="151">
        <v>2012</v>
      </c>
      <c r="E21" s="151">
        <v>2012</v>
      </c>
      <c r="F21" s="151">
        <v>310</v>
      </c>
      <c r="G21" s="151">
        <v>2984926</v>
      </c>
      <c r="H21" s="151">
        <v>10.4</v>
      </c>
      <c r="I21" s="151">
        <v>10.7</v>
      </c>
      <c r="J21" s="151"/>
      <c r="K21" s="151" t="s">
        <v>2154</v>
      </c>
      <c r="L21" s="151"/>
      <c r="M21" s="151"/>
      <c r="N21" s="151"/>
      <c r="O21" s="151"/>
      <c r="P21" s="151"/>
      <c r="Q21" s="151"/>
      <c r="R21" s="151"/>
      <c r="S21" s="151"/>
      <c r="T21" s="151"/>
      <c r="U21" s="151"/>
      <c r="V21" s="151"/>
      <c r="W21" s="151"/>
      <c r="X21" s="151"/>
      <c r="Y21" s="151"/>
      <c r="Z21" s="151"/>
      <c r="AA21" s="151"/>
      <c r="AB21" s="151"/>
    </row>
    <row r="22" spans="1:28" ht="18" customHeight="1">
      <c r="A22" s="151"/>
      <c r="B22" s="151" t="s">
        <v>99</v>
      </c>
      <c r="C22" s="151">
        <v>22</v>
      </c>
      <c r="D22" s="151">
        <v>2011</v>
      </c>
      <c r="E22" s="151">
        <v>2011</v>
      </c>
      <c r="F22" s="151">
        <v>601</v>
      </c>
      <c r="G22" s="151">
        <v>4574836</v>
      </c>
      <c r="H22" s="151">
        <v>13.1</v>
      </c>
      <c r="I22" s="151">
        <v>13.5</v>
      </c>
      <c r="J22" s="151"/>
      <c r="K22" s="151" t="s">
        <v>2155</v>
      </c>
      <c r="L22" s="151"/>
      <c r="M22" s="151"/>
      <c r="N22" s="151"/>
      <c r="O22" s="151"/>
      <c r="P22" s="151"/>
      <c r="Q22" s="151"/>
      <c r="R22" s="151"/>
      <c r="S22" s="151"/>
      <c r="T22" s="151"/>
      <c r="U22" s="151"/>
      <c r="V22" s="151"/>
      <c r="W22" s="151"/>
      <c r="X22" s="151"/>
      <c r="Y22" s="151"/>
      <c r="Z22" s="151"/>
      <c r="AA22" s="151"/>
      <c r="AB22" s="151"/>
    </row>
    <row r="23" spans="1:28" ht="18" customHeight="1">
      <c r="A23" s="151"/>
      <c r="B23" s="151" t="s">
        <v>184</v>
      </c>
      <c r="C23" s="151">
        <v>28</v>
      </c>
      <c r="D23" s="151">
        <v>2011</v>
      </c>
      <c r="E23" s="151">
        <v>2011</v>
      </c>
      <c r="F23" s="151">
        <v>302</v>
      </c>
      <c r="G23" s="151">
        <v>2978512</v>
      </c>
      <c r="H23" s="151">
        <v>10.1</v>
      </c>
      <c r="I23" s="151">
        <v>10.7</v>
      </c>
      <c r="J23" s="151"/>
      <c r="K23" s="151" t="s">
        <v>2156</v>
      </c>
      <c r="L23" s="151"/>
      <c r="M23" s="151"/>
      <c r="N23" s="151"/>
      <c r="O23" s="151"/>
      <c r="P23" s="151"/>
      <c r="Q23" s="151"/>
      <c r="R23" s="151"/>
      <c r="S23" s="151"/>
      <c r="T23" s="151"/>
      <c r="U23" s="151"/>
      <c r="V23" s="151"/>
      <c r="W23" s="151"/>
      <c r="X23" s="151"/>
      <c r="Y23" s="151"/>
      <c r="Z23" s="151"/>
      <c r="AA23" s="151"/>
      <c r="AB23" s="151"/>
    </row>
    <row r="24" spans="1:28" ht="18" customHeight="1">
      <c r="A24" s="151"/>
      <c r="B24" s="151" t="s">
        <v>99</v>
      </c>
      <c r="C24" s="151">
        <v>22</v>
      </c>
      <c r="D24" s="151">
        <v>2010</v>
      </c>
      <c r="E24" s="151">
        <v>2010</v>
      </c>
      <c r="F24" s="151">
        <v>591</v>
      </c>
      <c r="G24" s="151">
        <v>4533372</v>
      </c>
      <c r="H24" s="151">
        <v>13</v>
      </c>
      <c r="I24" s="151">
        <v>13.2</v>
      </c>
      <c r="J24" s="151"/>
      <c r="K24" s="151" t="s">
        <v>2269</v>
      </c>
      <c r="L24" s="151"/>
      <c r="M24" s="151"/>
      <c r="N24" s="151"/>
      <c r="O24" s="151"/>
      <c r="P24" s="151"/>
      <c r="Q24" s="151"/>
      <c r="R24" s="151"/>
      <c r="S24" s="151"/>
      <c r="T24" s="151"/>
      <c r="U24" s="151"/>
      <c r="V24" s="151"/>
      <c r="W24" s="151"/>
      <c r="X24" s="151"/>
      <c r="Y24" s="151"/>
      <c r="Z24" s="151"/>
      <c r="AA24" s="151"/>
      <c r="AB24" s="151"/>
    </row>
    <row r="25" spans="1:28" ht="18" customHeight="1">
      <c r="A25" s="151"/>
      <c r="B25" s="151" t="s">
        <v>184</v>
      </c>
      <c r="C25" s="151">
        <v>28</v>
      </c>
      <c r="D25" s="151">
        <v>2010</v>
      </c>
      <c r="E25" s="151">
        <v>2010</v>
      </c>
      <c r="F25" s="151">
        <v>334</v>
      </c>
      <c r="G25" s="151">
        <v>2967297</v>
      </c>
      <c r="H25" s="151">
        <v>11.3</v>
      </c>
      <c r="I25" s="151">
        <v>11.4</v>
      </c>
      <c r="J25" s="151"/>
      <c r="K25" s="151" t="s">
        <v>2270</v>
      </c>
      <c r="L25" s="151"/>
      <c r="M25" s="151"/>
      <c r="N25" s="151"/>
      <c r="O25" s="151"/>
      <c r="P25" s="151"/>
      <c r="Q25" s="151"/>
      <c r="R25" s="151"/>
      <c r="S25" s="151"/>
      <c r="T25" s="151"/>
      <c r="U25" s="151"/>
      <c r="V25" s="151"/>
      <c r="W25" s="151"/>
      <c r="X25" s="151"/>
      <c r="Y25" s="151"/>
      <c r="Z25" s="151"/>
      <c r="AA25" s="151"/>
      <c r="AB25" s="151"/>
    </row>
    <row r="26" spans="1:28" ht="18" customHeight="1">
      <c r="A26" s="151"/>
      <c r="B26" s="151" t="s">
        <v>99</v>
      </c>
      <c r="C26" s="151">
        <v>22</v>
      </c>
      <c r="D26" s="151">
        <v>2009</v>
      </c>
      <c r="E26" s="151">
        <v>2009</v>
      </c>
      <c r="F26" s="151">
        <v>584</v>
      </c>
      <c r="G26" s="151">
        <v>4491648</v>
      </c>
      <c r="H26" s="151">
        <v>13</v>
      </c>
      <c r="I26" s="151">
        <v>13.1</v>
      </c>
      <c r="J26" s="151"/>
      <c r="K26" s="151" t="s">
        <v>2271</v>
      </c>
      <c r="L26" s="151"/>
      <c r="M26" s="151"/>
      <c r="N26" s="151"/>
      <c r="O26" s="151"/>
      <c r="P26" s="151"/>
      <c r="Q26" s="151"/>
      <c r="R26" s="151"/>
      <c r="S26" s="151"/>
      <c r="T26" s="151"/>
      <c r="U26" s="151"/>
      <c r="V26" s="151"/>
      <c r="W26" s="151"/>
      <c r="X26" s="151"/>
      <c r="Y26" s="151"/>
      <c r="Z26" s="151"/>
      <c r="AA26" s="151"/>
      <c r="AB26" s="151"/>
    </row>
    <row r="27" spans="1:28" ht="18" customHeight="1">
      <c r="A27" s="151"/>
      <c r="B27" s="151" t="s">
        <v>184</v>
      </c>
      <c r="C27" s="151">
        <v>28</v>
      </c>
      <c r="D27" s="151">
        <v>2009</v>
      </c>
      <c r="E27" s="151">
        <v>2009</v>
      </c>
      <c r="F27" s="151">
        <v>323</v>
      </c>
      <c r="G27" s="151">
        <v>2958774</v>
      </c>
      <c r="H27" s="151">
        <v>10.9</v>
      </c>
      <c r="I27" s="151">
        <v>11.2</v>
      </c>
      <c r="J27" s="151"/>
      <c r="K27" s="151" t="s">
        <v>2272</v>
      </c>
      <c r="L27" s="151"/>
      <c r="M27" s="151"/>
      <c r="N27" s="151"/>
      <c r="O27" s="151"/>
      <c r="P27" s="151"/>
      <c r="Q27" s="151"/>
      <c r="R27" s="151"/>
      <c r="S27" s="151"/>
      <c r="T27" s="151"/>
      <c r="U27" s="151"/>
      <c r="V27" s="151"/>
      <c r="W27" s="151"/>
      <c r="X27" s="151"/>
      <c r="Y27" s="151"/>
      <c r="Z27" s="151"/>
      <c r="AA27" s="151"/>
      <c r="AB27" s="151"/>
    </row>
    <row r="28" spans="1:28" ht="18" customHeight="1">
      <c r="A28" s="151"/>
      <c r="B28" s="151" t="s">
        <v>99</v>
      </c>
      <c r="C28" s="151">
        <v>22</v>
      </c>
      <c r="D28" s="151">
        <v>2008</v>
      </c>
      <c r="E28" s="151">
        <v>2008</v>
      </c>
      <c r="F28" s="151">
        <v>647</v>
      </c>
      <c r="G28" s="151">
        <v>4435586</v>
      </c>
      <c r="H28" s="151">
        <v>14.6</v>
      </c>
      <c r="I28" s="151">
        <v>14.9</v>
      </c>
      <c r="J28" s="151"/>
      <c r="K28" s="151" t="s">
        <v>2273</v>
      </c>
      <c r="L28" s="151"/>
      <c r="M28" s="151"/>
      <c r="N28" s="151"/>
      <c r="O28" s="151"/>
      <c r="P28" s="151"/>
      <c r="Q28" s="151"/>
      <c r="R28" s="151"/>
      <c r="S28" s="151"/>
      <c r="T28" s="151"/>
      <c r="U28" s="151"/>
      <c r="V28" s="151"/>
      <c r="W28" s="151"/>
      <c r="X28" s="151"/>
      <c r="Y28" s="151"/>
      <c r="Z28" s="151"/>
      <c r="AA28" s="151"/>
      <c r="AB28" s="151"/>
    </row>
    <row r="29" spans="1:28" ht="18" customHeight="1">
      <c r="A29" s="151"/>
      <c r="B29" s="151" t="s">
        <v>184</v>
      </c>
      <c r="C29" s="151">
        <v>28</v>
      </c>
      <c r="D29" s="151">
        <v>2008</v>
      </c>
      <c r="E29" s="151">
        <v>2008</v>
      </c>
      <c r="F29" s="151">
        <v>303</v>
      </c>
      <c r="G29" s="151">
        <v>2947806</v>
      </c>
      <c r="H29" s="151">
        <v>10.3</v>
      </c>
      <c r="I29" s="151">
        <v>10.5</v>
      </c>
      <c r="J29" s="151"/>
      <c r="K29" s="151" t="s">
        <v>2274</v>
      </c>
      <c r="L29" s="151"/>
      <c r="M29" s="151"/>
      <c r="N29" s="151"/>
      <c r="O29" s="151"/>
      <c r="P29" s="151"/>
      <c r="Q29" s="151"/>
      <c r="R29" s="151"/>
      <c r="S29" s="151"/>
      <c r="T29" s="151"/>
      <c r="U29" s="151"/>
      <c r="V29" s="151"/>
      <c r="W29" s="151"/>
      <c r="X29" s="151"/>
      <c r="Y29" s="151"/>
      <c r="Z29" s="151"/>
      <c r="AA29" s="151"/>
      <c r="AB29" s="151"/>
    </row>
    <row r="30" spans="1:28" ht="18" customHeight="1">
      <c r="A30" s="151"/>
      <c r="B30" s="151" t="s">
        <v>99</v>
      </c>
      <c r="C30" s="151">
        <v>22</v>
      </c>
      <c r="D30" s="151">
        <v>2007</v>
      </c>
      <c r="E30" s="151">
        <v>2007</v>
      </c>
      <c r="F30" s="151">
        <v>808</v>
      </c>
      <c r="G30" s="151">
        <v>4375581</v>
      </c>
      <c r="H30" s="151">
        <v>18.5</v>
      </c>
      <c r="I30" s="151">
        <v>18.8</v>
      </c>
      <c r="J30" s="151"/>
      <c r="K30" s="151" t="s">
        <v>2275</v>
      </c>
      <c r="L30" s="151"/>
      <c r="M30" s="151"/>
      <c r="N30" s="151"/>
      <c r="O30" s="151"/>
      <c r="P30" s="151"/>
      <c r="Q30" s="151"/>
      <c r="R30" s="151"/>
      <c r="S30" s="151"/>
      <c r="T30" s="151"/>
      <c r="U30" s="151"/>
      <c r="V30" s="151"/>
      <c r="W30" s="151"/>
      <c r="X30" s="151"/>
      <c r="Y30" s="151"/>
      <c r="Z30" s="151"/>
      <c r="AA30" s="151"/>
      <c r="AB30" s="151"/>
    </row>
    <row r="31" spans="1:28" ht="18" customHeight="1">
      <c r="A31" s="151"/>
      <c r="B31" s="151" t="s">
        <v>184</v>
      </c>
      <c r="C31" s="151">
        <v>28</v>
      </c>
      <c r="D31" s="151">
        <v>2007</v>
      </c>
      <c r="E31" s="151">
        <v>2007</v>
      </c>
      <c r="F31" s="151">
        <v>314</v>
      </c>
      <c r="G31" s="151">
        <v>2928350</v>
      </c>
      <c r="H31" s="151">
        <v>10.7</v>
      </c>
      <c r="I31" s="151">
        <v>11</v>
      </c>
      <c r="J31" s="151"/>
      <c r="K31" s="151" t="s">
        <v>2276</v>
      </c>
      <c r="L31" s="151"/>
      <c r="M31" s="151"/>
      <c r="N31" s="151"/>
      <c r="O31" s="151"/>
      <c r="P31" s="151"/>
      <c r="Q31" s="151"/>
      <c r="R31" s="151"/>
      <c r="S31" s="151"/>
      <c r="T31" s="151"/>
      <c r="U31" s="151"/>
      <c r="V31" s="151"/>
      <c r="W31" s="151"/>
      <c r="X31" s="151"/>
      <c r="Y31" s="151"/>
      <c r="Z31" s="151"/>
      <c r="AA31" s="151"/>
      <c r="AB31" s="151"/>
    </row>
    <row r="32" spans="1:28" ht="18" customHeight="1">
      <c r="A32" s="151"/>
      <c r="B32" s="151" t="s">
        <v>99</v>
      </c>
      <c r="C32" s="151">
        <v>22</v>
      </c>
      <c r="D32" s="151">
        <v>2006</v>
      </c>
      <c r="E32" s="151">
        <v>2006</v>
      </c>
      <c r="F32" s="151">
        <v>705</v>
      </c>
      <c r="G32" s="151">
        <v>4302665</v>
      </c>
      <c r="H32" s="151">
        <v>16.399999999999999</v>
      </c>
      <c r="I32" s="151">
        <v>16.5</v>
      </c>
      <c r="J32" s="151"/>
      <c r="K32" s="151" t="s">
        <v>2277</v>
      </c>
      <c r="L32" s="151"/>
      <c r="M32" s="151"/>
      <c r="N32" s="151"/>
      <c r="O32" s="151"/>
      <c r="P32" s="151"/>
      <c r="Q32" s="151"/>
      <c r="R32" s="151"/>
      <c r="S32" s="151"/>
      <c r="T32" s="151"/>
      <c r="U32" s="151"/>
      <c r="V32" s="151"/>
      <c r="W32" s="151"/>
      <c r="X32" s="151"/>
      <c r="Y32" s="151"/>
      <c r="Z32" s="151"/>
      <c r="AA32" s="151"/>
      <c r="AB32" s="151"/>
    </row>
    <row r="33" spans="1:28" ht="18" customHeight="1">
      <c r="A33" s="151"/>
      <c r="B33" s="151" t="s">
        <v>184</v>
      </c>
      <c r="C33" s="151">
        <v>28</v>
      </c>
      <c r="D33" s="151">
        <v>2006</v>
      </c>
      <c r="E33" s="151">
        <v>2006</v>
      </c>
      <c r="F33" s="151">
        <v>339</v>
      </c>
      <c r="G33" s="151">
        <v>2904978</v>
      </c>
      <c r="H33" s="151">
        <v>11.7</v>
      </c>
      <c r="I33" s="151">
        <v>12.1</v>
      </c>
      <c r="J33" s="151"/>
      <c r="K33" s="151" t="s">
        <v>2278</v>
      </c>
      <c r="L33" s="151"/>
      <c r="M33" s="151"/>
      <c r="N33" s="151"/>
      <c r="O33" s="151"/>
      <c r="P33" s="151"/>
      <c r="Q33" s="151"/>
      <c r="R33" s="151"/>
      <c r="S33" s="151"/>
      <c r="T33" s="151"/>
      <c r="U33" s="151"/>
      <c r="V33" s="151"/>
      <c r="W33" s="151"/>
      <c r="X33" s="151"/>
      <c r="Y33" s="151"/>
      <c r="Z33" s="151"/>
      <c r="AA33" s="151"/>
      <c r="AB33" s="151"/>
    </row>
    <row r="34" spans="1:28" ht="18" customHeight="1">
      <c r="A34" s="151"/>
      <c r="B34" s="151" t="s">
        <v>99</v>
      </c>
      <c r="C34" s="151">
        <v>22</v>
      </c>
      <c r="D34" s="151">
        <v>2005</v>
      </c>
      <c r="E34" s="151">
        <v>2005</v>
      </c>
      <c r="F34" s="151">
        <v>661</v>
      </c>
      <c r="G34" s="151">
        <v>4576628</v>
      </c>
      <c r="H34" s="151">
        <v>14.4</v>
      </c>
      <c r="I34" s="151">
        <v>14.7</v>
      </c>
      <c r="J34" s="151"/>
      <c r="K34" s="151" t="s">
        <v>2279</v>
      </c>
      <c r="L34" s="151"/>
      <c r="M34" s="151"/>
      <c r="N34" s="151"/>
      <c r="O34" s="151"/>
      <c r="P34" s="151"/>
      <c r="Q34" s="151"/>
      <c r="R34" s="151"/>
      <c r="S34" s="151"/>
      <c r="T34" s="151"/>
      <c r="U34" s="151"/>
      <c r="V34" s="151"/>
      <c r="W34" s="151"/>
      <c r="X34" s="151"/>
      <c r="Y34" s="151"/>
      <c r="Z34" s="151"/>
      <c r="AA34" s="151"/>
      <c r="AB34" s="151"/>
    </row>
    <row r="35" spans="1:28" ht="18" customHeight="1">
      <c r="A35" s="151"/>
      <c r="B35" s="151" t="s">
        <v>184</v>
      </c>
      <c r="C35" s="151">
        <v>28</v>
      </c>
      <c r="D35" s="151">
        <v>2005</v>
      </c>
      <c r="E35" s="151">
        <v>2005</v>
      </c>
      <c r="F35" s="151">
        <v>248</v>
      </c>
      <c r="G35" s="151">
        <v>2905943</v>
      </c>
      <c r="H35" s="151">
        <v>8.5</v>
      </c>
      <c r="I35" s="151">
        <v>8.8000000000000007</v>
      </c>
      <c r="J35" s="151"/>
      <c r="K35" s="151" t="s">
        <v>2280</v>
      </c>
      <c r="L35" s="151"/>
      <c r="M35" s="151"/>
      <c r="N35" s="151"/>
      <c r="O35" s="151"/>
      <c r="P35" s="151"/>
      <c r="Q35" s="151"/>
      <c r="R35" s="151"/>
      <c r="S35" s="151"/>
      <c r="T35" s="151"/>
      <c r="U35" s="151"/>
      <c r="V35" s="151"/>
      <c r="W35" s="151"/>
      <c r="X35" s="151"/>
      <c r="Y35" s="151"/>
      <c r="Z35" s="151"/>
      <c r="AA35" s="151"/>
      <c r="AB35" s="151"/>
    </row>
    <row r="36" spans="1:28" ht="18" customHeight="1">
      <c r="A36" s="151"/>
      <c r="B36" s="151" t="s">
        <v>99</v>
      </c>
      <c r="C36" s="151">
        <v>22</v>
      </c>
      <c r="D36" s="151">
        <v>2004</v>
      </c>
      <c r="E36" s="151">
        <v>2004</v>
      </c>
      <c r="F36" s="151">
        <v>539</v>
      </c>
      <c r="G36" s="151">
        <v>4552238</v>
      </c>
      <c r="H36" s="151">
        <v>11.8</v>
      </c>
      <c r="I36" s="151">
        <v>12.1</v>
      </c>
      <c r="J36" s="151"/>
      <c r="K36" s="151" t="s">
        <v>2281</v>
      </c>
      <c r="L36" s="151"/>
      <c r="M36" s="151"/>
      <c r="N36" s="151"/>
      <c r="O36" s="151"/>
      <c r="P36" s="151"/>
      <c r="Q36" s="151"/>
      <c r="R36" s="151"/>
      <c r="S36" s="151"/>
      <c r="T36" s="151"/>
      <c r="U36" s="151"/>
      <c r="V36" s="151"/>
      <c r="W36" s="151"/>
      <c r="X36" s="151"/>
      <c r="Y36" s="151"/>
      <c r="Z36" s="151"/>
      <c r="AA36" s="151"/>
      <c r="AB36" s="151"/>
    </row>
    <row r="37" spans="1:28" ht="18" customHeight="1">
      <c r="A37" s="151"/>
      <c r="B37" s="151" t="s">
        <v>184</v>
      </c>
      <c r="C37" s="151">
        <v>28</v>
      </c>
      <c r="D37" s="151">
        <v>2004</v>
      </c>
      <c r="E37" s="151">
        <v>2004</v>
      </c>
      <c r="F37" s="151">
        <v>224</v>
      </c>
      <c r="G37" s="151">
        <v>2889010</v>
      </c>
      <c r="H37" s="151">
        <v>7.8</v>
      </c>
      <c r="I37" s="151">
        <v>8.1999999999999993</v>
      </c>
      <c r="J37" s="151"/>
      <c r="K37" s="151" t="s">
        <v>2282</v>
      </c>
      <c r="L37" s="151"/>
      <c r="M37" s="151"/>
      <c r="N37" s="151"/>
      <c r="O37" s="151"/>
      <c r="P37" s="151"/>
      <c r="Q37" s="151"/>
      <c r="R37" s="151"/>
      <c r="S37" s="151"/>
      <c r="T37" s="151"/>
      <c r="U37" s="151"/>
      <c r="V37" s="151"/>
      <c r="W37" s="151"/>
      <c r="X37" s="151"/>
      <c r="Y37" s="151"/>
      <c r="Z37" s="151"/>
      <c r="AA37" s="151"/>
      <c r="AB37" s="151"/>
    </row>
    <row r="38" spans="1:28" ht="18" customHeight="1">
      <c r="A38" s="151"/>
      <c r="B38" s="151" t="s">
        <v>99</v>
      </c>
      <c r="C38" s="151">
        <v>22</v>
      </c>
      <c r="D38" s="151">
        <v>2003</v>
      </c>
      <c r="E38" s="151">
        <v>2003</v>
      </c>
      <c r="F38" s="151">
        <v>536</v>
      </c>
      <c r="G38" s="151">
        <v>4521042</v>
      </c>
      <c r="H38" s="151">
        <v>11.9</v>
      </c>
      <c r="I38" s="151">
        <v>12.1</v>
      </c>
      <c r="J38" s="151"/>
      <c r="K38" s="151" t="s">
        <v>2283</v>
      </c>
      <c r="L38" s="151"/>
      <c r="M38" s="151"/>
      <c r="N38" s="151"/>
      <c r="O38" s="151"/>
      <c r="P38" s="151"/>
      <c r="Q38" s="151"/>
      <c r="R38" s="151"/>
      <c r="S38" s="151"/>
      <c r="T38" s="151"/>
      <c r="U38" s="151"/>
      <c r="V38" s="151"/>
      <c r="W38" s="151"/>
      <c r="X38" s="151"/>
      <c r="Y38" s="151"/>
      <c r="Z38" s="151"/>
      <c r="AA38" s="151"/>
      <c r="AB38" s="151"/>
    </row>
    <row r="39" spans="1:28" ht="18" customHeight="1">
      <c r="A39" s="151"/>
      <c r="B39" s="151" t="s">
        <v>184</v>
      </c>
      <c r="C39" s="151">
        <v>28</v>
      </c>
      <c r="D39" s="151">
        <v>2003</v>
      </c>
      <c r="E39" s="151">
        <v>2003</v>
      </c>
      <c r="F39" s="151">
        <v>207</v>
      </c>
      <c r="G39" s="151">
        <v>2868312</v>
      </c>
      <c r="H39" s="151">
        <v>7.2</v>
      </c>
      <c r="I39" s="151">
        <v>7.5</v>
      </c>
      <c r="J39" s="151"/>
      <c r="K39" s="151" t="s">
        <v>2284</v>
      </c>
      <c r="L39" s="151"/>
      <c r="M39" s="151"/>
      <c r="N39" s="151"/>
      <c r="O39" s="151"/>
      <c r="P39" s="151"/>
      <c r="Q39" s="151"/>
      <c r="R39" s="151"/>
      <c r="S39" s="151"/>
      <c r="T39" s="151"/>
      <c r="U39" s="151"/>
      <c r="V39" s="151"/>
      <c r="W39" s="151"/>
      <c r="X39" s="151"/>
      <c r="Y39" s="151"/>
      <c r="Z39" s="151"/>
      <c r="AA39" s="151"/>
      <c r="AB39" s="151"/>
    </row>
    <row r="40" spans="1:28" ht="18" customHeight="1">
      <c r="A40" s="151"/>
      <c r="B40" s="151" t="s">
        <v>99</v>
      </c>
      <c r="C40" s="151">
        <v>22</v>
      </c>
      <c r="D40" s="151">
        <v>2002</v>
      </c>
      <c r="E40" s="151">
        <v>2002</v>
      </c>
      <c r="F40" s="151">
        <v>365</v>
      </c>
      <c r="G40" s="151">
        <v>4497267</v>
      </c>
      <c r="H40" s="151">
        <v>8.1</v>
      </c>
      <c r="I40" s="151">
        <v>8.3000000000000007</v>
      </c>
      <c r="J40" s="151"/>
      <c r="K40" s="151" t="s">
        <v>2161</v>
      </c>
      <c r="L40" s="151"/>
      <c r="M40" s="151"/>
      <c r="N40" s="151"/>
      <c r="O40" s="151"/>
      <c r="P40" s="151"/>
      <c r="Q40" s="151"/>
      <c r="R40" s="151"/>
      <c r="S40" s="151"/>
      <c r="T40" s="151"/>
      <c r="U40" s="151"/>
      <c r="V40" s="151"/>
      <c r="W40" s="151"/>
      <c r="X40" s="151"/>
      <c r="Y40" s="151"/>
      <c r="Z40" s="151"/>
      <c r="AA40" s="151"/>
      <c r="AB40" s="151"/>
    </row>
    <row r="41" spans="1:28" ht="18" customHeight="1">
      <c r="A41" s="151"/>
      <c r="B41" s="151" t="s">
        <v>184</v>
      </c>
      <c r="C41" s="151">
        <v>28</v>
      </c>
      <c r="D41" s="151">
        <v>2002</v>
      </c>
      <c r="E41" s="151">
        <v>2002</v>
      </c>
      <c r="F41" s="151">
        <v>183</v>
      </c>
      <c r="G41" s="151">
        <v>2858681</v>
      </c>
      <c r="H41" s="151">
        <v>6.4</v>
      </c>
      <c r="I41" s="151">
        <v>6.6</v>
      </c>
      <c r="J41" s="151"/>
      <c r="K41" s="151" t="s">
        <v>2162</v>
      </c>
      <c r="L41" s="151"/>
      <c r="M41" s="151"/>
      <c r="N41" s="151"/>
      <c r="O41" s="151"/>
      <c r="P41" s="151"/>
      <c r="Q41" s="151"/>
      <c r="R41" s="151"/>
      <c r="S41" s="151"/>
      <c r="T41" s="151"/>
      <c r="U41" s="151"/>
      <c r="V41" s="151"/>
      <c r="W41" s="151"/>
      <c r="X41" s="151"/>
      <c r="Y41" s="151"/>
      <c r="Z41" s="151"/>
      <c r="AA41" s="151"/>
      <c r="AB41" s="151"/>
    </row>
    <row r="42" spans="1:28" ht="18" customHeight="1">
      <c r="A42" s="151"/>
      <c r="B42" s="151" t="s">
        <v>99</v>
      </c>
      <c r="C42" s="151">
        <v>22</v>
      </c>
      <c r="D42" s="151">
        <v>2001</v>
      </c>
      <c r="E42" s="151">
        <v>2001</v>
      </c>
      <c r="F42" s="151">
        <v>265</v>
      </c>
      <c r="G42" s="151">
        <v>4477875</v>
      </c>
      <c r="H42" s="151">
        <v>5.9</v>
      </c>
      <c r="I42" s="151">
        <v>6</v>
      </c>
      <c r="J42" s="151"/>
      <c r="K42" s="151" t="s">
        <v>2163</v>
      </c>
      <c r="L42" s="151"/>
      <c r="M42" s="151"/>
      <c r="N42" s="151"/>
      <c r="O42" s="151"/>
      <c r="P42" s="151"/>
      <c r="Q42" s="151"/>
      <c r="R42" s="151"/>
      <c r="S42" s="151"/>
      <c r="T42" s="151"/>
      <c r="U42" s="151"/>
      <c r="V42" s="151"/>
      <c r="W42" s="151"/>
      <c r="X42" s="151"/>
      <c r="Y42" s="151"/>
      <c r="Z42" s="151"/>
      <c r="AA42" s="151"/>
      <c r="AB42" s="151"/>
    </row>
    <row r="43" spans="1:28" ht="18" customHeight="1">
      <c r="A43" s="151"/>
      <c r="B43" s="151" t="s">
        <v>184</v>
      </c>
      <c r="C43" s="151">
        <v>28</v>
      </c>
      <c r="D43" s="151">
        <v>2001</v>
      </c>
      <c r="E43" s="151">
        <v>2001</v>
      </c>
      <c r="F43" s="151">
        <v>169</v>
      </c>
      <c r="G43" s="151">
        <v>2852994</v>
      </c>
      <c r="H43" s="151">
        <v>5.9</v>
      </c>
      <c r="I43" s="151">
        <v>6.2</v>
      </c>
      <c r="J43" s="151"/>
      <c r="K43" s="151" t="s">
        <v>2164</v>
      </c>
      <c r="L43" s="151"/>
      <c r="M43" s="151"/>
      <c r="N43" s="151"/>
      <c r="O43" s="151"/>
      <c r="P43" s="151"/>
      <c r="Q43" s="151"/>
      <c r="R43" s="151"/>
      <c r="S43" s="151"/>
      <c r="T43" s="151"/>
      <c r="U43" s="151"/>
      <c r="V43" s="151"/>
      <c r="W43" s="151"/>
      <c r="X43" s="151"/>
      <c r="Y43" s="151"/>
      <c r="Z43" s="151"/>
      <c r="AA43" s="151"/>
      <c r="AB43" s="151"/>
    </row>
    <row r="44" spans="1:28" ht="18" customHeight="1">
      <c r="A44" s="151"/>
      <c r="B44" s="151" t="s">
        <v>99</v>
      </c>
      <c r="C44" s="151">
        <v>22</v>
      </c>
      <c r="D44" s="151">
        <v>2000</v>
      </c>
      <c r="E44" s="151">
        <v>2000</v>
      </c>
      <c r="F44" s="151">
        <v>248</v>
      </c>
      <c r="G44" s="151">
        <v>4468976</v>
      </c>
      <c r="H44" s="151">
        <v>5.5</v>
      </c>
      <c r="I44" s="151">
        <v>5.6</v>
      </c>
      <c r="J44" s="151"/>
      <c r="K44" s="151" t="s">
        <v>2165</v>
      </c>
      <c r="L44" s="151"/>
      <c r="M44" s="151"/>
      <c r="N44" s="151"/>
      <c r="O44" s="151"/>
      <c r="P44" s="151"/>
      <c r="Q44" s="151"/>
      <c r="R44" s="151"/>
      <c r="S44" s="151"/>
      <c r="T44" s="151"/>
      <c r="U44" s="151"/>
      <c r="V44" s="151"/>
      <c r="W44" s="151"/>
      <c r="X44" s="151"/>
      <c r="Y44" s="151"/>
      <c r="Z44" s="151"/>
      <c r="AA44" s="151"/>
      <c r="AB44" s="151"/>
    </row>
    <row r="45" spans="1:28" ht="18" customHeight="1">
      <c r="A45" s="151"/>
      <c r="B45" s="151" t="s">
        <v>184</v>
      </c>
      <c r="C45" s="151">
        <v>28</v>
      </c>
      <c r="D45" s="151">
        <v>2000</v>
      </c>
      <c r="E45" s="151">
        <v>2000</v>
      </c>
      <c r="F45" s="151">
        <v>114</v>
      </c>
      <c r="G45" s="151">
        <v>2844658</v>
      </c>
      <c r="H45" s="151">
        <v>4</v>
      </c>
      <c r="I45" s="151">
        <v>4.2</v>
      </c>
      <c r="J45" s="151"/>
      <c r="K45" s="151" t="s">
        <v>2166</v>
      </c>
      <c r="L45" s="151"/>
      <c r="M45" s="151"/>
      <c r="N45" s="151"/>
      <c r="O45" s="151"/>
      <c r="P45" s="151"/>
      <c r="Q45" s="151"/>
      <c r="R45" s="151"/>
      <c r="S45" s="151"/>
      <c r="T45" s="151"/>
      <c r="U45" s="151"/>
      <c r="V45" s="151"/>
      <c r="W45" s="151"/>
      <c r="X45" s="151"/>
      <c r="Y45" s="151"/>
      <c r="Z45" s="151"/>
      <c r="AA45" s="151"/>
      <c r="AB45" s="151"/>
    </row>
    <row r="46" spans="1:28" ht="18" customHeight="1">
      <c r="A46" s="151"/>
      <c r="B46" s="151" t="s">
        <v>99</v>
      </c>
      <c r="C46" s="151">
        <v>22</v>
      </c>
      <c r="D46" s="151">
        <v>1999</v>
      </c>
      <c r="E46" s="151">
        <v>1999</v>
      </c>
      <c r="F46" s="151">
        <v>188</v>
      </c>
      <c r="G46" s="151">
        <v>4460811</v>
      </c>
      <c r="H46" s="151">
        <v>4.2</v>
      </c>
      <c r="I46" s="151">
        <v>4.3</v>
      </c>
      <c r="J46" s="151"/>
      <c r="K46" s="151" t="s">
        <v>2167</v>
      </c>
      <c r="L46" s="151"/>
      <c r="M46" s="151"/>
      <c r="N46" s="151"/>
      <c r="O46" s="151"/>
      <c r="P46" s="151"/>
      <c r="Q46" s="151"/>
      <c r="R46" s="151"/>
      <c r="S46" s="151"/>
      <c r="T46" s="151"/>
      <c r="U46" s="151"/>
      <c r="V46" s="151"/>
      <c r="W46" s="151"/>
      <c r="X46" s="151"/>
      <c r="Y46" s="151"/>
      <c r="Z46" s="151"/>
      <c r="AA46" s="151"/>
      <c r="AB46" s="151"/>
    </row>
    <row r="47" spans="1:28" ht="18" customHeight="1">
      <c r="A47" s="151"/>
      <c r="B47" s="151" t="s">
        <v>184</v>
      </c>
      <c r="C47" s="151">
        <v>28</v>
      </c>
      <c r="D47" s="151">
        <v>1999</v>
      </c>
      <c r="E47" s="151">
        <v>1999</v>
      </c>
      <c r="F47" s="151">
        <v>87</v>
      </c>
      <c r="G47" s="151">
        <v>2828408</v>
      </c>
      <c r="H47" s="151">
        <v>3.1</v>
      </c>
      <c r="I47" s="151">
        <v>3.2</v>
      </c>
      <c r="J47" s="151"/>
      <c r="K47" s="151" t="s">
        <v>2168</v>
      </c>
      <c r="L47" s="151"/>
      <c r="M47" s="151"/>
      <c r="N47" s="151"/>
      <c r="O47" s="151"/>
      <c r="P47" s="151"/>
      <c r="Q47" s="151"/>
      <c r="R47" s="151"/>
      <c r="S47" s="151"/>
      <c r="T47" s="151"/>
      <c r="U47" s="151"/>
      <c r="V47" s="151"/>
      <c r="W47" s="151"/>
      <c r="X47" s="151"/>
      <c r="Y47" s="151"/>
      <c r="Z47" s="151"/>
      <c r="AA47" s="151"/>
      <c r="AB47" s="151"/>
    </row>
    <row r="48" spans="1:28" ht="18" customHeight="1">
      <c r="A48" s="151" t="s">
        <v>2132</v>
      </c>
      <c r="B48" s="151" t="s">
        <v>99</v>
      </c>
      <c r="C48" s="151">
        <v>22</v>
      </c>
      <c r="D48" s="151"/>
      <c r="E48" s="151"/>
      <c r="F48" s="151">
        <v>16158</v>
      </c>
      <c r="G48" s="151">
        <v>100136377</v>
      </c>
      <c r="H48" s="151">
        <v>16.100000000000001</v>
      </c>
      <c r="I48" s="151">
        <v>16.5</v>
      </c>
      <c r="J48" s="151"/>
      <c r="K48" s="151" t="s">
        <v>2154</v>
      </c>
      <c r="L48" s="151"/>
      <c r="M48" s="151"/>
      <c r="N48" s="151"/>
      <c r="O48" s="151"/>
      <c r="P48" s="151"/>
      <c r="Q48" s="151"/>
      <c r="R48" s="151"/>
      <c r="S48" s="151"/>
      <c r="T48" s="151"/>
      <c r="U48" s="151"/>
      <c r="V48" s="151"/>
      <c r="W48" s="151"/>
      <c r="X48" s="151"/>
      <c r="Y48" s="151"/>
      <c r="Z48" s="151"/>
      <c r="AA48" s="151"/>
      <c r="AB48" s="151"/>
    </row>
    <row r="49" spans="1:28" ht="18" customHeight="1">
      <c r="A49" s="151" t="s">
        <v>2132</v>
      </c>
      <c r="B49" s="151" t="s">
        <v>184</v>
      </c>
      <c r="C49" s="151">
        <v>28</v>
      </c>
      <c r="D49" s="151"/>
      <c r="E49" s="151"/>
      <c r="F49" s="151">
        <v>6456</v>
      </c>
      <c r="G49" s="151">
        <v>64598559</v>
      </c>
      <c r="H49" s="151">
        <v>10</v>
      </c>
      <c r="I49" s="151">
        <v>10.4</v>
      </c>
      <c r="J49" s="151"/>
      <c r="K49" s="151" t="s">
        <v>2169</v>
      </c>
      <c r="L49" s="151"/>
      <c r="M49" s="151"/>
      <c r="N49" s="151"/>
      <c r="O49" s="151"/>
      <c r="P49" s="151"/>
      <c r="Q49" s="151"/>
      <c r="R49" s="151"/>
      <c r="S49" s="151"/>
      <c r="T49" s="151"/>
      <c r="U49" s="151"/>
      <c r="V49" s="151"/>
      <c r="W49" s="151"/>
      <c r="X49" s="151"/>
      <c r="Y49" s="151"/>
      <c r="Z49" s="151"/>
      <c r="AA49" s="151"/>
      <c r="AB49" s="151"/>
    </row>
    <row r="50" spans="1:28" ht="18" customHeight="1">
      <c r="A50" s="151" t="s">
        <v>2132</v>
      </c>
      <c r="B50" s="151"/>
      <c r="C50" s="151"/>
      <c r="D50" s="151"/>
      <c r="E50" s="151"/>
      <c r="F50" s="151">
        <v>22614</v>
      </c>
      <c r="G50" s="151">
        <v>164734936</v>
      </c>
      <c r="H50" s="151">
        <v>13.7</v>
      </c>
      <c r="I50" s="151">
        <v>14.1</v>
      </c>
      <c r="J50" s="151"/>
      <c r="K50" s="151" t="s">
        <v>2154</v>
      </c>
      <c r="L50" s="151"/>
      <c r="M50" s="151"/>
      <c r="N50" s="151"/>
      <c r="O50" s="151"/>
      <c r="P50" s="151"/>
      <c r="Q50" s="151"/>
      <c r="R50" s="151"/>
      <c r="S50" s="151"/>
      <c r="T50" s="151"/>
      <c r="U50" s="151"/>
      <c r="V50" s="151"/>
      <c r="W50" s="151"/>
      <c r="X50" s="151"/>
      <c r="Y50" s="151"/>
      <c r="Z50" s="151"/>
      <c r="AA50" s="151"/>
      <c r="AB50" s="151"/>
    </row>
    <row r="51" spans="1:28" ht="18" customHeight="1">
      <c r="A51" s="151" t="s">
        <v>2154</v>
      </c>
      <c r="B51" s="151"/>
      <c r="C51" s="151"/>
      <c r="D51" s="151"/>
      <c r="E51" s="151"/>
      <c r="F51" s="151"/>
      <c r="G51" s="151"/>
      <c r="H51" s="151"/>
      <c r="I51" s="151"/>
      <c r="J51" s="151"/>
      <c r="K51" s="151" t="s">
        <v>2285</v>
      </c>
      <c r="L51" s="151"/>
      <c r="M51" s="151"/>
      <c r="N51" s="151"/>
      <c r="O51" s="151"/>
      <c r="P51" s="151"/>
      <c r="Q51" s="151"/>
      <c r="R51" s="151"/>
      <c r="S51" s="151"/>
      <c r="T51" s="151"/>
      <c r="U51" s="151"/>
      <c r="V51" s="151"/>
      <c r="W51" s="151"/>
      <c r="X51" s="151"/>
      <c r="Y51" s="151"/>
      <c r="Z51" s="151"/>
      <c r="AA51" s="151"/>
      <c r="AB51" s="151"/>
    </row>
    <row r="52" spans="1:28" ht="18" customHeight="1">
      <c r="A52" s="151" t="s">
        <v>2181</v>
      </c>
      <c r="B52" s="151"/>
      <c r="C52" s="151"/>
      <c r="D52" s="151"/>
      <c r="E52" s="151"/>
      <c r="F52" s="151"/>
      <c r="G52" s="151"/>
      <c r="H52" s="151"/>
      <c r="I52" s="151"/>
      <c r="J52" s="151"/>
      <c r="K52" s="151" t="s">
        <v>2154</v>
      </c>
      <c r="L52" s="151"/>
      <c r="M52" s="151"/>
      <c r="N52" s="151"/>
      <c r="O52" s="151"/>
      <c r="P52" s="151"/>
      <c r="Q52" s="151"/>
      <c r="R52" s="151"/>
      <c r="S52" s="151"/>
      <c r="T52" s="151"/>
      <c r="U52" s="151"/>
      <c r="V52" s="151"/>
      <c r="W52" s="151"/>
      <c r="X52" s="151"/>
      <c r="Y52" s="151"/>
      <c r="Z52" s="151"/>
      <c r="AA52" s="151"/>
      <c r="AB52" s="151"/>
    </row>
    <row r="53" spans="1:28" ht="18" customHeight="1">
      <c r="A53" s="151" t="s">
        <v>2156</v>
      </c>
      <c r="B53" s="151"/>
      <c r="C53" s="151"/>
      <c r="D53" s="151"/>
      <c r="E53" s="151"/>
      <c r="F53" s="151"/>
      <c r="G53" s="151"/>
      <c r="H53" s="151"/>
      <c r="I53" s="151"/>
      <c r="J53" s="151"/>
      <c r="K53" s="151" t="s">
        <v>2171</v>
      </c>
      <c r="L53" s="151"/>
      <c r="M53" s="151"/>
      <c r="N53" s="151"/>
      <c r="O53" s="151"/>
      <c r="P53" s="151"/>
      <c r="Q53" s="151"/>
      <c r="R53" s="151"/>
      <c r="S53" s="151"/>
      <c r="T53" s="151"/>
      <c r="U53" s="151"/>
      <c r="V53" s="151"/>
      <c r="W53" s="151"/>
      <c r="X53" s="151"/>
      <c r="Y53" s="151"/>
      <c r="Z53" s="151"/>
      <c r="AA53" s="151"/>
      <c r="AB53" s="151"/>
    </row>
    <row r="54" spans="1:28" ht="18" customHeight="1">
      <c r="A54" s="151" t="s">
        <v>2269</v>
      </c>
      <c r="B54" s="151"/>
      <c r="C54" s="151"/>
      <c r="D54" s="151"/>
      <c r="E54" s="151"/>
      <c r="F54" s="151"/>
      <c r="G54" s="151"/>
      <c r="H54" s="151"/>
      <c r="I54" s="151"/>
      <c r="J54" s="151"/>
      <c r="K54" s="151" t="s">
        <v>2172</v>
      </c>
      <c r="L54" s="151"/>
      <c r="M54" s="151"/>
      <c r="N54" s="151"/>
      <c r="O54" s="151"/>
      <c r="P54" s="151"/>
      <c r="Q54" s="151"/>
      <c r="R54" s="151"/>
      <c r="S54" s="151"/>
      <c r="T54" s="151"/>
      <c r="U54" s="151"/>
      <c r="V54" s="151"/>
      <c r="W54" s="151"/>
      <c r="X54" s="151"/>
      <c r="Y54" s="151"/>
      <c r="Z54" s="151"/>
      <c r="AA54" s="151"/>
      <c r="AB54" s="151"/>
    </row>
    <row r="55" spans="1:28" ht="18" customHeight="1">
      <c r="A55" s="151" t="s">
        <v>2270</v>
      </c>
      <c r="B55" s="151"/>
      <c r="C55" s="151"/>
      <c r="D55" s="151"/>
      <c r="E55" s="151"/>
      <c r="F55" s="151"/>
      <c r="G55" s="151"/>
      <c r="H55" s="151"/>
      <c r="I55" s="151"/>
      <c r="J55" s="151"/>
      <c r="K55" s="151" t="s">
        <v>2173</v>
      </c>
      <c r="L55" s="151"/>
      <c r="M55" s="151"/>
      <c r="N55" s="151"/>
      <c r="O55" s="151"/>
      <c r="P55" s="151"/>
      <c r="Q55" s="151"/>
      <c r="R55" s="151"/>
      <c r="S55" s="151"/>
      <c r="T55" s="151"/>
      <c r="U55" s="151"/>
      <c r="V55" s="151"/>
      <c r="W55" s="151"/>
      <c r="X55" s="151"/>
      <c r="Y55" s="151"/>
      <c r="Z55" s="151"/>
      <c r="AA55" s="151"/>
      <c r="AB55" s="151"/>
    </row>
    <row r="56" spans="1:28" ht="18" customHeight="1">
      <c r="A56" s="151" t="s">
        <v>2271</v>
      </c>
      <c r="B56" s="151"/>
      <c r="C56" s="151"/>
      <c r="D56" s="151"/>
      <c r="E56" s="151"/>
      <c r="F56" s="151"/>
      <c r="G56" s="151"/>
      <c r="H56" s="151"/>
      <c r="I56" s="151"/>
      <c r="J56" s="151"/>
      <c r="K56" s="151" t="s">
        <v>2286</v>
      </c>
      <c r="L56" s="151"/>
      <c r="M56" s="151"/>
      <c r="N56" s="151"/>
      <c r="O56" s="151"/>
      <c r="P56" s="151"/>
      <c r="Q56" s="151"/>
      <c r="R56" s="151"/>
      <c r="S56" s="151"/>
      <c r="T56" s="151"/>
      <c r="U56" s="151"/>
      <c r="V56" s="151"/>
      <c r="W56" s="151"/>
      <c r="X56" s="151"/>
      <c r="Y56" s="151"/>
      <c r="Z56" s="151"/>
      <c r="AA56" s="151"/>
      <c r="AB56" s="151"/>
    </row>
    <row r="57" spans="1:28" ht="18" customHeight="1">
      <c r="A57" s="151" t="s">
        <v>2272</v>
      </c>
      <c r="B57" s="151"/>
      <c r="C57" s="151"/>
      <c r="D57" s="151"/>
      <c r="E57" s="151"/>
      <c r="F57" s="151"/>
      <c r="G57" s="151"/>
      <c r="H57" s="151"/>
      <c r="I57" s="151"/>
      <c r="J57" s="151"/>
      <c r="K57" s="151" t="s">
        <v>2154</v>
      </c>
      <c r="L57" s="151"/>
      <c r="M57" s="151"/>
      <c r="N57" s="151"/>
      <c r="O57" s="151"/>
      <c r="P57" s="151"/>
      <c r="Q57" s="151"/>
      <c r="R57" s="151"/>
      <c r="S57" s="151"/>
      <c r="T57" s="151"/>
      <c r="U57" s="151"/>
      <c r="V57" s="151"/>
      <c r="W57" s="151"/>
      <c r="X57" s="151"/>
      <c r="Y57" s="151"/>
      <c r="Z57" s="151"/>
      <c r="AA57" s="151"/>
      <c r="AB57" s="151"/>
    </row>
    <row r="58" spans="1:28" ht="18" customHeight="1">
      <c r="A58" s="151" t="s">
        <v>2273</v>
      </c>
      <c r="B58" s="151"/>
      <c r="C58" s="151"/>
      <c r="D58" s="151"/>
      <c r="E58" s="151"/>
      <c r="F58" s="151"/>
      <c r="G58" s="151"/>
      <c r="H58" s="151"/>
      <c r="I58" s="151"/>
      <c r="J58" s="151"/>
      <c r="K58" s="151" t="s">
        <v>2175</v>
      </c>
      <c r="L58" s="151"/>
      <c r="M58" s="151"/>
      <c r="N58" s="151"/>
      <c r="O58" s="151"/>
      <c r="P58" s="151"/>
      <c r="Q58" s="151"/>
      <c r="R58" s="151"/>
      <c r="S58" s="151"/>
      <c r="T58" s="151"/>
      <c r="U58" s="151"/>
      <c r="V58" s="151"/>
      <c r="W58" s="151"/>
      <c r="X58" s="151"/>
      <c r="Y58" s="151"/>
      <c r="Z58" s="151"/>
      <c r="AA58" s="151"/>
      <c r="AB58" s="151"/>
    </row>
    <row r="59" spans="1:28" ht="18" customHeight="1">
      <c r="A59" s="151" t="s">
        <v>2274</v>
      </c>
      <c r="B59" s="151"/>
      <c r="C59" s="151"/>
      <c r="D59" s="151"/>
      <c r="E59" s="151"/>
      <c r="F59" s="151"/>
      <c r="G59" s="151"/>
      <c r="H59" s="151"/>
      <c r="I59" s="151"/>
      <c r="J59" s="151"/>
      <c r="K59" s="151" t="s">
        <v>2176</v>
      </c>
      <c r="L59" s="151"/>
      <c r="M59" s="151"/>
      <c r="N59" s="151"/>
      <c r="O59" s="151"/>
      <c r="P59" s="151"/>
      <c r="Q59" s="151"/>
      <c r="R59" s="151"/>
      <c r="S59" s="151"/>
      <c r="T59" s="151"/>
      <c r="U59" s="151"/>
      <c r="V59" s="151"/>
      <c r="W59" s="151"/>
      <c r="X59" s="151"/>
      <c r="Y59" s="151"/>
      <c r="Z59" s="151"/>
      <c r="AA59" s="151"/>
      <c r="AB59" s="151"/>
    </row>
    <row r="60" spans="1:28" ht="18" customHeight="1">
      <c r="A60" s="151" t="s">
        <v>2275</v>
      </c>
      <c r="B60" s="151"/>
      <c r="C60" s="151"/>
      <c r="D60" s="151"/>
      <c r="E60" s="151"/>
      <c r="F60" s="151"/>
      <c r="G60" s="151"/>
      <c r="H60" s="151"/>
      <c r="I60" s="151"/>
      <c r="J60" s="151"/>
      <c r="K60" s="151" t="s">
        <v>2177</v>
      </c>
      <c r="L60" s="151"/>
      <c r="M60" s="151"/>
      <c r="N60" s="151"/>
      <c r="O60" s="151"/>
      <c r="P60" s="151"/>
      <c r="Q60" s="151"/>
      <c r="R60" s="151"/>
      <c r="S60" s="151"/>
      <c r="T60" s="151"/>
      <c r="U60" s="151"/>
      <c r="V60" s="151"/>
      <c r="W60" s="151"/>
      <c r="X60" s="151"/>
      <c r="Y60" s="151"/>
      <c r="Z60" s="151"/>
      <c r="AA60" s="151"/>
      <c r="AB60" s="151"/>
    </row>
    <row r="61" spans="1:28" ht="18" customHeight="1">
      <c r="A61" s="151" t="s">
        <v>2276</v>
      </c>
      <c r="B61" s="151"/>
      <c r="C61" s="151"/>
      <c r="D61" s="151"/>
      <c r="E61" s="151"/>
      <c r="F61" s="151"/>
      <c r="G61" s="151"/>
      <c r="H61" s="151"/>
      <c r="I61" s="151"/>
      <c r="J61" s="151"/>
      <c r="K61" s="151" t="s">
        <v>2178</v>
      </c>
      <c r="L61" s="151"/>
      <c r="M61" s="151"/>
      <c r="N61" s="151"/>
      <c r="O61" s="151"/>
      <c r="P61" s="151"/>
      <c r="Q61" s="151"/>
      <c r="R61" s="151"/>
      <c r="S61" s="151"/>
      <c r="T61" s="151"/>
      <c r="U61" s="151"/>
      <c r="V61" s="151"/>
      <c r="W61" s="151"/>
      <c r="X61" s="151"/>
      <c r="Y61" s="151"/>
      <c r="Z61" s="151"/>
      <c r="AA61" s="151"/>
      <c r="AB61" s="151"/>
    </row>
    <row r="62" spans="1:28" ht="18" customHeight="1">
      <c r="A62" s="151" t="s">
        <v>2277</v>
      </c>
      <c r="B62" s="151"/>
      <c r="C62" s="151"/>
      <c r="D62" s="151"/>
      <c r="E62" s="151"/>
      <c r="F62" s="151"/>
      <c r="G62" s="151"/>
      <c r="H62" s="151"/>
      <c r="I62" s="151"/>
      <c r="J62" s="151"/>
      <c r="K62" s="151" t="s">
        <v>2179</v>
      </c>
      <c r="L62" s="151"/>
      <c r="M62" s="151"/>
      <c r="N62" s="151"/>
      <c r="O62" s="151"/>
      <c r="P62" s="151"/>
      <c r="Q62" s="151"/>
      <c r="R62" s="151"/>
      <c r="S62" s="151"/>
      <c r="T62" s="151"/>
      <c r="U62" s="151"/>
      <c r="V62" s="151"/>
      <c r="W62" s="151"/>
      <c r="X62" s="151"/>
      <c r="Y62" s="151"/>
      <c r="Z62" s="151"/>
      <c r="AA62" s="151"/>
      <c r="AB62" s="151"/>
    </row>
    <row r="63" spans="1:28" ht="18" customHeight="1">
      <c r="A63" s="151" t="s">
        <v>2278</v>
      </c>
      <c r="B63" s="151"/>
      <c r="C63" s="151"/>
      <c r="D63" s="151"/>
      <c r="E63" s="151"/>
      <c r="F63" s="151"/>
      <c r="G63" s="151"/>
      <c r="H63" s="151"/>
      <c r="I63" s="151"/>
      <c r="J63" s="151"/>
      <c r="K63" s="151" t="s">
        <v>2180</v>
      </c>
      <c r="L63" s="151"/>
      <c r="M63" s="151"/>
      <c r="N63" s="151"/>
      <c r="O63" s="151"/>
      <c r="P63" s="151"/>
      <c r="Q63" s="151"/>
      <c r="R63" s="151"/>
      <c r="S63" s="151"/>
      <c r="T63" s="151"/>
      <c r="U63" s="151"/>
      <c r="V63" s="151"/>
      <c r="W63" s="151"/>
      <c r="X63" s="151"/>
      <c r="Y63" s="151"/>
      <c r="Z63" s="151"/>
      <c r="AA63" s="151"/>
      <c r="AB63" s="151"/>
    </row>
    <row r="64" spans="1:28" ht="18" customHeight="1">
      <c r="A64" s="151" t="s">
        <v>2279</v>
      </c>
      <c r="B64" s="151"/>
      <c r="C64" s="151"/>
      <c r="D64" s="151"/>
      <c r="E64" s="151"/>
      <c r="F64" s="151"/>
      <c r="G64" s="151"/>
      <c r="H64" s="151"/>
      <c r="I64" s="151"/>
      <c r="J64" s="151"/>
      <c r="K64" s="151" t="s">
        <v>2182</v>
      </c>
      <c r="L64" s="151"/>
      <c r="M64" s="151"/>
      <c r="N64" s="151"/>
      <c r="O64" s="151"/>
      <c r="P64" s="151"/>
      <c r="Q64" s="151"/>
      <c r="R64" s="151"/>
      <c r="S64" s="151"/>
      <c r="T64" s="151"/>
      <c r="U64" s="151"/>
      <c r="V64" s="151"/>
      <c r="W64" s="151"/>
      <c r="X64" s="151"/>
      <c r="Y64" s="151"/>
      <c r="Z64" s="151"/>
      <c r="AA64" s="151"/>
      <c r="AB64" s="151"/>
    </row>
    <row r="65" spans="1:28" ht="18" customHeight="1">
      <c r="A65" s="151" t="s">
        <v>2280</v>
      </c>
      <c r="B65" s="151"/>
      <c r="C65" s="151"/>
      <c r="D65" s="151"/>
      <c r="E65" s="151"/>
      <c r="F65" s="151"/>
      <c r="G65" s="151"/>
      <c r="H65" s="151"/>
      <c r="I65" s="151"/>
      <c r="J65" s="151"/>
      <c r="K65" s="151" t="s">
        <v>2183</v>
      </c>
      <c r="L65" s="151"/>
      <c r="M65" s="151"/>
      <c r="N65" s="151"/>
      <c r="O65" s="151"/>
      <c r="P65" s="151"/>
      <c r="Q65" s="151"/>
      <c r="R65" s="151"/>
      <c r="S65" s="151"/>
      <c r="T65" s="151"/>
      <c r="U65" s="151"/>
      <c r="V65" s="151"/>
      <c r="W65" s="151"/>
      <c r="X65" s="151"/>
      <c r="Y65" s="151"/>
      <c r="Z65" s="151"/>
      <c r="AA65" s="151"/>
      <c r="AB65" s="151"/>
    </row>
    <row r="66" spans="1:28" ht="18" customHeight="1">
      <c r="A66" s="151" t="s">
        <v>2281</v>
      </c>
      <c r="B66" s="151"/>
      <c r="C66" s="151"/>
      <c r="D66" s="151"/>
      <c r="E66" s="151"/>
      <c r="F66" s="151"/>
      <c r="G66" s="151"/>
      <c r="H66" s="151"/>
      <c r="I66" s="151"/>
      <c r="J66" s="151"/>
      <c r="K66" s="151" t="s">
        <v>2184</v>
      </c>
      <c r="L66" s="151"/>
      <c r="M66" s="151"/>
      <c r="N66" s="151"/>
      <c r="O66" s="151"/>
      <c r="P66" s="151"/>
      <c r="Q66" s="151"/>
      <c r="R66" s="151"/>
      <c r="S66" s="151"/>
      <c r="T66" s="151"/>
      <c r="U66" s="151"/>
      <c r="V66" s="151"/>
      <c r="W66" s="151"/>
      <c r="X66" s="151"/>
      <c r="Y66" s="151"/>
      <c r="Z66" s="151"/>
      <c r="AA66" s="151"/>
      <c r="AB66" s="151"/>
    </row>
    <row r="67" spans="1:28" ht="18" customHeight="1">
      <c r="A67" s="151" t="s">
        <v>2282</v>
      </c>
      <c r="B67" s="151"/>
      <c r="C67" s="151"/>
      <c r="D67" s="151"/>
      <c r="E67" s="151"/>
      <c r="F67" s="151"/>
      <c r="G67" s="151"/>
      <c r="H67" s="151"/>
      <c r="I67" s="151"/>
      <c r="J67" s="151"/>
      <c r="K67" s="151" t="s">
        <v>2185</v>
      </c>
      <c r="L67" s="151"/>
      <c r="M67" s="151"/>
      <c r="N67" s="151"/>
      <c r="O67" s="151"/>
      <c r="P67" s="151"/>
      <c r="Q67" s="151"/>
      <c r="R67" s="151"/>
      <c r="S67" s="151"/>
      <c r="T67" s="151"/>
      <c r="U67" s="151"/>
      <c r="V67" s="151"/>
      <c r="W67" s="151"/>
      <c r="X67" s="151"/>
      <c r="Y67" s="151"/>
      <c r="Z67" s="151"/>
      <c r="AA67" s="151"/>
      <c r="AB67" s="151"/>
    </row>
    <row r="68" spans="1:28" ht="18" customHeight="1">
      <c r="A68" s="151" t="s">
        <v>2283</v>
      </c>
      <c r="B68" s="151"/>
      <c r="C68" s="151"/>
      <c r="D68" s="151"/>
      <c r="E68" s="151"/>
      <c r="F68" s="151"/>
      <c r="G68" s="151"/>
      <c r="H68" s="151"/>
      <c r="I68" s="151"/>
      <c r="J68" s="151"/>
      <c r="K68" s="151" t="s">
        <v>2186</v>
      </c>
      <c r="L68" s="151"/>
      <c r="M68" s="151"/>
      <c r="N68" s="151"/>
      <c r="O68" s="151"/>
      <c r="P68" s="151"/>
      <c r="Q68" s="151"/>
      <c r="R68" s="151"/>
      <c r="S68" s="151"/>
      <c r="T68" s="151"/>
      <c r="U68" s="151"/>
      <c r="V68" s="151"/>
      <c r="W68" s="151"/>
      <c r="X68" s="151"/>
      <c r="Y68" s="151"/>
      <c r="Z68" s="151"/>
      <c r="AA68" s="151"/>
      <c r="AB68" s="151"/>
    </row>
    <row r="69" spans="1:28" ht="18" customHeight="1">
      <c r="A69" s="151" t="s">
        <v>2284</v>
      </c>
      <c r="B69" s="151"/>
      <c r="C69" s="151"/>
      <c r="D69" s="151"/>
      <c r="E69" s="151"/>
      <c r="F69" s="151"/>
      <c r="G69" s="151"/>
      <c r="H69" s="151"/>
      <c r="I69" s="151"/>
      <c r="J69" s="151"/>
      <c r="K69" s="151" t="s">
        <v>2187</v>
      </c>
      <c r="L69" s="151"/>
      <c r="M69" s="151"/>
      <c r="N69" s="151"/>
      <c r="O69" s="151"/>
      <c r="P69" s="151"/>
      <c r="Q69" s="151"/>
      <c r="R69" s="151"/>
      <c r="S69" s="151"/>
      <c r="T69" s="151"/>
      <c r="U69" s="151"/>
      <c r="V69" s="151"/>
      <c r="W69" s="151"/>
      <c r="X69" s="151"/>
      <c r="Y69" s="151"/>
      <c r="Z69" s="151"/>
      <c r="AA69" s="151"/>
      <c r="AB69" s="151"/>
    </row>
    <row r="70" spans="1:28" ht="18" customHeight="1">
      <c r="A70" s="151" t="s">
        <v>2161</v>
      </c>
      <c r="B70" s="151"/>
      <c r="C70" s="151"/>
      <c r="D70" s="151"/>
      <c r="E70" s="151"/>
      <c r="F70" s="151"/>
      <c r="G70" s="151"/>
      <c r="H70" s="151"/>
      <c r="I70" s="151"/>
      <c r="J70" s="151"/>
      <c r="K70" s="151" t="s">
        <v>2188</v>
      </c>
      <c r="L70" s="151"/>
      <c r="M70" s="151"/>
      <c r="N70" s="151"/>
      <c r="O70" s="151"/>
      <c r="P70" s="151"/>
      <c r="Q70" s="151"/>
      <c r="R70" s="151"/>
      <c r="S70" s="151"/>
      <c r="T70" s="151"/>
      <c r="U70" s="151"/>
      <c r="V70" s="151"/>
      <c r="W70" s="151"/>
      <c r="X70" s="151"/>
      <c r="Y70" s="151"/>
      <c r="Z70" s="151"/>
      <c r="AA70" s="151"/>
      <c r="AB70" s="151"/>
    </row>
    <row r="71" spans="1:28" ht="18" customHeight="1">
      <c r="A71" s="151" t="s">
        <v>2162</v>
      </c>
      <c r="B71" s="151"/>
      <c r="C71" s="151"/>
      <c r="D71" s="151"/>
      <c r="E71" s="151"/>
      <c r="F71" s="151"/>
      <c r="G71" s="151"/>
      <c r="H71" s="151"/>
      <c r="I71" s="151"/>
      <c r="J71" s="151"/>
      <c r="K71" s="151" t="s">
        <v>2189</v>
      </c>
      <c r="L71" s="151"/>
      <c r="M71" s="151"/>
      <c r="N71" s="151"/>
      <c r="O71" s="151"/>
      <c r="P71" s="151"/>
      <c r="Q71" s="151"/>
      <c r="R71" s="151"/>
      <c r="S71" s="151"/>
      <c r="T71" s="151"/>
      <c r="U71" s="151"/>
      <c r="V71" s="151"/>
      <c r="W71" s="151"/>
      <c r="X71" s="151"/>
      <c r="Y71" s="151"/>
      <c r="Z71" s="151"/>
      <c r="AA71" s="151"/>
      <c r="AB71" s="151"/>
    </row>
    <row r="72" spans="1:28" ht="18" customHeight="1">
      <c r="A72" s="151" t="s">
        <v>2163</v>
      </c>
      <c r="B72" s="151"/>
      <c r="C72" s="151"/>
      <c r="D72" s="151"/>
      <c r="E72" s="151"/>
      <c r="F72" s="151"/>
      <c r="G72" s="151"/>
      <c r="H72" s="151"/>
      <c r="I72" s="151"/>
      <c r="J72" s="151"/>
      <c r="K72" s="151" t="s">
        <v>2190</v>
      </c>
      <c r="L72" s="151"/>
      <c r="M72" s="151"/>
      <c r="N72" s="151"/>
      <c r="O72" s="151"/>
      <c r="P72" s="151"/>
      <c r="Q72" s="151"/>
      <c r="R72" s="151"/>
      <c r="S72" s="151"/>
      <c r="T72" s="151"/>
      <c r="U72" s="151"/>
      <c r="V72" s="151"/>
      <c r="W72" s="151"/>
      <c r="X72" s="151"/>
      <c r="Y72" s="151"/>
      <c r="Z72" s="151"/>
      <c r="AA72" s="151"/>
      <c r="AB72" s="151"/>
    </row>
    <row r="73" spans="1:28" ht="18" customHeight="1">
      <c r="A73" s="151" t="s">
        <v>2164</v>
      </c>
      <c r="B73" s="151"/>
      <c r="C73" s="151"/>
      <c r="D73" s="151"/>
      <c r="E73" s="151"/>
      <c r="F73" s="151"/>
      <c r="G73" s="151"/>
      <c r="H73" s="151"/>
      <c r="I73" s="151"/>
      <c r="J73" s="151"/>
      <c r="K73" s="151" t="s">
        <v>2191</v>
      </c>
      <c r="L73" s="151"/>
      <c r="M73" s="151"/>
      <c r="N73" s="151"/>
      <c r="O73" s="151"/>
      <c r="P73" s="151"/>
      <c r="Q73" s="151"/>
      <c r="R73" s="151"/>
      <c r="S73" s="151"/>
      <c r="T73" s="151"/>
      <c r="U73" s="151"/>
      <c r="V73" s="151"/>
      <c r="W73" s="151"/>
      <c r="X73" s="151"/>
      <c r="Y73" s="151"/>
      <c r="Z73" s="151"/>
      <c r="AA73" s="151"/>
      <c r="AB73" s="151"/>
    </row>
    <row r="74" spans="1:28" ht="18" customHeight="1">
      <c r="A74" s="151" t="s">
        <v>2165</v>
      </c>
      <c r="B74" s="151"/>
      <c r="C74" s="151"/>
      <c r="D74" s="151"/>
      <c r="E74" s="151"/>
      <c r="F74" s="151"/>
      <c r="G74" s="151"/>
      <c r="H74" s="151"/>
      <c r="I74" s="151"/>
      <c r="J74" s="151"/>
      <c r="K74" s="151" t="s">
        <v>2192</v>
      </c>
      <c r="L74" s="151"/>
      <c r="M74" s="151"/>
      <c r="N74" s="151"/>
      <c r="O74" s="151"/>
      <c r="P74" s="151"/>
      <c r="Q74" s="151"/>
      <c r="R74" s="151"/>
      <c r="S74" s="151"/>
      <c r="T74" s="151"/>
      <c r="U74" s="151"/>
      <c r="V74" s="151"/>
      <c r="W74" s="151"/>
      <c r="X74" s="151"/>
      <c r="Y74" s="151"/>
      <c r="Z74" s="151"/>
      <c r="AA74" s="151"/>
      <c r="AB74" s="151"/>
    </row>
    <row r="75" spans="1:28" ht="18" customHeight="1">
      <c r="A75" s="151" t="s">
        <v>2166</v>
      </c>
      <c r="B75" s="151"/>
      <c r="C75" s="151"/>
      <c r="D75" s="151"/>
      <c r="E75" s="151"/>
      <c r="F75" s="151"/>
      <c r="G75" s="151"/>
      <c r="H75" s="151"/>
      <c r="I75" s="151"/>
      <c r="J75" s="151"/>
      <c r="K75" s="151" t="s">
        <v>2193</v>
      </c>
      <c r="L75" s="151"/>
      <c r="M75" s="151"/>
      <c r="N75" s="151"/>
      <c r="O75" s="151"/>
      <c r="P75" s="151"/>
      <c r="Q75" s="151"/>
      <c r="R75" s="151"/>
      <c r="S75" s="151"/>
      <c r="T75" s="151"/>
      <c r="U75" s="151"/>
      <c r="V75" s="151"/>
      <c r="W75" s="151"/>
      <c r="X75" s="151"/>
      <c r="Y75" s="151"/>
      <c r="Z75" s="151"/>
      <c r="AA75" s="151"/>
      <c r="AB75" s="151"/>
    </row>
    <row r="76" spans="1:28" ht="18" customHeight="1">
      <c r="A76" s="151" t="s">
        <v>2167</v>
      </c>
      <c r="B76" s="151"/>
      <c r="C76" s="151"/>
      <c r="D76" s="151"/>
      <c r="E76" s="151"/>
      <c r="F76" s="151"/>
      <c r="G76" s="151"/>
      <c r="H76" s="151"/>
      <c r="I76" s="151"/>
      <c r="J76" s="151"/>
      <c r="K76" s="151" t="s">
        <v>2194</v>
      </c>
      <c r="L76" s="151"/>
      <c r="M76" s="151"/>
      <c r="N76" s="151"/>
      <c r="O76" s="151"/>
      <c r="P76" s="151"/>
      <c r="Q76" s="151"/>
      <c r="R76" s="151"/>
      <c r="S76" s="151"/>
      <c r="T76" s="151"/>
      <c r="U76" s="151"/>
      <c r="V76" s="151"/>
      <c r="W76" s="151"/>
      <c r="X76" s="151"/>
      <c r="Y76" s="151"/>
      <c r="Z76" s="151"/>
      <c r="AA76" s="151"/>
      <c r="AB76" s="151"/>
    </row>
    <row r="77" spans="1:28" ht="18" customHeight="1">
      <c r="A77" s="151" t="s">
        <v>2168</v>
      </c>
      <c r="B77" s="151"/>
      <c r="C77" s="151"/>
      <c r="D77" s="151"/>
      <c r="E77" s="151"/>
      <c r="F77" s="151"/>
      <c r="G77" s="151"/>
      <c r="H77" s="151"/>
      <c r="I77" s="151"/>
      <c r="J77" s="151"/>
      <c r="K77" s="151" t="s">
        <v>2195</v>
      </c>
      <c r="L77" s="151"/>
      <c r="M77" s="151"/>
      <c r="N77" s="151"/>
      <c r="O77" s="151"/>
      <c r="P77" s="151"/>
      <c r="Q77" s="151"/>
      <c r="R77" s="151"/>
      <c r="S77" s="151"/>
      <c r="T77" s="151"/>
      <c r="U77" s="151"/>
      <c r="V77" s="151"/>
      <c r="W77" s="151"/>
      <c r="X77" s="151"/>
      <c r="Y77" s="151"/>
      <c r="Z77" s="151"/>
      <c r="AA77" s="151"/>
      <c r="AB77" s="151"/>
    </row>
    <row r="78" spans="1:28" ht="18" customHeight="1">
      <c r="A78" s="151" t="s">
        <v>2154</v>
      </c>
      <c r="B78" s="151"/>
      <c r="C78" s="151"/>
      <c r="D78" s="151"/>
      <c r="E78" s="151"/>
      <c r="F78" s="151"/>
      <c r="G78" s="151"/>
      <c r="H78" s="151"/>
      <c r="I78" s="151"/>
      <c r="J78" s="151"/>
      <c r="K78" s="151" t="s">
        <v>2196</v>
      </c>
      <c r="L78" s="151"/>
      <c r="M78" s="151"/>
      <c r="N78" s="151"/>
      <c r="O78" s="151"/>
      <c r="P78" s="151"/>
      <c r="Q78" s="151"/>
      <c r="R78" s="151"/>
      <c r="S78" s="151"/>
      <c r="T78" s="151"/>
      <c r="U78" s="151"/>
      <c r="V78" s="151"/>
      <c r="W78" s="151"/>
      <c r="X78" s="151"/>
      <c r="Y78" s="151"/>
      <c r="Z78" s="151"/>
      <c r="AA78" s="151"/>
      <c r="AB78" s="151"/>
    </row>
    <row r="79" spans="1:28" ht="18" customHeight="1">
      <c r="A79" s="151" t="s">
        <v>2197</v>
      </c>
      <c r="B79" s="151"/>
      <c r="C79" s="151"/>
      <c r="D79" s="151"/>
      <c r="E79" s="151"/>
      <c r="F79" s="151"/>
      <c r="G79" s="151"/>
      <c r="H79" s="151"/>
      <c r="I79" s="151"/>
      <c r="J79" s="151"/>
      <c r="K79" s="151" t="s">
        <v>2198</v>
      </c>
      <c r="L79" s="151"/>
      <c r="M79" s="151"/>
      <c r="N79" s="151"/>
      <c r="O79" s="151"/>
      <c r="P79" s="151"/>
      <c r="Q79" s="151"/>
      <c r="R79" s="151"/>
      <c r="S79" s="151"/>
      <c r="T79" s="151"/>
      <c r="U79" s="151"/>
      <c r="V79" s="151"/>
      <c r="W79" s="151"/>
      <c r="X79" s="151"/>
      <c r="Y79" s="151"/>
      <c r="Z79" s="151"/>
      <c r="AA79" s="151"/>
      <c r="AB79" s="151"/>
    </row>
    <row r="80" spans="1:28" ht="18" customHeight="1">
      <c r="A80" s="151" t="s">
        <v>2154</v>
      </c>
      <c r="B80" s="151"/>
      <c r="C80" s="151"/>
      <c r="D80" s="151"/>
      <c r="E80" s="151"/>
      <c r="F80" s="151"/>
      <c r="G80" s="151"/>
      <c r="H80" s="151"/>
      <c r="I80" s="151"/>
      <c r="J80" s="151"/>
      <c r="K80" s="151" t="s">
        <v>2199</v>
      </c>
      <c r="L80" s="151"/>
      <c r="M80" s="151"/>
      <c r="N80" s="151"/>
      <c r="O80" s="151"/>
      <c r="P80" s="151"/>
      <c r="Q80" s="151"/>
      <c r="R80" s="151"/>
      <c r="S80" s="151"/>
      <c r="T80" s="151"/>
      <c r="U80" s="151"/>
      <c r="V80" s="151"/>
      <c r="W80" s="151"/>
      <c r="X80" s="151"/>
      <c r="Y80" s="151"/>
      <c r="Z80" s="151"/>
      <c r="AA80" s="151"/>
      <c r="AB80" s="151"/>
    </row>
    <row r="81" spans="1:28" ht="18" customHeight="1">
      <c r="A81" s="151" t="s">
        <v>2287</v>
      </c>
      <c r="B81" s="151"/>
      <c r="C81" s="151"/>
      <c r="D81" s="151"/>
      <c r="E81" s="151"/>
      <c r="F81" s="151"/>
      <c r="G81" s="151"/>
      <c r="H81" s="151"/>
      <c r="I81" s="151"/>
      <c r="J81" s="151"/>
      <c r="K81" s="151" t="s">
        <v>2201</v>
      </c>
      <c r="L81" s="151"/>
      <c r="M81" s="151"/>
      <c r="N81" s="151"/>
      <c r="O81" s="151"/>
      <c r="P81" s="151"/>
      <c r="Q81" s="151"/>
      <c r="R81" s="151"/>
      <c r="S81" s="151"/>
      <c r="T81" s="151"/>
      <c r="U81" s="151"/>
      <c r="V81" s="151"/>
      <c r="W81" s="151"/>
      <c r="X81" s="151"/>
      <c r="Y81" s="151"/>
      <c r="Z81" s="151"/>
      <c r="AA81" s="151"/>
      <c r="AB81" s="151"/>
    </row>
    <row r="82" spans="1:28" ht="18" customHeight="1">
      <c r="A82" s="151" t="s">
        <v>2154</v>
      </c>
      <c r="B82" s="151"/>
      <c r="C82" s="151"/>
      <c r="D82" s="151"/>
      <c r="E82" s="151"/>
      <c r="F82" s="151"/>
      <c r="G82" s="151"/>
      <c r="H82" s="151"/>
      <c r="I82" s="151"/>
      <c r="J82" s="151"/>
      <c r="K82" s="151" t="s">
        <v>2202</v>
      </c>
      <c r="L82" s="151"/>
      <c r="M82" s="151"/>
      <c r="N82" s="151"/>
      <c r="O82" s="151"/>
      <c r="P82" s="151"/>
      <c r="Q82" s="151"/>
      <c r="R82" s="151"/>
      <c r="S82" s="151"/>
      <c r="T82" s="151"/>
      <c r="U82" s="151"/>
      <c r="V82" s="151"/>
      <c r="W82" s="151"/>
      <c r="X82" s="151"/>
      <c r="Y82" s="151"/>
      <c r="Z82" s="151"/>
      <c r="AA82" s="151"/>
      <c r="AB82" s="151"/>
    </row>
    <row r="83" spans="1:28" ht="18" customHeight="1">
      <c r="A83" s="151" t="s">
        <v>2171</v>
      </c>
      <c r="B83" s="151"/>
      <c r="C83" s="151"/>
      <c r="D83" s="151"/>
      <c r="E83" s="151"/>
      <c r="F83" s="151"/>
      <c r="G83" s="151"/>
      <c r="H83" s="151"/>
      <c r="I83" s="151"/>
      <c r="J83" s="151"/>
      <c r="K83" s="151" t="s">
        <v>2203</v>
      </c>
      <c r="L83" s="151"/>
      <c r="M83" s="151"/>
      <c r="N83" s="151"/>
      <c r="O83" s="151"/>
      <c r="P83" s="151"/>
      <c r="Q83" s="151"/>
      <c r="R83" s="151"/>
      <c r="S83" s="151"/>
      <c r="T83" s="151"/>
      <c r="U83" s="151"/>
      <c r="V83" s="151"/>
      <c r="W83" s="151"/>
      <c r="X83" s="151"/>
      <c r="Y83" s="151"/>
      <c r="Z83" s="151"/>
      <c r="AA83" s="151"/>
      <c r="AB83" s="151"/>
    </row>
    <row r="84" spans="1:28" ht="18" customHeight="1">
      <c r="A84" s="151" t="s">
        <v>2204</v>
      </c>
      <c r="B84" s="151"/>
      <c r="C84" s="151"/>
      <c r="D84" s="151"/>
      <c r="E84" s="151"/>
      <c r="F84" s="151"/>
      <c r="G84" s="151"/>
      <c r="H84" s="151"/>
      <c r="I84" s="151"/>
      <c r="J84" s="151"/>
      <c r="K84" s="151" t="s">
        <v>2205</v>
      </c>
      <c r="L84" s="151"/>
      <c r="M84" s="151"/>
      <c r="N84" s="151"/>
      <c r="O84" s="151"/>
      <c r="P84" s="151"/>
      <c r="Q84" s="151"/>
      <c r="R84" s="151"/>
      <c r="S84" s="151"/>
      <c r="T84" s="151"/>
      <c r="U84" s="151"/>
      <c r="V84" s="151"/>
      <c r="W84" s="151"/>
      <c r="X84" s="151"/>
      <c r="Y84" s="151"/>
      <c r="Z84" s="151"/>
      <c r="AA84" s="151"/>
      <c r="AB84" s="151"/>
    </row>
    <row r="85" spans="1:28" ht="18" customHeight="1">
      <c r="A85" s="151" t="s">
        <v>2206</v>
      </c>
      <c r="B85" s="151"/>
      <c r="C85" s="151"/>
      <c r="D85" s="151"/>
      <c r="E85" s="151"/>
      <c r="F85" s="151"/>
      <c r="G85" s="151"/>
      <c r="H85" s="151"/>
      <c r="I85" s="151"/>
      <c r="J85" s="151"/>
      <c r="K85" s="151" t="s">
        <v>2207</v>
      </c>
      <c r="L85" s="151"/>
      <c r="M85" s="151"/>
      <c r="N85" s="151"/>
      <c r="O85" s="151"/>
      <c r="P85" s="151"/>
      <c r="Q85" s="151"/>
      <c r="R85" s="151"/>
      <c r="S85" s="151"/>
      <c r="T85" s="151"/>
      <c r="U85" s="151"/>
      <c r="V85" s="151"/>
      <c r="W85" s="151"/>
      <c r="X85" s="151"/>
      <c r="Y85" s="151"/>
      <c r="Z85" s="151"/>
      <c r="AA85" s="151"/>
      <c r="AB85" s="151"/>
    </row>
    <row r="86" spans="1:28" ht="18" customHeight="1">
      <c r="A86" s="151" t="s">
        <v>2288</v>
      </c>
      <c r="B86" s="151"/>
      <c r="C86" s="151"/>
      <c r="D86" s="151"/>
      <c r="E86" s="151"/>
      <c r="F86" s="151"/>
      <c r="G86" s="151"/>
      <c r="H86" s="151"/>
      <c r="I86" s="151"/>
      <c r="J86" s="151"/>
      <c r="K86" s="151" t="s">
        <v>2209</v>
      </c>
      <c r="L86" s="151"/>
      <c r="M86" s="151"/>
      <c r="N86" s="151"/>
      <c r="O86" s="151"/>
      <c r="P86" s="151"/>
      <c r="Q86" s="151"/>
      <c r="R86" s="151"/>
      <c r="S86" s="151"/>
      <c r="T86" s="151"/>
      <c r="U86" s="151"/>
      <c r="V86" s="151"/>
      <c r="W86" s="151"/>
      <c r="X86" s="151"/>
      <c r="Y86" s="151"/>
      <c r="Z86" s="151"/>
      <c r="AA86" s="151"/>
      <c r="AB86" s="151"/>
    </row>
    <row r="87" spans="1:28" ht="18" customHeight="1">
      <c r="A87" s="151" t="s">
        <v>2154</v>
      </c>
      <c r="B87" s="151"/>
      <c r="C87" s="151"/>
      <c r="D87" s="151"/>
      <c r="E87" s="151"/>
      <c r="F87" s="151"/>
      <c r="G87" s="151"/>
      <c r="H87" s="151"/>
      <c r="I87" s="151"/>
      <c r="J87" s="151"/>
      <c r="K87" s="151" t="s">
        <v>2210</v>
      </c>
      <c r="L87" s="151"/>
      <c r="M87" s="151"/>
      <c r="N87" s="151"/>
      <c r="O87" s="151"/>
      <c r="P87" s="151"/>
      <c r="Q87" s="151"/>
      <c r="R87" s="151"/>
      <c r="S87" s="151"/>
      <c r="T87" s="151"/>
      <c r="U87" s="151"/>
      <c r="V87" s="151"/>
      <c r="W87" s="151"/>
      <c r="X87" s="151"/>
      <c r="Y87" s="151"/>
      <c r="Z87" s="151"/>
      <c r="AA87" s="151"/>
      <c r="AB87" s="151"/>
    </row>
    <row r="88" spans="1:28" ht="18" customHeight="1">
      <c r="A88" s="151" t="s">
        <v>2175</v>
      </c>
      <c r="B88" s="151"/>
      <c r="C88" s="151"/>
      <c r="D88" s="151"/>
      <c r="E88" s="151"/>
      <c r="F88" s="151"/>
      <c r="G88" s="151"/>
      <c r="H88" s="151"/>
      <c r="I88" s="151"/>
      <c r="J88" s="151"/>
      <c r="K88" s="151" t="s">
        <v>2211</v>
      </c>
      <c r="L88" s="151"/>
      <c r="M88" s="151"/>
      <c r="N88" s="151"/>
      <c r="O88" s="151"/>
      <c r="P88" s="151"/>
      <c r="Q88" s="151"/>
      <c r="R88" s="151"/>
      <c r="S88" s="151"/>
      <c r="T88" s="151"/>
      <c r="U88" s="151"/>
      <c r="V88" s="151"/>
      <c r="W88" s="151"/>
      <c r="X88" s="151"/>
      <c r="Y88" s="151"/>
      <c r="Z88" s="151"/>
      <c r="AA88" s="151"/>
      <c r="AB88" s="151"/>
    </row>
    <row r="89" spans="1:28" ht="18" customHeight="1">
      <c r="A89" s="151" t="s">
        <v>2212</v>
      </c>
      <c r="B89" s="151"/>
      <c r="C89" s="151"/>
      <c r="D89" s="151"/>
      <c r="E89" s="151"/>
      <c r="F89" s="151"/>
      <c r="G89" s="151"/>
      <c r="H89" s="151"/>
      <c r="I89" s="151"/>
      <c r="J89" s="151"/>
      <c r="K89" s="151" t="s">
        <v>2213</v>
      </c>
      <c r="L89" s="151"/>
      <c r="M89" s="151"/>
      <c r="N89" s="151"/>
      <c r="O89" s="151"/>
      <c r="P89" s="151"/>
      <c r="Q89" s="151"/>
      <c r="R89" s="151"/>
      <c r="S89" s="151"/>
      <c r="T89" s="151"/>
      <c r="U89" s="151"/>
      <c r="V89" s="151"/>
      <c r="W89" s="151"/>
      <c r="X89" s="151"/>
      <c r="Y89" s="151"/>
      <c r="Z89" s="151"/>
      <c r="AA89" s="151"/>
      <c r="AB89" s="151"/>
    </row>
    <row r="90" spans="1:28" ht="18" customHeight="1">
      <c r="A90" s="151" t="s">
        <v>2214</v>
      </c>
      <c r="B90" s="151"/>
      <c r="C90" s="151"/>
      <c r="D90" s="151"/>
      <c r="E90" s="151"/>
      <c r="F90" s="151"/>
      <c r="G90" s="151"/>
      <c r="H90" s="151"/>
      <c r="I90" s="151"/>
      <c r="J90" s="151"/>
      <c r="K90" s="151" t="s">
        <v>2215</v>
      </c>
      <c r="L90" s="151"/>
      <c r="M90" s="151"/>
      <c r="N90" s="151"/>
      <c r="O90" s="151"/>
      <c r="P90" s="151"/>
      <c r="Q90" s="151"/>
      <c r="R90" s="151"/>
      <c r="S90" s="151"/>
      <c r="T90" s="151"/>
      <c r="U90" s="151"/>
      <c r="V90" s="151"/>
      <c r="W90" s="151"/>
      <c r="X90" s="151"/>
      <c r="Y90" s="151"/>
      <c r="Z90" s="151"/>
      <c r="AA90" s="151"/>
      <c r="AB90" s="151"/>
    </row>
    <row r="91" spans="1:28" ht="18" customHeight="1">
      <c r="A91" s="151" t="s">
        <v>2216</v>
      </c>
      <c r="B91" s="151"/>
      <c r="C91" s="151"/>
      <c r="D91" s="151"/>
      <c r="E91" s="151"/>
      <c r="F91" s="151"/>
      <c r="G91" s="151"/>
      <c r="H91" s="151"/>
      <c r="I91" s="151"/>
      <c r="J91" s="151"/>
      <c r="K91" s="151" t="s">
        <v>2217</v>
      </c>
      <c r="L91" s="151"/>
      <c r="M91" s="151"/>
      <c r="N91" s="151"/>
      <c r="O91" s="151"/>
      <c r="P91" s="151"/>
      <c r="Q91" s="151"/>
      <c r="R91" s="151"/>
      <c r="S91" s="151"/>
      <c r="T91" s="151"/>
      <c r="U91" s="151"/>
      <c r="V91" s="151"/>
      <c r="W91" s="151"/>
      <c r="X91" s="151"/>
      <c r="Y91" s="151"/>
      <c r="Z91" s="151"/>
      <c r="AA91" s="151"/>
      <c r="AB91" s="151"/>
    </row>
    <row r="92" spans="1:28" ht="18" customHeight="1">
      <c r="A92" s="151" t="s">
        <v>2218</v>
      </c>
      <c r="B92" s="151"/>
      <c r="C92" s="151"/>
      <c r="D92" s="151"/>
      <c r="E92" s="151"/>
      <c r="F92" s="151"/>
      <c r="G92" s="151"/>
      <c r="H92" s="151"/>
      <c r="I92" s="151"/>
      <c r="J92" s="151"/>
      <c r="K92" s="151" t="s">
        <v>2219</v>
      </c>
      <c r="L92" s="151"/>
      <c r="M92" s="151"/>
      <c r="N92" s="151"/>
      <c r="O92" s="151"/>
      <c r="P92" s="151"/>
      <c r="Q92" s="151"/>
      <c r="R92" s="151"/>
      <c r="S92" s="151"/>
      <c r="T92" s="151"/>
      <c r="U92" s="151"/>
      <c r="V92" s="151"/>
      <c r="W92" s="151"/>
      <c r="X92" s="151"/>
      <c r="Y92" s="151"/>
      <c r="Z92" s="151"/>
      <c r="AA92" s="151"/>
      <c r="AB92" s="151"/>
    </row>
    <row r="93" spans="1:28" ht="18" customHeight="1">
      <c r="A93" s="151" t="s">
        <v>2220</v>
      </c>
      <c r="B93" s="151"/>
      <c r="C93" s="151"/>
      <c r="D93" s="151"/>
      <c r="E93" s="151"/>
      <c r="F93" s="151"/>
      <c r="G93" s="151"/>
      <c r="H93" s="151"/>
      <c r="I93" s="151"/>
      <c r="J93" s="151"/>
      <c r="K93" s="151" t="s">
        <v>2221</v>
      </c>
      <c r="L93" s="151"/>
      <c r="M93" s="151"/>
      <c r="N93" s="151"/>
      <c r="O93" s="151"/>
      <c r="P93" s="151"/>
      <c r="Q93" s="151"/>
      <c r="R93" s="151"/>
      <c r="S93" s="151"/>
      <c r="T93" s="151"/>
      <c r="U93" s="151"/>
      <c r="V93" s="151"/>
      <c r="W93" s="151"/>
      <c r="X93" s="151"/>
      <c r="Y93" s="151"/>
      <c r="Z93" s="151"/>
      <c r="AA93" s="151"/>
      <c r="AB93" s="151"/>
    </row>
    <row r="94" spans="1:28" ht="18" customHeight="1">
      <c r="A94" s="151" t="s">
        <v>2222</v>
      </c>
      <c r="B94" s="151"/>
      <c r="C94" s="151"/>
      <c r="D94" s="151"/>
      <c r="E94" s="151"/>
      <c r="F94" s="151"/>
      <c r="G94" s="151"/>
      <c r="H94" s="151"/>
      <c r="I94" s="151"/>
      <c r="J94" s="151"/>
      <c r="K94" s="151" t="s">
        <v>2223</v>
      </c>
      <c r="L94" s="151"/>
      <c r="M94" s="151"/>
      <c r="N94" s="151"/>
      <c r="O94" s="151"/>
      <c r="P94" s="151"/>
      <c r="Q94" s="151"/>
      <c r="R94" s="151"/>
      <c r="S94" s="151"/>
      <c r="T94" s="151"/>
      <c r="U94" s="151"/>
      <c r="V94" s="151"/>
      <c r="W94" s="151"/>
      <c r="X94" s="151"/>
      <c r="Y94" s="151"/>
      <c r="Z94" s="151"/>
      <c r="AA94" s="151"/>
      <c r="AB94" s="151"/>
    </row>
    <row r="95" spans="1:28" ht="18" customHeight="1">
      <c r="A95" s="151" t="s">
        <v>2224</v>
      </c>
      <c r="B95" s="151"/>
      <c r="C95" s="151"/>
      <c r="D95" s="151"/>
      <c r="E95" s="151"/>
      <c r="F95" s="151"/>
      <c r="G95" s="151"/>
      <c r="H95" s="151"/>
      <c r="I95" s="151"/>
      <c r="J95" s="151"/>
      <c r="K95" s="151" t="s">
        <v>2225</v>
      </c>
      <c r="L95" s="151"/>
      <c r="M95" s="151"/>
      <c r="N95" s="151"/>
      <c r="O95" s="151"/>
      <c r="P95" s="151"/>
      <c r="Q95" s="151"/>
      <c r="R95" s="151"/>
      <c r="S95" s="151"/>
      <c r="T95" s="151"/>
      <c r="U95" s="151"/>
      <c r="V95" s="151"/>
      <c r="W95" s="151"/>
      <c r="X95" s="151"/>
      <c r="Y95" s="151"/>
      <c r="Z95" s="151"/>
      <c r="AA95" s="151"/>
      <c r="AB95" s="151"/>
    </row>
    <row r="96" spans="1:28" ht="18" customHeight="1">
      <c r="A96" s="151" t="s">
        <v>2226</v>
      </c>
      <c r="B96" s="151"/>
      <c r="C96" s="151"/>
      <c r="D96" s="151"/>
      <c r="E96" s="151"/>
      <c r="F96" s="151"/>
      <c r="G96" s="151"/>
      <c r="H96" s="151"/>
      <c r="I96" s="151"/>
      <c r="J96" s="151"/>
      <c r="K96" s="151" t="s">
        <v>2227</v>
      </c>
      <c r="L96" s="151"/>
      <c r="M96" s="151"/>
      <c r="N96" s="151"/>
      <c r="O96" s="151"/>
      <c r="P96" s="151"/>
      <c r="Q96" s="151"/>
      <c r="R96" s="151"/>
      <c r="S96" s="151"/>
      <c r="T96" s="151"/>
      <c r="U96" s="151"/>
      <c r="V96" s="151"/>
      <c r="W96" s="151"/>
      <c r="X96" s="151"/>
      <c r="Y96" s="151"/>
      <c r="Z96" s="151"/>
      <c r="AA96" s="151"/>
      <c r="AB96" s="151"/>
    </row>
    <row r="97" spans="1:28" ht="18" customHeight="1">
      <c r="A97" s="151" t="s">
        <v>2228</v>
      </c>
      <c r="B97" s="151"/>
      <c r="C97" s="151"/>
      <c r="D97" s="151"/>
      <c r="E97" s="151"/>
      <c r="F97" s="151"/>
      <c r="G97" s="151"/>
      <c r="H97" s="151"/>
      <c r="I97" s="151"/>
      <c r="J97" s="151"/>
      <c r="K97" s="151" t="s">
        <v>2229</v>
      </c>
      <c r="L97" s="151"/>
      <c r="M97" s="151"/>
      <c r="N97" s="151"/>
      <c r="O97" s="151"/>
      <c r="P97" s="151"/>
      <c r="Q97" s="151"/>
      <c r="R97" s="151"/>
      <c r="S97" s="151"/>
      <c r="T97" s="151"/>
      <c r="U97" s="151"/>
      <c r="V97" s="151"/>
      <c r="W97" s="151"/>
      <c r="X97" s="151"/>
      <c r="Y97" s="151"/>
      <c r="Z97" s="151"/>
      <c r="AA97" s="151"/>
      <c r="AB97" s="151"/>
    </row>
    <row r="98" spans="1:28" ht="18" customHeight="1">
      <c r="A98" s="151" t="s">
        <v>2230</v>
      </c>
      <c r="B98" s="151"/>
      <c r="C98" s="151"/>
      <c r="D98" s="151"/>
      <c r="E98" s="151"/>
      <c r="F98" s="151"/>
      <c r="G98" s="151"/>
      <c r="H98" s="151"/>
      <c r="I98" s="151"/>
      <c r="J98" s="151"/>
      <c r="K98" s="151" t="s">
        <v>2231</v>
      </c>
      <c r="L98" s="151"/>
      <c r="M98" s="151"/>
      <c r="N98" s="151"/>
      <c r="O98" s="151"/>
      <c r="P98" s="151"/>
      <c r="Q98" s="151"/>
      <c r="R98" s="151"/>
      <c r="S98" s="151"/>
      <c r="T98" s="151"/>
      <c r="U98" s="151"/>
      <c r="V98" s="151"/>
      <c r="W98" s="151"/>
      <c r="X98" s="151"/>
      <c r="Y98" s="151"/>
      <c r="Z98" s="151"/>
      <c r="AA98" s="151"/>
      <c r="AB98" s="151"/>
    </row>
    <row r="99" spans="1:28" ht="18" customHeight="1">
      <c r="A99" s="151" t="s">
        <v>2232</v>
      </c>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c r="AA99" s="151"/>
      <c r="AB99" s="151"/>
    </row>
    <row r="100" spans="1:28" ht="18" customHeight="1">
      <c r="A100" s="151" t="s">
        <v>2233</v>
      </c>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c r="AA100" s="151"/>
      <c r="AB100" s="151"/>
    </row>
    <row r="101" spans="1:28" ht="18" customHeight="1">
      <c r="A101" s="151" t="s">
        <v>2234</v>
      </c>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c r="AA101" s="151"/>
      <c r="AB101" s="151"/>
    </row>
    <row r="102" spans="1:28" ht="18" customHeight="1">
      <c r="A102" s="151" t="s">
        <v>2235</v>
      </c>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c r="AB102" s="151"/>
    </row>
    <row r="103" spans="1:28" ht="18" customHeight="1">
      <c r="A103" s="151" t="s">
        <v>2236</v>
      </c>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c r="AA103" s="151"/>
      <c r="AB103" s="151"/>
    </row>
    <row r="104" spans="1:28" ht="18" customHeight="1">
      <c r="A104" s="151" t="s">
        <v>2237</v>
      </c>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c r="AA104" s="151"/>
      <c r="AB104" s="151"/>
    </row>
    <row r="105" spans="1:28" ht="18" customHeight="1">
      <c r="A105" s="151" t="s">
        <v>2238</v>
      </c>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c r="AA105" s="151"/>
      <c r="AB105" s="151"/>
    </row>
    <row r="106" spans="1:28" ht="18" customHeight="1">
      <c r="A106" s="151" t="s">
        <v>2239</v>
      </c>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c r="AA106" s="151"/>
      <c r="AB106" s="151"/>
    </row>
    <row r="107" spans="1:28" ht="18" customHeight="1">
      <c r="A107" s="151" t="s">
        <v>2240</v>
      </c>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c r="AA107" s="151"/>
      <c r="AB107" s="151"/>
    </row>
    <row r="108" spans="1:28" ht="18" customHeight="1">
      <c r="A108" s="151" t="s">
        <v>2241</v>
      </c>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c r="AA108" s="151"/>
      <c r="AB108" s="151"/>
    </row>
    <row r="109" spans="1:28" ht="18" customHeight="1">
      <c r="A109" s="151" t="s">
        <v>2242</v>
      </c>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c r="AA109" s="151"/>
      <c r="AB109" s="151"/>
    </row>
    <row r="110" spans="1:28" ht="18" customHeight="1">
      <c r="A110" s="151" t="s">
        <v>2243</v>
      </c>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c r="AA110" s="151"/>
      <c r="AB110" s="151"/>
    </row>
    <row r="111" spans="1:28" ht="18" customHeight="1">
      <c r="A111" s="151" t="s">
        <v>2244</v>
      </c>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c r="AA111" s="151"/>
      <c r="AB111" s="151"/>
    </row>
    <row r="112" spans="1:28" ht="18" customHeight="1">
      <c r="A112" s="151" t="s">
        <v>2245</v>
      </c>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c r="AA112" s="151"/>
      <c r="AB112" s="151"/>
    </row>
    <row r="113" spans="1:28" ht="18" customHeight="1">
      <c r="A113" s="151" t="s">
        <v>2246</v>
      </c>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c r="AA113" s="151"/>
      <c r="AB113" s="151"/>
    </row>
    <row r="114" spans="1:28" ht="18" customHeight="1">
      <c r="A114" s="151" t="s">
        <v>2247</v>
      </c>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c r="AA114" s="151"/>
      <c r="AB114" s="151"/>
    </row>
    <row r="115" spans="1:28" ht="18" customHeight="1">
      <c r="A115" s="151" t="s">
        <v>2248</v>
      </c>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c r="AA115" s="151"/>
      <c r="AB115" s="151"/>
    </row>
    <row r="116" spans="1:28" ht="18" customHeight="1">
      <c r="A116" s="151" t="s">
        <v>2211</v>
      </c>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c r="AA116" s="151"/>
      <c r="AB116" s="151"/>
    </row>
    <row r="117" spans="1:28" ht="18" customHeight="1">
      <c r="A117" s="151" t="s">
        <v>2249</v>
      </c>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c r="AA117" s="151"/>
      <c r="AB117" s="151"/>
    </row>
    <row r="118" spans="1:28" ht="18" customHeight="1">
      <c r="A118" s="151" t="s">
        <v>2250</v>
      </c>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c r="AA118" s="151"/>
      <c r="AB118" s="151"/>
    </row>
    <row r="119" spans="1:28" ht="18" customHeight="1">
      <c r="A119" s="151" t="s">
        <v>2265</v>
      </c>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c r="AA119" s="151"/>
      <c r="AB119" s="151"/>
    </row>
  </sheetData>
  <hyperlinks>
    <hyperlink ref="H2" r:id="rId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2F3A56"/>
  </sheetPr>
  <dimension ref="A1:AA102"/>
  <sheetViews>
    <sheetView showGridLines="0" workbookViewId="0"/>
  </sheetViews>
  <sheetFormatPr defaultColWidth="14.375" defaultRowHeight="15.75"/>
  <cols>
    <col min="1" max="1" width="9" style="209" customWidth="1"/>
    <col min="2" max="2" width="8.75" style="209" customWidth="1"/>
    <col min="3" max="3" width="12.75" style="209" customWidth="1"/>
    <col min="4" max="4" width="10.875" style="209" customWidth="1"/>
    <col min="5" max="5" width="14.375" style="209"/>
    <col min="6" max="6" width="12.25" style="209" customWidth="1"/>
    <col min="7" max="8" width="14.375" style="209"/>
    <col min="9" max="9" width="23.25" style="209" customWidth="1"/>
    <col min="10" max="10" width="8.75" style="209" customWidth="1"/>
    <col min="11" max="11" width="11.75" style="209" customWidth="1"/>
    <col min="12" max="12" width="10" style="209" customWidth="1"/>
    <col min="13" max="13" width="5.25" style="209" customWidth="1"/>
    <col min="14" max="14" width="9.75" style="209" customWidth="1"/>
    <col min="15" max="15" width="7.125" style="209" customWidth="1"/>
    <col min="16" max="16" width="11" style="209" customWidth="1"/>
    <col min="17" max="17" width="10.25" style="209" customWidth="1"/>
    <col min="18" max="18" width="8.375" style="209" customWidth="1"/>
    <col min="19" max="19" width="9.125" style="209" customWidth="1"/>
    <col min="20" max="20" width="8.625" style="209" customWidth="1"/>
    <col min="21" max="21" width="8.25" style="209" customWidth="1"/>
    <col min="22" max="22" width="7.625" style="209" customWidth="1"/>
    <col min="23" max="16384" width="14.375" style="209"/>
  </cols>
  <sheetData>
    <row r="1" spans="1:27" s="211" customFormat="1" ht="30.75" customHeight="1">
      <c r="H1" s="52" t="s">
        <v>4332</v>
      </c>
    </row>
    <row r="2" spans="1:27" s="211" customFormat="1" ht="15" customHeight="1">
      <c r="A2" s="205" t="s">
        <v>2289</v>
      </c>
      <c r="B2" s="203"/>
      <c r="C2" s="203"/>
      <c r="D2" s="220" t="s">
        <v>2290</v>
      </c>
      <c r="E2" s="203"/>
      <c r="F2" s="203"/>
      <c r="G2" s="203"/>
      <c r="H2" s="203"/>
      <c r="I2" s="205" t="s">
        <v>2291</v>
      </c>
      <c r="J2" s="203"/>
      <c r="K2" s="203"/>
      <c r="L2" s="203"/>
      <c r="M2" s="203"/>
      <c r="N2" s="203"/>
      <c r="O2" s="203"/>
      <c r="P2" s="203"/>
      <c r="Q2" s="203"/>
      <c r="R2" s="203"/>
      <c r="S2" s="203"/>
      <c r="T2" s="203"/>
      <c r="U2" s="203"/>
      <c r="V2" s="203"/>
      <c r="W2" s="203"/>
      <c r="X2" s="203"/>
      <c r="Y2" s="203"/>
      <c r="Z2" s="203"/>
      <c r="AA2" s="203"/>
    </row>
    <row r="3" spans="1:27" ht="18" customHeight="1">
      <c r="A3" s="47" t="s">
        <v>42</v>
      </c>
      <c r="B3" s="47" t="s">
        <v>35</v>
      </c>
      <c r="C3" s="47" t="s">
        <v>2144</v>
      </c>
      <c r="D3" s="47" t="s">
        <v>477</v>
      </c>
      <c r="E3" s="47" t="s">
        <v>2145</v>
      </c>
      <c r="F3" s="47" t="s">
        <v>2146</v>
      </c>
      <c r="G3" s="47" t="s">
        <v>2147</v>
      </c>
      <c r="H3" s="47" t="s">
        <v>2148</v>
      </c>
      <c r="I3" s="47" t="s">
        <v>2149</v>
      </c>
      <c r="J3" s="47" t="s">
        <v>42</v>
      </c>
      <c r="K3" s="47" t="s">
        <v>35</v>
      </c>
      <c r="L3" s="47" t="s">
        <v>2144</v>
      </c>
      <c r="M3" s="47" t="s">
        <v>477</v>
      </c>
      <c r="N3" s="47" t="s">
        <v>2145</v>
      </c>
      <c r="O3" s="47" t="s">
        <v>2146</v>
      </c>
      <c r="P3" s="47" t="s">
        <v>2147</v>
      </c>
      <c r="Q3" s="47" t="s">
        <v>2148</v>
      </c>
      <c r="R3" s="47" t="s">
        <v>2150</v>
      </c>
      <c r="S3" s="47" t="s">
        <v>2151</v>
      </c>
      <c r="T3" s="47" t="s">
        <v>2149</v>
      </c>
      <c r="U3" s="47" t="s">
        <v>2152</v>
      </c>
      <c r="V3" s="47" t="s">
        <v>2153</v>
      </c>
      <c r="W3" s="47"/>
      <c r="X3" s="47"/>
      <c r="Y3" s="47"/>
      <c r="Z3" s="47"/>
      <c r="AA3" s="47"/>
    </row>
    <row r="4" spans="1:27" ht="18" customHeight="1">
      <c r="A4" s="47"/>
      <c r="B4" s="47" t="s">
        <v>99</v>
      </c>
      <c r="C4" s="47">
        <v>22</v>
      </c>
      <c r="D4" s="47">
        <v>2020</v>
      </c>
      <c r="E4" s="47">
        <v>2020</v>
      </c>
      <c r="F4" s="47">
        <v>1843</v>
      </c>
      <c r="G4" s="47">
        <v>4645318</v>
      </c>
      <c r="H4" s="47">
        <v>39.700000000000003</v>
      </c>
      <c r="I4" s="47">
        <v>33.1</v>
      </c>
      <c r="J4" s="47"/>
      <c r="K4" s="47" t="s">
        <v>99</v>
      </c>
      <c r="L4" s="47">
        <v>22</v>
      </c>
      <c r="M4" s="47">
        <v>2024</v>
      </c>
      <c r="N4" s="47">
        <v>2024</v>
      </c>
      <c r="O4" s="47">
        <v>1529</v>
      </c>
      <c r="P4" s="47">
        <v>4597740</v>
      </c>
      <c r="Q4" s="47">
        <v>33.299999999999997</v>
      </c>
      <c r="R4" s="47">
        <v>31.6</v>
      </c>
      <c r="S4" s="47">
        <v>34.9</v>
      </c>
      <c r="T4" s="47">
        <v>26.9</v>
      </c>
      <c r="U4" s="47">
        <v>25.6</v>
      </c>
      <c r="V4" s="47">
        <v>28.4</v>
      </c>
      <c r="W4" s="47"/>
      <c r="X4" s="47"/>
      <c r="Y4" s="47"/>
      <c r="Z4" s="47"/>
      <c r="AA4" s="47"/>
    </row>
    <row r="5" spans="1:27" ht="18" customHeight="1">
      <c r="A5" s="47"/>
      <c r="B5" s="47" t="s">
        <v>184</v>
      </c>
      <c r="C5" s="47">
        <v>28</v>
      </c>
      <c r="D5" s="47">
        <v>2020</v>
      </c>
      <c r="E5" s="47">
        <v>2020</v>
      </c>
      <c r="F5" s="47">
        <v>1460</v>
      </c>
      <c r="G5" s="47">
        <v>2966786</v>
      </c>
      <c r="H5" s="47">
        <v>49.2</v>
      </c>
      <c r="I5" s="47">
        <v>41</v>
      </c>
      <c r="J5" s="47"/>
      <c r="K5" s="47" t="s">
        <v>184</v>
      </c>
      <c r="L5" s="47">
        <v>28</v>
      </c>
      <c r="M5" s="47">
        <v>2024</v>
      </c>
      <c r="N5" s="47">
        <v>2024</v>
      </c>
      <c r="O5" s="47">
        <v>1072</v>
      </c>
      <c r="P5" s="47">
        <v>2943045</v>
      </c>
      <c r="Q5" s="47">
        <v>36.4</v>
      </c>
      <c r="R5" s="47">
        <v>34.200000000000003</v>
      </c>
      <c r="S5" s="47">
        <v>38.6</v>
      </c>
      <c r="T5" s="47">
        <v>29.6</v>
      </c>
      <c r="U5" s="47">
        <v>27.8</v>
      </c>
      <c r="V5" s="47">
        <v>31.5</v>
      </c>
      <c r="W5" s="47"/>
      <c r="X5" s="47"/>
      <c r="Y5" s="47"/>
      <c r="Z5" s="47"/>
      <c r="AA5" s="47"/>
    </row>
    <row r="6" spans="1:27" ht="18" customHeight="1">
      <c r="A6" s="47"/>
      <c r="B6" s="47" t="s">
        <v>99</v>
      </c>
      <c r="C6" s="47">
        <v>22</v>
      </c>
      <c r="D6" s="47">
        <v>2019</v>
      </c>
      <c r="E6" s="47">
        <v>2019</v>
      </c>
      <c r="F6" s="47">
        <v>1458</v>
      </c>
      <c r="G6" s="47">
        <v>4648794</v>
      </c>
      <c r="H6" s="47">
        <v>31.4</v>
      </c>
      <c r="I6" s="47">
        <v>26.5</v>
      </c>
      <c r="J6" s="47"/>
      <c r="K6" s="47" t="s">
        <v>99</v>
      </c>
      <c r="L6" s="47">
        <v>22</v>
      </c>
      <c r="M6" s="47">
        <v>2023</v>
      </c>
      <c r="N6" s="47">
        <v>2023</v>
      </c>
      <c r="O6" s="47">
        <v>1608</v>
      </c>
      <c r="P6" s="47">
        <v>4573749</v>
      </c>
      <c r="Q6" s="47">
        <v>35.200000000000003</v>
      </c>
      <c r="R6" s="47">
        <v>33.4</v>
      </c>
      <c r="S6" s="47">
        <v>36.9</v>
      </c>
      <c r="T6" s="47">
        <v>28.6</v>
      </c>
      <c r="U6" s="47">
        <v>27.2</v>
      </c>
      <c r="V6" s="47">
        <v>30.1</v>
      </c>
      <c r="W6" s="47"/>
      <c r="X6" s="47"/>
      <c r="Y6" s="47"/>
      <c r="Z6" s="47"/>
      <c r="AA6" s="47"/>
    </row>
    <row r="7" spans="1:27" ht="18" customHeight="1">
      <c r="A7" s="47"/>
      <c r="B7" s="47" t="s">
        <v>184</v>
      </c>
      <c r="C7" s="47">
        <v>28</v>
      </c>
      <c r="D7" s="47">
        <v>2019</v>
      </c>
      <c r="E7" s="47">
        <v>2019</v>
      </c>
      <c r="F7" s="47">
        <v>1159</v>
      </c>
      <c r="G7" s="47">
        <v>2976149</v>
      </c>
      <c r="H7" s="47">
        <v>38.9</v>
      </c>
      <c r="I7" s="47">
        <v>32.5</v>
      </c>
      <c r="J7" s="47"/>
      <c r="K7" s="47" t="s">
        <v>184</v>
      </c>
      <c r="L7" s="47">
        <v>28</v>
      </c>
      <c r="M7" s="47">
        <v>2023</v>
      </c>
      <c r="N7" s="47">
        <v>2023</v>
      </c>
      <c r="O7" s="47">
        <v>1161</v>
      </c>
      <c r="P7" s="47">
        <v>2939690</v>
      </c>
      <c r="Q7" s="47">
        <v>39.5</v>
      </c>
      <c r="R7" s="47">
        <v>37.200000000000003</v>
      </c>
      <c r="S7" s="47">
        <v>41.8</v>
      </c>
      <c r="T7" s="47">
        <v>31.8</v>
      </c>
      <c r="U7" s="47">
        <v>30</v>
      </c>
      <c r="V7" s="47">
        <v>33.799999999999997</v>
      </c>
      <c r="W7" s="47"/>
      <c r="X7" s="47"/>
      <c r="Y7" s="47"/>
      <c r="Z7" s="47"/>
      <c r="AA7" s="47"/>
    </row>
    <row r="8" spans="1:27" ht="18" customHeight="1">
      <c r="A8" s="47"/>
      <c r="B8" s="47" t="s">
        <v>99</v>
      </c>
      <c r="C8" s="47">
        <v>22</v>
      </c>
      <c r="D8" s="47">
        <v>2018</v>
      </c>
      <c r="E8" s="47">
        <v>2018</v>
      </c>
      <c r="F8" s="47">
        <v>1457</v>
      </c>
      <c r="G8" s="47">
        <v>4659978</v>
      </c>
      <c r="H8" s="47">
        <v>31.3</v>
      </c>
      <c r="I8" s="47">
        <v>26.9</v>
      </c>
      <c r="J8" s="47"/>
      <c r="K8" s="47" t="s">
        <v>99</v>
      </c>
      <c r="L8" s="47">
        <v>22</v>
      </c>
      <c r="M8" s="47">
        <v>2022</v>
      </c>
      <c r="N8" s="47">
        <v>2022</v>
      </c>
      <c r="O8" s="47">
        <v>1655</v>
      </c>
      <c r="P8" s="47">
        <v>4590241</v>
      </c>
      <c r="Q8" s="47">
        <v>36.1</v>
      </c>
      <c r="R8" s="47">
        <v>34.299999999999997</v>
      </c>
      <c r="S8" s="47">
        <v>37.799999999999997</v>
      </c>
      <c r="T8" s="47">
        <v>29.9</v>
      </c>
      <c r="U8" s="47">
        <v>28.4</v>
      </c>
      <c r="V8" s="47">
        <v>31.4</v>
      </c>
      <c r="W8" s="47"/>
      <c r="X8" s="47"/>
      <c r="Y8" s="47"/>
      <c r="Z8" s="47"/>
      <c r="AA8" s="47"/>
    </row>
    <row r="9" spans="1:27" ht="18" customHeight="1">
      <c r="A9" s="47"/>
      <c r="B9" s="47" t="s">
        <v>184</v>
      </c>
      <c r="C9" s="47">
        <v>28</v>
      </c>
      <c r="D9" s="47">
        <v>2018</v>
      </c>
      <c r="E9" s="47">
        <v>2018</v>
      </c>
      <c r="F9" s="47">
        <v>1074</v>
      </c>
      <c r="G9" s="47">
        <v>2986530</v>
      </c>
      <c r="H9" s="47">
        <v>36</v>
      </c>
      <c r="I9" s="47">
        <v>30.6</v>
      </c>
      <c r="J9" s="47"/>
      <c r="K9" s="47" t="s">
        <v>184</v>
      </c>
      <c r="L9" s="47">
        <v>28</v>
      </c>
      <c r="M9" s="47">
        <v>2022</v>
      </c>
      <c r="N9" s="47">
        <v>2022</v>
      </c>
      <c r="O9" s="47">
        <v>1256</v>
      </c>
      <c r="P9" s="47">
        <v>2940057</v>
      </c>
      <c r="Q9" s="47">
        <v>42.7</v>
      </c>
      <c r="R9" s="47">
        <v>40.4</v>
      </c>
      <c r="S9" s="47">
        <v>45.1</v>
      </c>
      <c r="T9" s="47">
        <v>34.700000000000003</v>
      </c>
      <c r="U9" s="47">
        <v>32.799999999999997</v>
      </c>
      <c r="V9" s="47">
        <v>36.799999999999997</v>
      </c>
      <c r="W9" s="47"/>
      <c r="X9" s="47"/>
      <c r="Y9" s="47"/>
      <c r="Z9" s="47"/>
      <c r="AA9" s="47"/>
    </row>
    <row r="10" spans="1:27" ht="18" customHeight="1">
      <c r="A10" s="47"/>
      <c r="B10" s="47" t="s">
        <v>99</v>
      </c>
      <c r="C10" s="47">
        <v>22</v>
      </c>
      <c r="D10" s="47">
        <v>2017</v>
      </c>
      <c r="E10" s="47">
        <v>2017</v>
      </c>
      <c r="F10" s="47">
        <v>1272</v>
      </c>
      <c r="G10" s="47">
        <v>4684333</v>
      </c>
      <c r="H10" s="47">
        <v>27.2</v>
      </c>
      <c r="I10" s="47">
        <v>23.9</v>
      </c>
      <c r="J10" s="47"/>
      <c r="K10" s="47" t="s">
        <v>99</v>
      </c>
      <c r="L10" s="47">
        <v>22</v>
      </c>
      <c r="M10" s="47">
        <v>2021</v>
      </c>
      <c r="N10" s="47">
        <v>2021</v>
      </c>
      <c r="O10" s="47">
        <v>1943</v>
      </c>
      <c r="P10" s="47">
        <v>4624047</v>
      </c>
      <c r="Q10" s="47">
        <v>42</v>
      </c>
      <c r="R10" s="47">
        <v>40.200000000000003</v>
      </c>
      <c r="S10" s="47">
        <v>43.9</v>
      </c>
      <c r="T10" s="47">
        <v>35.700000000000003</v>
      </c>
      <c r="U10" s="47">
        <v>34.1</v>
      </c>
      <c r="V10" s="47">
        <v>37.299999999999997</v>
      </c>
      <c r="W10" s="47"/>
      <c r="X10" s="47"/>
      <c r="Y10" s="47"/>
      <c r="Z10" s="47"/>
      <c r="AA10" s="47"/>
    </row>
    <row r="11" spans="1:27" ht="18" customHeight="1">
      <c r="A11" s="47"/>
      <c r="B11" s="47" t="s">
        <v>184</v>
      </c>
      <c r="C11" s="47">
        <v>28</v>
      </c>
      <c r="D11" s="47">
        <v>2017</v>
      </c>
      <c r="E11" s="47">
        <v>2017</v>
      </c>
      <c r="F11" s="47">
        <v>1164</v>
      </c>
      <c r="G11" s="47">
        <v>2984100</v>
      </c>
      <c r="H11" s="47">
        <v>39</v>
      </c>
      <c r="I11" s="47">
        <v>33.299999999999997</v>
      </c>
      <c r="J11" s="47"/>
      <c r="K11" s="47" t="s">
        <v>184</v>
      </c>
      <c r="L11" s="47">
        <v>28</v>
      </c>
      <c r="M11" s="47">
        <v>2021</v>
      </c>
      <c r="N11" s="47">
        <v>2021</v>
      </c>
      <c r="O11" s="47">
        <v>1485</v>
      </c>
      <c r="P11" s="47">
        <v>2949965</v>
      </c>
      <c r="Q11" s="47">
        <v>50.3</v>
      </c>
      <c r="R11" s="47">
        <v>47.8</v>
      </c>
      <c r="S11" s="47">
        <v>52.9</v>
      </c>
      <c r="T11" s="47">
        <v>42.1</v>
      </c>
      <c r="U11" s="47">
        <v>39.9</v>
      </c>
      <c r="V11" s="47">
        <v>44.4</v>
      </c>
      <c r="W11" s="47"/>
      <c r="X11" s="47"/>
      <c r="Y11" s="47"/>
      <c r="Z11" s="47"/>
      <c r="AA11" s="47"/>
    </row>
    <row r="12" spans="1:27" ht="18" customHeight="1">
      <c r="A12" s="47"/>
      <c r="B12" s="47" t="s">
        <v>99</v>
      </c>
      <c r="C12" s="47">
        <v>22</v>
      </c>
      <c r="D12" s="47">
        <v>2016</v>
      </c>
      <c r="E12" s="47">
        <v>2016</v>
      </c>
      <c r="F12" s="47">
        <v>1324</v>
      </c>
      <c r="G12" s="47">
        <v>4681666</v>
      </c>
      <c r="H12" s="47">
        <v>28.3</v>
      </c>
      <c r="I12" s="47">
        <v>25.5</v>
      </c>
      <c r="J12" s="47"/>
      <c r="K12" s="47" t="s">
        <v>99</v>
      </c>
      <c r="L12" s="47">
        <v>22</v>
      </c>
      <c r="M12" s="47">
        <v>2020</v>
      </c>
      <c r="N12" s="47">
        <v>2020</v>
      </c>
      <c r="O12" s="47">
        <v>1843</v>
      </c>
      <c r="P12" s="47">
        <v>4645318</v>
      </c>
      <c r="Q12" s="47">
        <v>39.700000000000003</v>
      </c>
      <c r="R12" s="47">
        <v>37.9</v>
      </c>
      <c r="S12" s="47">
        <v>41.5</v>
      </c>
      <c r="T12" s="47">
        <v>33.1</v>
      </c>
      <c r="U12" s="47">
        <v>31.6</v>
      </c>
      <c r="V12" s="47">
        <v>34.700000000000003</v>
      </c>
      <c r="W12" s="47"/>
      <c r="X12" s="47"/>
      <c r="Y12" s="47"/>
      <c r="Z12" s="47"/>
      <c r="AA12" s="47"/>
    </row>
    <row r="13" spans="1:27" ht="18" customHeight="1">
      <c r="A13" s="47"/>
      <c r="B13" s="47" t="s">
        <v>184</v>
      </c>
      <c r="C13" s="47">
        <v>28</v>
      </c>
      <c r="D13" s="47">
        <v>2016</v>
      </c>
      <c r="E13" s="47">
        <v>2016</v>
      </c>
      <c r="F13" s="47">
        <v>1084</v>
      </c>
      <c r="G13" s="47">
        <v>2988726</v>
      </c>
      <c r="H13" s="47">
        <v>36.299999999999997</v>
      </c>
      <c r="I13" s="47">
        <v>31.9</v>
      </c>
      <c r="J13" s="47"/>
      <c r="K13" s="47" t="s">
        <v>184</v>
      </c>
      <c r="L13" s="47">
        <v>28</v>
      </c>
      <c r="M13" s="47">
        <v>2020</v>
      </c>
      <c r="N13" s="47">
        <v>2020</v>
      </c>
      <c r="O13" s="47">
        <v>1460</v>
      </c>
      <c r="P13" s="47">
        <v>2966786</v>
      </c>
      <c r="Q13" s="47">
        <v>49.2</v>
      </c>
      <c r="R13" s="47">
        <v>46.7</v>
      </c>
      <c r="S13" s="47">
        <v>51.7</v>
      </c>
      <c r="T13" s="47">
        <v>41</v>
      </c>
      <c r="U13" s="47">
        <v>38.799999999999997</v>
      </c>
      <c r="V13" s="47">
        <v>43.2</v>
      </c>
      <c r="W13" s="47"/>
      <c r="X13" s="47"/>
      <c r="Y13" s="47"/>
      <c r="Z13" s="47"/>
      <c r="AA13" s="47"/>
    </row>
    <row r="14" spans="1:27" ht="18" customHeight="1">
      <c r="A14" s="47"/>
      <c r="B14" s="47" t="s">
        <v>99</v>
      </c>
      <c r="C14" s="47">
        <v>22</v>
      </c>
      <c r="D14" s="47">
        <v>2015</v>
      </c>
      <c r="E14" s="47">
        <v>2015</v>
      </c>
      <c r="F14" s="47">
        <v>1199</v>
      </c>
      <c r="G14" s="47">
        <v>4670724</v>
      </c>
      <c r="H14" s="47">
        <v>25.7</v>
      </c>
      <c r="I14" s="47">
        <v>23.5</v>
      </c>
      <c r="J14" s="47"/>
      <c r="K14" s="47" t="s">
        <v>99</v>
      </c>
      <c r="L14" s="47">
        <v>22</v>
      </c>
      <c r="M14" s="47">
        <v>2019</v>
      </c>
      <c r="N14" s="47">
        <v>2019</v>
      </c>
      <c r="O14" s="47">
        <v>1458</v>
      </c>
      <c r="P14" s="47">
        <v>4648794</v>
      </c>
      <c r="Q14" s="47">
        <v>31.4</v>
      </c>
      <c r="R14" s="47">
        <v>29.8</v>
      </c>
      <c r="S14" s="47">
        <v>33</v>
      </c>
      <c r="T14" s="47">
        <v>26.5</v>
      </c>
      <c r="U14" s="47">
        <v>25.2</v>
      </c>
      <c r="V14" s="47">
        <v>28</v>
      </c>
      <c r="W14" s="47"/>
      <c r="X14" s="47"/>
      <c r="Y14" s="47"/>
      <c r="Z14" s="47"/>
      <c r="AA14" s="47"/>
    </row>
    <row r="15" spans="1:27" ht="18" customHeight="1">
      <c r="A15" s="47"/>
      <c r="B15" s="47" t="s">
        <v>184</v>
      </c>
      <c r="C15" s="47">
        <v>28</v>
      </c>
      <c r="D15" s="47">
        <v>2015</v>
      </c>
      <c r="E15" s="47">
        <v>2015</v>
      </c>
      <c r="F15" s="47">
        <v>1092</v>
      </c>
      <c r="G15" s="47">
        <v>2992333</v>
      </c>
      <c r="H15" s="47">
        <v>36.5</v>
      </c>
      <c r="I15" s="47">
        <v>32.4</v>
      </c>
      <c r="J15" s="47"/>
      <c r="K15" s="47" t="s">
        <v>184</v>
      </c>
      <c r="L15" s="47">
        <v>28</v>
      </c>
      <c r="M15" s="47">
        <v>2019</v>
      </c>
      <c r="N15" s="47">
        <v>2019</v>
      </c>
      <c r="O15" s="47">
        <v>1159</v>
      </c>
      <c r="P15" s="47">
        <v>2976149</v>
      </c>
      <c r="Q15" s="47">
        <v>38.9</v>
      </c>
      <c r="R15" s="47">
        <v>36.700000000000003</v>
      </c>
      <c r="S15" s="47">
        <v>41.2</v>
      </c>
      <c r="T15" s="47">
        <v>32.5</v>
      </c>
      <c r="U15" s="47">
        <v>30.6</v>
      </c>
      <c r="V15" s="47">
        <v>34.5</v>
      </c>
      <c r="W15" s="47"/>
      <c r="X15" s="47"/>
      <c r="Y15" s="47"/>
      <c r="Z15" s="47"/>
      <c r="AA15" s="47"/>
    </row>
    <row r="16" spans="1:27" ht="18" customHeight="1">
      <c r="A16" s="47"/>
      <c r="B16" s="47" t="s">
        <v>99</v>
      </c>
      <c r="C16" s="47">
        <v>22</v>
      </c>
      <c r="D16" s="47">
        <v>2014</v>
      </c>
      <c r="E16" s="47">
        <v>2014</v>
      </c>
      <c r="F16" s="47">
        <v>1238</v>
      </c>
      <c r="G16" s="47">
        <v>4649676</v>
      </c>
      <c r="H16" s="47">
        <v>26.6</v>
      </c>
      <c r="I16" s="47">
        <v>24.8</v>
      </c>
      <c r="J16" s="47"/>
      <c r="K16" s="47" t="s">
        <v>99</v>
      </c>
      <c r="L16" s="47">
        <v>22</v>
      </c>
      <c r="M16" s="47">
        <v>2018</v>
      </c>
      <c r="N16" s="47">
        <v>2018</v>
      </c>
      <c r="O16" s="47">
        <v>1457</v>
      </c>
      <c r="P16" s="47">
        <v>4659978</v>
      </c>
      <c r="Q16" s="47">
        <v>31.3</v>
      </c>
      <c r="R16" s="47">
        <v>29.7</v>
      </c>
      <c r="S16" s="47">
        <v>32.9</v>
      </c>
      <c r="T16" s="47">
        <v>26.9</v>
      </c>
      <c r="U16" s="47">
        <v>25.5</v>
      </c>
      <c r="V16" s="47">
        <v>28.3</v>
      </c>
      <c r="W16" s="47"/>
      <c r="X16" s="47"/>
      <c r="Y16" s="47"/>
      <c r="Z16" s="47"/>
      <c r="AA16" s="47"/>
    </row>
    <row r="17" spans="1:27" ht="18" customHeight="1">
      <c r="A17" s="47"/>
      <c r="B17" s="47" t="s">
        <v>184</v>
      </c>
      <c r="C17" s="47">
        <v>28</v>
      </c>
      <c r="D17" s="47">
        <v>2014</v>
      </c>
      <c r="E17" s="47">
        <v>2014</v>
      </c>
      <c r="F17" s="47">
        <v>1015</v>
      </c>
      <c r="G17" s="47">
        <v>2994079</v>
      </c>
      <c r="H17" s="47">
        <v>33.9</v>
      </c>
      <c r="I17" s="47">
        <v>30.4</v>
      </c>
      <c r="J17" s="47"/>
      <c r="K17" s="47" t="s">
        <v>184</v>
      </c>
      <c r="L17" s="47">
        <v>28</v>
      </c>
      <c r="M17" s="47">
        <v>2018</v>
      </c>
      <c r="N17" s="47">
        <v>2018</v>
      </c>
      <c r="O17" s="47">
        <v>1074</v>
      </c>
      <c r="P17" s="47">
        <v>2986530</v>
      </c>
      <c r="Q17" s="47">
        <v>36</v>
      </c>
      <c r="R17" s="47">
        <v>33.799999999999997</v>
      </c>
      <c r="S17" s="47">
        <v>38.1</v>
      </c>
      <c r="T17" s="47">
        <v>30.6</v>
      </c>
      <c r="U17" s="47">
        <v>28.7</v>
      </c>
      <c r="V17" s="47">
        <v>32.5</v>
      </c>
      <c r="W17" s="47"/>
      <c r="X17" s="47"/>
      <c r="Y17" s="47"/>
      <c r="Z17" s="47"/>
      <c r="AA17" s="47"/>
    </row>
    <row r="18" spans="1:27" ht="18" customHeight="1">
      <c r="A18" s="47"/>
      <c r="B18" s="47" t="s">
        <v>99</v>
      </c>
      <c r="C18" s="47">
        <v>22</v>
      </c>
      <c r="D18" s="47">
        <v>2013</v>
      </c>
      <c r="E18" s="47">
        <v>2013</v>
      </c>
      <c r="F18" s="47">
        <v>1329</v>
      </c>
      <c r="G18" s="47">
        <v>4625470</v>
      </c>
      <c r="H18" s="47">
        <v>28.7</v>
      </c>
      <c r="I18" s="47">
        <v>26.9</v>
      </c>
      <c r="J18" s="47" t="s">
        <v>2132</v>
      </c>
      <c r="K18" s="47" t="s">
        <v>99</v>
      </c>
      <c r="L18" s="47">
        <v>22</v>
      </c>
      <c r="M18" s="47"/>
      <c r="N18" s="47"/>
      <c r="O18" s="47">
        <v>11493</v>
      </c>
      <c r="P18" s="47">
        <v>32339867</v>
      </c>
      <c r="Q18" s="47">
        <v>35.5</v>
      </c>
      <c r="R18" s="47">
        <v>34.9</v>
      </c>
      <c r="S18" s="47">
        <v>36.200000000000003</v>
      </c>
      <c r="T18" s="47">
        <v>29.6</v>
      </c>
      <c r="U18" s="47">
        <v>29.1</v>
      </c>
      <c r="V18" s="47">
        <v>30.2</v>
      </c>
      <c r="W18" s="47"/>
      <c r="X18" s="47"/>
      <c r="Y18" s="47"/>
      <c r="Z18" s="47"/>
      <c r="AA18" s="47"/>
    </row>
    <row r="19" spans="1:27" ht="18" customHeight="1">
      <c r="A19" s="47"/>
      <c r="B19" s="47" t="s">
        <v>184</v>
      </c>
      <c r="C19" s="47">
        <v>28</v>
      </c>
      <c r="D19" s="47">
        <v>2013</v>
      </c>
      <c r="E19" s="47">
        <v>2013</v>
      </c>
      <c r="F19" s="47">
        <v>1071</v>
      </c>
      <c r="G19" s="47">
        <v>2991207</v>
      </c>
      <c r="H19" s="47">
        <v>35.799999999999997</v>
      </c>
      <c r="I19" s="47">
        <v>32.9</v>
      </c>
      <c r="J19" s="47" t="s">
        <v>2132</v>
      </c>
      <c r="K19" s="47" t="s">
        <v>184</v>
      </c>
      <c r="L19" s="47">
        <v>28</v>
      </c>
      <c r="M19" s="47"/>
      <c r="N19" s="47"/>
      <c r="O19" s="47">
        <v>8667</v>
      </c>
      <c r="P19" s="47">
        <v>20702222</v>
      </c>
      <c r="Q19" s="47">
        <v>41.9</v>
      </c>
      <c r="R19" s="47">
        <v>41</v>
      </c>
      <c r="S19" s="47">
        <v>42.7</v>
      </c>
      <c r="T19" s="47">
        <v>34.6</v>
      </c>
      <c r="U19" s="47">
        <v>33.9</v>
      </c>
      <c r="V19" s="47">
        <v>35.4</v>
      </c>
      <c r="W19" s="47"/>
      <c r="X19" s="47"/>
      <c r="Y19" s="47"/>
      <c r="Z19" s="47"/>
      <c r="AA19" s="47"/>
    </row>
    <row r="20" spans="1:27" ht="18" customHeight="1">
      <c r="A20" s="47"/>
      <c r="B20" s="47" t="s">
        <v>99</v>
      </c>
      <c r="C20" s="47">
        <v>22</v>
      </c>
      <c r="D20" s="47">
        <v>2012</v>
      </c>
      <c r="E20" s="47">
        <v>2012</v>
      </c>
      <c r="F20" s="47">
        <v>1290</v>
      </c>
      <c r="G20" s="47">
        <v>4601893</v>
      </c>
      <c r="H20" s="47">
        <v>28</v>
      </c>
      <c r="I20" s="47">
        <v>26.9</v>
      </c>
      <c r="J20" s="47" t="s">
        <v>2132</v>
      </c>
      <c r="K20" s="47"/>
      <c r="L20" s="47"/>
      <c r="M20" s="47"/>
      <c r="N20" s="47"/>
      <c r="O20" s="47">
        <v>20160</v>
      </c>
      <c r="P20" s="47">
        <v>53042089</v>
      </c>
      <c r="Q20" s="47">
        <v>38</v>
      </c>
      <c r="R20" s="47">
        <v>37.5</v>
      </c>
      <c r="S20" s="47">
        <v>38.5</v>
      </c>
      <c r="T20" s="47">
        <v>31.6</v>
      </c>
      <c r="U20" s="47">
        <v>31.1</v>
      </c>
      <c r="V20" s="47">
        <v>32</v>
      </c>
      <c r="W20" s="47"/>
      <c r="X20" s="47"/>
      <c r="Y20" s="47"/>
      <c r="Z20" s="47"/>
      <c r="AA20" s="47"/>
    </row>
    <row r="21" spans="1:27" ht="18" customHeight="1">
      <c r="A21" s="47"/>
      <c r="B21" s="47" t="s">
        <v>184</v>
      </c>
      <c r="C21" s="47">
        <v>28</v>
      </c>
      <c r="D21" s="47">
        <v>2012</v>
      </c>
      <c r="E21" s="47">
        <v>2012</v>
      </c>
      <c r="F21" s="47">
        <v>1050</v>
      </c>
      <c r="G21" s="47">
        <v>2984926</v>
      </c>
      <c r="H21" s="47">
        <v>35.200000000000003</v>
      </c>
      <c r="I21" s="47">
        <v>32.6</v>
      </c>
      <c r="J21" s="47" t="s">
        <v>2154</v>
      </c>
      <c r="K21" s="47"/>
      <c r="L21" s="47"/>
      <c r="M21" s="47"/>
      <c r="N21" s="47"/>
      <c r="O21" s="47"/>
      <c r="P21" s="47"/>
      <c r="Q21" s="47"/>
      <c r="R21" s="47"/>
      <c r="S21" s="47"/>
      <c r="T21" s="47"/>
      <c r="U21" s="47"/>
      <c r="V21" s="47"/>
      <c r="W21" s="47"/>
      <c r="X21" s="47"/>
      <c r="Y21" s="47"/>
      <c r="Z21" s="47"/>
      <c r="AA21" s="47"/>
    </row>
    <row r="22" spans="1:27" ht="18" customHeight="1">
      <c r="A22" s="47"/>
      <c r="B22" s="47" t="s">
        <v>99</v>
      </c>
      <c r="C22" s="47">
        <v>22</v>
      </c>
      <c r="D22" s="47">
        <v>2011</v>
      </c>
      <c r="E22" s="47">
        <v>2011</v>
      </c>
      <c r="F22" s="47">
        <v>1265</v>
      </c>
      <c r="G22" s="47">
        <v>4574836</v>
      </c>
      <c r="H22" s="47">
        <v>27.7</v>
      </c>
      <c r="I22" s="47">
        <v>27.1</v>
      </c>
      <c r="J22" s="47" t="s">
        <v>2155</v>
      </c>
      <c r="K22" s="47"/>
      <c r="L22" s="47"/>
      <c r="M22" s="47"/>
      <c r="N22" s="47"/>
      <c r="O22" s="47"/>
      <c r="P22" s="47"/>
      <c r="Q22" s="47"/>
      <c r="R22" s="47"/>
      <c r="S22" s="47"/>
      <c r="T22" s="47"/>
      <c r="U22" s="47"/>
      <c r="V22" s="47"/>
      <c r="W22" s="47"/>
      <c r="X22" s="47"/>
      <c r="Y22" s="47"/>
      <c r="Z22" s="47"/>
      <c r="AA22" s="47"/>
    </row>
    <row r="23" spans="1:27" ht="18" customHeight="1">
      <c r="A23" s="47"/>
      <c r="B23" s="47" t="s">
        <v>184</v>
      </c>
      <c r="C23" s="47">
        <v>28</v>
      </c>
      <c r="D23" s="47">
        <v>2011</v>
      </c>
      <c r="E23" s="47">
        <v>2011</v>
      </c>
      <c r="F23" s="47">
        <v>996</v>
      </c>
      <c r="G23" s="47">
        <v>2978512</v>
      </c>
      <c r="H23" s="47">
        <v>33.4</v>
      </c>
      <c r="I23" s="47">
        <v>32</v>
      </c>
      <c r="J23" s="47" t="s">
        <v>2156</v>
      </c>
      <c r="K23" s="47"/>
      <c r="L23" s="47"/>
      <c r="M23" s="47"/>
      <c r="N23" s="47"/>
      <c r="O23" s="47"/>
      <c r="P23" s="47"/>
      <c r="Q23" s="47"/>
      <c r="R23" s="47"/>
      <c r="S23" s="47"/>
      <c r="T23" s="47"/>
      <c r="U23" s="47"/>
      <c r="V23" s="47"/>
      <c r="W23" s="47"/>
      <c r="X23" s="47"/>
      <c r="Y23" s="47"/>
      <c r="Z23" s="47"/>
      <c r="AA23" s="47"/>
    </row>
    <row r="24" spans="1:27" ht="18" customHeight="1">
      <c r="A24" s="47"/>
      <c r="B24" s="47" t="s">
        <v>99</v>
      </c>
      <c r="C24" s="47">
        <v>22</v>
      </c>
      <c r="D24" s="47">
        <v>2010</v>
      </c>
      <c r="E24" s="47">
        <v>2010</v>
      </c>
      <c r="F24" s="47">
        <v>1205</v>
      </c>
      <c r="G24" s="47">
        <v>4533372</v>
      </c>
      <c r="H24" s="47">
        <v>26.6</v>
      </c>
      <c r="I24" s="47">
        <v>26.4</v>
      </c>
      <c r="J24" s="47" t="s">
        <v>2292</v>
      </c>
      <c r="K24" s="47"/>
      <c r="L24" s="47"/>
      <c r="M24" s="47"/>
      <c r="N24" s="47"/>
      <c r="O24" s="47"/>
      <c r="P24" s="47"/>
      <c r="Q24" s="47"/>
      <c r="R24" s="47"/>
      <c r="S24" s="47"/>
      <c r="T24" s="47"/>
      <c r="U24" s="47"/>
      <c r="V24" s="47"/>
      <c r="W24" s="47"/>
      <c r="X24" s="47"/>
      <c r="Y24" s="47"/>
      <c r="Z24" s="47"/>
      <c r="AA24" s="47"/>
    </row>
    <row r="25" spans="1:27" ht="18" customHeight="1">
      <c r="A25" s="47"/>
      <c r="B25" s="47" t="s">
        <v>184</v>
      </c>
      <c r="C25" s="47">
        <v>28</v>
      </c>
      <c r="D25" s="47">
        <v>2010</v>
      </c>
      <c r="E25" s="47">
        <v>2010</v>
      </c>
      <c r="F25" s="47">
        <v>926</v>
      </c>
      <c r="G25" s="47">
        <v>2967297</v>
      </c>
      <c r="H25" s="47">
        <v>31.2</v>
      </c>
      <c r="I25" s="47">
        <v>30.3</v>
      </c>
      <c r="J25" s="47" t="s">
        <v>2161</v>
      </c>
      <c r="K25" s="47"/>
      <c r="L25" s="47"/>
      <c r="M25" s="47"/>
      <c r="N25" s="47"/>
      <c r="O25" s="47"/>
      <c r="P25" s="47"/>
      <c r="Q25" s="47"/>
      <c r="R25" s="47"/>
      <c r="S25" s="47"/>
      <c r="T25" s="47"/>
      <c r="U25" s="47"/>
      <c r="V25" s="47"/>
      <c r="W25" s="47"/>
      <c r="X25" s="47"/>
      <c r="Y25" s="47"/>
      <c r="Z25" s="47"/>
      <c r="AA25" s="47"/>
    </row>
    <row r="26" spans="1:27" ht="18" customHeight="1">
      <c r="A26" s="47"/>
      <c r="B26" s="47" t="s">
        <v>99</v>
      </c>
      <c r="C26" s="47">
        <v>22</v>
      </c>
      <c r="D26" s="47">
        <v>2009</v>
      </c>
      <c r="E26" s="47">
        <v>2009</v>
      </c>
      <c r="F26" s="47">
        <v>1249</v>
      </c>
      <c r="G26" s="47">
        <v>4491648</v>
      </c>
      <c r="H26" s="47">
        <v>27.8</v>
      </c>
      <c r="I26" s="47">
        <v>27.8</v>
      </c>
      <c r="J26" s="47" t="s">
        <v>2162</v>
      </c>
      <c r="K26" s="47"/>
      <c r="L26" s="47"/>
      <c r="M26" s="47"/>
      <c r="N26" s="47"/>
      <c r="O26" s="47"/>
      <c r="P26" s="47"/>
      <c r="Q26" s="47"/>
      <c r="R26" s="47"/>
      <c r="S26" s="47"/>
      <c r="T26" s="47"/>
      <c r="U26" s="47"/>
      <c r="V26" s="47"/>
      <c r="W26" s="47"/>
      <c r="X26" s="47"/>
      <c r="Y26" s="47"/>
      <c r="Z26" s="47"/>
      <c r="AA26" s="47"/>
    </row>
    <row r="27" spans="1:27" ht="18" customHeight="1">
      <c r="A27" s="47"/>
      <c r="B27" s="47" t="s">
        <v>184</v>
      </c>
      <c r="C27" s="47">
        <v>28</v>
      </c>
      <c r="D27" s="47">
        <v>2009</v>
      </c>
      <c r="E27" s="47">
        <v>2009</v>
      </c>
      <c r="F27" s="47">
        <v>900</v>
      </c>
      <c r="G27" s="47">
        <v>2958774</v>
      </c>
      <c r="H27" s="47">
        <v>30.4</v>
      </c>
      <c r="I27" s="47">
        <v>29.7</v>
      </c>
      <c r="J27" s="47" t="s">
        <v>2163</v>
      </c>
      <c r="K27" s="47"/>
      <c r="L27" s="47"/>
      <c r="M27" s="47"/>
      <c r="N27" s="47"/>
      <c r="O27" s="47"/>
      <c r="P27" s="47"/>
      <c r="Q27" s="47"/>
      <c r="R27" s="47"/>
      <c r="S27" s="47"/>
      <c r="T27" s="47"/>
      <c r="U27" s="47"/>
      <c r="V27" s="47"/>
      <c r="W27" s="47"/>
      <c r="X27" s="47"/>
      <c r="Y27" s="47"/>
      <c r="Z27" s="47"/>
      <c r="AA27" s="47"/>
    </row>
    <row r="28" spans="1:27" ht="18" customHeight="1">
      <c r="A28" s="47"/>
      <c r="B28" s="47" t="s">
        <v>99</v>
      </c>
      <c r="C28" s="47">
        <v>22</v>
      </c>
      <c r="D28" s="47">
        <v>2008</v>
      </c>
      <c r="E28" s="47">
        <v>2008</v>
      </c>
      <c r="F28" s="47">
        <v>1332</v>
      </c>
      <c r="G28" s="47">
        <v>4435586</v>
      </c>
      <c r="H28" s="47">
        <v>30</v>
      </c>
      <c r="I28" s="47">
        <v>30.3</v>
      </c>
      <c r="J28" s="47" t="s">
        <v>2164</v>
      </c>
      <c r="K28" s="47"/>
      <c r="L28" s="47"/>
      <c r="M28" s="47"/>
      <c r="N28" s="47"/>
      <c r="O28" s="47"/>
      <c r="P28" s="47"/>
      <c r="Q28" s="47"/>
      <c r="R28" s="47"/>
      <c r="S28" s="47"/>
      <c r="T28" s="47"/>
      <c r="U28" s="47"/>
      <c r="V28" s="47"/>
      <c r="W28" s="47"/>
      <c r="X28" s="47"/>
      <c r="Y28" s="47"/>
      <c r="Z28" s="47"/>
      <c r="AA28" s="47"/>
    </row>
    <row r="29" spans="1:27" ht="18" customHeight="1">
      <c r="A29" s="47"/>
      <c r="B29" s="47" t="s">
        <v>184</v>
      </c>
      <c r="C29" s="47">
        <v>28</v>
      </c>
      <c r="D29" s="47">
        <v>2008</v>
      </c>
      <c r="E29" s="47">
        <v>2008</v>
      </c>
      <c r="F29" s="47">
        <v>758</v>
      </c>
      <c r="G29" s="47">
        <v>2947806</v>
      </c>
      <c r="H29" s="47">
        <v>25.7</v>
      </c>
      <c r="I29" s="47">
        <v>25.3</v>
      </c>
      <c r="J29" s="47" t="s">
        <v>2165</v>
      </c>
      <c r="K29" s="47"/>
      <c r="L29" s="47"/>
      <c r="M29" s="47"/>
      <c r="N29" s="47"/>
      <c r="O29" s="47"/>
      <c r="P29" s="47"/>
      <c r="Q29" s="47"/>
      <c r="R29" s="47"/>
      <c r="S29" s="47"/>
      <c r="T29" s="47"/>
      <c r="U29" s="47"/>
      <c r="V29" s="47"/>
      <c r="W29" s="47"/>
      <c r="X29" s="47"/>
      <c r="Y29" s="47"/>
      <c r="Z29" s="47"/>
      <c r="AA29" s="47"/>
    </row>
    <row r="30" spans="1:27" ht="18" customHeight="1">
      <c r="A30" s="47"/>
      <c r="B30" s="47" t="s">
        <v>99</v>
      </c>
      <c r="C30" s="47">
        <v>22</v>
      </c>
      <c r="D30" s="47">
        <v>2007</v>
      </c>
      <c r="E30" s="47">
        <v>2007</v>
      </c>
      <c r="F30" s="47">
        <v>1437</v>
      </c>
      <c r="G30" s="47">
        <v>4375581</v>
      </c>
      <c r="H30" s="47">
        <v>32.799999999999997</v>
      </c>
      <c r="I30" s="47">
        <v>33.4</v>
      </c>
      <c r="J30" s="47" t="s">
        <v>2166</v>
      </c>
      <c r="K30" s="47"/>
      <c r="L30" s="47"/>
      <c r="M30" s="47"/>
      <c r="N30" s="47"/>
      <c r="O30" s="47"/>
      <c r="P30" s="47"/>
      <c r="Q30" s="47"/>
      <c r="R30" s="47"/>
      <c r="S30" s="47"/>
      <c r="T30" s="47"/>
      <c r="U30" s="47"/>
      <c r="V30" s="47"/>
      <c r="W30" s="47"/>
      <c r="X30" s="47"/>
      <c r="Y30" s="47"/>
      <c r="Z30" s="47"/>
      <c r="AA30" s="47"/>
    </row>
    <row r="31" spans="1:27" ht="18" customHeight="1">
      <c r="A31" s="47"/>
      <c r="B31" s="47" t="s">
        <v>184</v>
      </c>
      <c r="C31" s="47">
        <v>28</v>
      </c>
      <c r="D31" s="47">
        <v>2007</v>
      </c>
      <c r="E31" s="47">
        <v>2007</v>
      </c>
      <c r="F31" s="47">
        <v>654</v>
      </c>
      <c r="G31" s="47">
        <v>2928350</v>
      </c>
      <c r="H31" s="47">
        <v>22.3</v>
      </c>
      <c r="I31" s="47">
        <v>22.1</v>
      </c>
      <c r="J31" s="47" t="s">
        <v>2167</v>
      </c>
      <c r="K31" s="47"/>
      <c r="L31" s="47"/>
      <c r="M31" s="47"/>
      <c r="N31" s="47"/>
      <c r="O31" s="47"/>
      <c r="P31" s="47"/>
      <c r="Q31" s="47"/>
      <c r="R31" s="47"/>
      <c r="S31" s="47"/>
      <c r="T31" s="47"/>
      <c r="U31" s="47"/>
      <c r="V31" s="47"/>
      <c r="W31" s="47"/>
      <c r="X31" s="47"/>
      <c r="Y31" s="47"/>
      <c r="Z31" s="47"/>
      <c r="AA31" s="47"/>
    </row>
    <row r="32" spans="1:27" ht="18" customHeight="1">
      <c r="A32" s="47"/>
      <c r="B32" s="47" t="s">
        <v>99</v>
      </c>
      <c r="C32" s="47">
        <v>22</v>
      </c>
      <c r="D32" s="47">
        <v>2006</v>
      </c>
      <c r="E32" s="47">
        <v>2006</v>
      </c>
      <c r="F32" s="47">
        <v>1536</v>
      </c>
      <c r="G32" s="47">
        <v>4302665</v>
      </c>
      <c r="H32" s="47">
        <v>35.700000000000003</v>
      </c>
      <c r="I32" s="47">
        <v>36.299999999999997</v>
      </c>
      <c r="J32" s="47" t="s">
        <v>2168</v>
      </c>
      <c r="K32" s="47"/>
      <c r="L32" s="47"/>
      <c r="M32" s="47"/>
      <c r="N32" s="47"/>
      <c r="O32" s="47"/>
      <c r="P32" s="47"/>
      <c r="Q32" s="47"/>
      <c r="R32" s="47"/>
      <c r="S32" s="47"/>
      <c r="T32" s="47"/>
      <c r="U32" s="47"/>
      <c r="V32" s="47"/>
      <c r="W32" s="47"/>
      <c r="X32" s="47"/>
      <c r="Y32" s="47"/>
      <c r="Z32" s="47"/>
      <c r="AA32" s="47"/>
    </row>
    <row r="33" spans="1:27" ht="18" customHeight="1">
      <c r="A33" s="47"/>
      <c r="B33" s="47" t="s">
        <v>184</v>
      </c>
      <c r="C33" s="47">
        <v>28</v>
      </c>
      <c r="D33" s="47">
        <v>2006</v>
      </c>
      <c r="E33" s="47">
        <v>2006</v>
      </c>
      <c r="F33" s="47">
        <v>707</v>
      </c>
      <c r="G33" s="47">
        <v>2904978</v>
      </c>
      <c r="H33" s="47">
        <v>24.3</v>
      </c>
      <c r="I33" s="47">
        <v>24.5</v>
      </c>
      <c r="J33" s="47" t="s">
        <v>2154</v>
      </c>
      <c r="K33" s="47"/>
      <c r="L33" s="47"/>
      <c r="M33" s="47"/>
      <c r="N33" s="47"/>
      <c r="O33" s="47"/>
      <c r="P33" s="47"/>
      <c r="Q33" s="47"/>
      <c r="R33" s="47"/>
      <c r="S33" s="47"/>
      <c r="T33" s="47"/>
      <c r="U33" s="47"/>
      <c r="V33" s="47"/>
      <c r="W33" s="47"/>
      <c r="X33" s="47"/>
      <c r="Y33" s="47"/>
      <c r="Z33" s="47"/>
      <c r="AA33" s="47"/>
    </row>
    <row r="34" spans="1:27" ht="18" customHeight="1">
      <c r="A34" s="47"/>
      <c r="B34" s="47" t="s">
        <v>99</v>
      </c>
      <c r="C34" s="47">
        <v>22</v>
      </c>
      <c r="D34" s="47">
        <v>2005</v>
      </c>
      <c r="E34" s="47">
        <v>2005</v>
      </c>
      <c r="F34" s="47">
        <v>1695</v>
      </c>
      <c r="G34" s="47">
        <v>4576628</v>
      </c>
      <c r="H34" s="47">
        <v>37</v>
      </c>
      <c r="I34" s="47">
        <v>38.700000000000003</v>
      </c>
      <c r="J34" s="47" t="s">
        <v>2169</v>
      </c>
      <c r="K34" s="47"/>
      <c r="L34" s="47"/>
      <c r="M34" s="47"/>
      <c r="N34" s="47"/>
      <c r="O34" s="47"/>
      <c r="P34" s="47"/>
      <c r="Q34" s="47"/>
      <c r="R34" s="47"/>
      <c r="S34" s="47"/>
      <c r="T34" s="47"/>
      <c r="U34" s="47"/>
      <c r="V34" s="47"/>
      <c r="W34" s="47"/>
      <c r="X34" s="47"/>
      <c r="Y34" s="47"/>
      <c r="Z34" s="47"/>
      <c r="AA34" s="47"/>
    </row>
    <row r="35" spans="1:27" ht="18" customHeight="1">
      <c r="A35" s="47"/>
      <c r="B35" s="47" t="s">
        <v>184</v>
      </c>
      <c r="C35" s="47">
        <v>28</v>
      </c>
      <c r="D35" s="47">
        <v>2005</v>
      </c>
      <c r="E35" s="47">
        <v>2005</v>
      </c>
      <c r="F35" s="47">
        <v>677</v>
      </c>
      <c r="G35" s="47">
        <v>2905943</v>
      </c>
      <c r="H35" s="47">
        <v>23.3</v>
      </c>
      <c r="I35" s="47">
        <v>23.5</v>
      </c>
      <c r="J35" s="47" t="s">
        <v>2154</v>
      </c>
      <c r="K35" s="47"/>
      <c r="L35" s="47"/>
      <c r="M35" s="47"/>
      <c r="N35" s="47"/>
      <c r="O35" s="47"/>
      <c r="P35" s="47"/>
      <c r="Q35" s="47"/>
      <c r="R35" s="47"/>
      <c r="S35" s="47"/>
      <c r="T35" s="47"/>
      <c r="U35" s="47"/>
      <c r="V35" s="47"/>
      <c r="W35" s="47"/>
      <c r="X35" s="47"/>
      <c r="Y35" s="47"/>
      <c r="Z35" s="47"/>
      <c r="AA35" s="47"/>
    </row>
    <row r="36" spans="1:27" ht="18" customHeight="1">
      <c r="A36" s="47"/>
      <c r="B36" s="47" t="s">
        <v>99</v>
      </c>
      <c r="C36" s="47">
        <v>22</v>
      </c>
      <c r="D36" s="47">
        <v>2004</v>
      </c>
      <c r="E36" s="47">
        <v>2004</v>
      </c>
      <c r="F36" s="47">
        <v>1717</v>
      </c>
      <c r="G36" s="47">
        <v>4552238</v>
      </c>
      <c r="H36" s="47">
        <v>37.700000000000003</v>
      </c>
      <c r="I36" s="47">
        <v>39.9</v>
      </c>
      <c r="J36" s="47" t="s">
        <v>2293</v>
      </c>
      <c r="K36" s="47"/>
      <c r="L36" s="47"/>
      <c r="M36" s="47"/>
      <c r="N36" s="47"/>
      <c r="O36" s="47"/>
      <c r="P36" s="47"/>
      <c r="Q36" s="47"/>
      <c r="R36" s="47"/>
      <c r="S36" s="47"/>
      <c r="T36" s="47"/>
      <c r="U36" s="47"/>
      <c r="V36" s="47"/>
      <c r="W36" s="47"/>
      <c r="X36" s="47"/>
      <c r="Y36" s="47"/>
      <c r="Z36" s="47"/>
      <c r="AA36" s="47"/>
    </row>
    <row r="37" spans="1:27" ht="18" customHeight="1">
      <c r="A37" s="47"/>
      <c r="B37" s="47" t="s">
        <v>184</v>
      </c>
      <c r="C37" s="47">
        <v>28</v>
      </c>
      <c r="D37" s="47">
        <v>2004</v>
      </c>
      <c r="E37" s="47">
        <v>2004</v>
      </c>
      <c r="F37" s="47">
        <v>665</v>
      </c>
      <c r="G37" s="47">
        <v>2889010</v>
      </c>
      <c r="H37" s="47">
        <v>23</v>
      </c>
      <c r="I37" s="47">
        <v>23.6</v>
      </c>
      <c r="J37" s="47" t="s">
        <v>2154</v>
      </c>
      <c r="K37" s="47"/>
      <c r="L37" s="47"/>
      <c r="M37" s="47"/>
      <c r="N37" s="47"/>
      <c r="O37" s="47"/>
      <c r="P37" s="47"/>
      <c r="Q37" s="47"/>
      <c r="R37" s="47"/>
      <c r="S37" s="47"/>
      <c r="T37" s="47"/>
      <c r="U37" s="47"/>
      <c r="V37" s="47"/>
      <c r="W37" s="47"/>
      <c r="X37" s="47"/>
      <c r="Y37" s="47"/>
      <c r="Z37" s="47"/>
      <c r="AA37" s="47"/>
    </row>
    <row r="38" spans="1:27" ht="18" customHeight="1">
      <c r="A38" s="47"/>
      <c r="B38" s="47" t="s">
        <v>99</v>
      </c>
      <c r="C38" s="47">
        <v>22</v>
      </c>
      <c r="D38" s="47">
        <v>2003</v>
      </c>
      <c r="E38" s="47">
        <v>2003</v>
      </c>
      <c r="F38" s="47">
        <v>1740</v>
      </c>
      <c r="G38" s="47">
        <v>4521042</v>
      </c>
      <c r="H38" s="47">
        <v>38.5</v>
      </c>
      <c r="I38" s="47">
        <v>40.9</v>
      </c>
      <c r="J38" s="47" t="s">
        <v>2171</v>
      </c>
      <c r="K38" s="47"/>
      <c r="L38" s="47"/>
      <c r="M38" s="47"/>
      <c r="N38" s="47"/>
      <c r="O38" s="47"/>
      <c r="P38" s="47"/>
      <c r="Q38" s="47"/>
      <c r="R38" s="47"/>
      <c r="S38" s="47"/>
      <c r="T38" s="47"/>
      <c r="U38" s="47"/>
      <c r="V38" s="47"/>
      <c r="W38" s="47"/>
      <c r="X38" s="47"/>
      <c r="Y38" s="47"/>
      <c r="Z38" s="47"/>
      <c r="AA38" s="47"/>
    </row>
    <row r="39" spans="1:27" ht="18" customHeight="1">
      <c r="A39" s="47"/>
      <c r="B39" s="47" t="s">
        <v>184</v>
      </c>
      <c r="C39" s="47">
        <v>28</v>
      </c>
      <c r="D39" s="47">
        <v>2003</v>
      </c>
      <c r="E39" s="47">
        <v>2003</v>
      </c>
      <c r="F39" s="47">
        <v>680</v>
      </c>
      <c r="G39" s="47">
        <v>2868312</v>
      </c>
      <c r="H39" s="47">
        <v>23.7</v>
      </c>
      <c r="I39" s="47">
        <v>24.4</v>
      </c>
      <c r="J39" s="47" t="s">
        <v>2172</v>
      </c>
      <c r="K39" s="47"/>
      <c r="L39" s="47"/>
      <c r="M39" s="47"/>
      <c r="N39" s="47"/>
      <c r="O39" s="47"/>
      <c r="P39" s="47"/>
      <c r="Q39" s="47"/>
      <c r="R39" s="47"/>
      <c r="S39" s="47"/>
      <c r="T39" s="47"/>
      <c r="U39" s="47"/>
      <c r="V39" s="47"/>
      <c r="W39" s="47"/>
      <c r="X39" s="47"/>
      <c r="Y39" s="47"/>
      <c r="Z39" s="47"/>
      <c r="AA39" s="47"/>
    </row>
    <row r="40" spans="1:27" ht="18" customHeight="1">
      <c r="A40" s="47"/>
      <c r="B40" s="47" t="s">
        <v>99</v>
      </c>
      <c r="C40" s="47">
        <v>22</v>
      </c>
      <c r="D40" s="47">
        <v>2002</v>
      </c>
      <c r="E40" s="47">
        <v>2002</v>
      </c>
      <c r="F40" s="47">
        <v>1774</v>
      </c>
      <c r="G40" s="47">
        <v>4497267</v>
      </c>
      <c r="H40" s="47">
        <v>39.4</v>
      </c>
      <c r="I40" s="47">
        <v>42.3</v>
      </c>
      <c r="J40" s="47" t="s">
        <v>2173</v>
      </c>
      <c r="K40" s="47"/>
      <c r="L40" s="47"/>
      <c r="M40" s="47"/>
      <c r="N40" s="47"/>
      <c r="O40" s="47"/>
      <c r="P40" s="47"/>
      <c r="Q40" s="47"/>
      <c r="R40" s="47"/>
      <c r="S40" s="47"/>
      <c r="T40" s="47"/>
      <c r="U40" s="47"/>
      <c r="V40" s="47"/>
      <c r="W40" s="47"/>
      <c r="X40" s="47"/>
      <c r="Y40" s="47"/>
      <c r="Z40" s="47"/>
      <c r="AA40" s="47"/>
    </row>
    <row r="41" spans="1:27" ht="18" customHeight="1">
      <c r="A41" s="47"/>
      <c r="B41" s="47" t="s">
        <v>184</v>
      </c>
      <c r="C41" s="47">
        <v>28</v>
      </c>
      <c r="D41" s="47">
        <v>2002</v>
      </c>
      <c r="E41" s="47">
        <v>2002</v>
      </c>
      <c r="F41" s="47">
        <v>671</v>
      </c>
      <c r="G41" s="47">
        <v>2858681</v>
      </c>
      <c r="H41" s="47">
        <v>23.5</v>
      </c>
      <c r="I41" s="47">
        <v>24.4</v>
      </c>
      <c r="J41" s="47" t="s">
        <v>2294</v>
      </c>
      <c r="K41" s="47"/>
      <c r="L41" s="47"/>
      <c r="M41" s="47"/>
      <c r="N41" s="47"/>
      <c r="O41" s="47"/>
      <c r="P41" s="47"/>
      <c r="Q41" s="47"/>
      <c r="R41" s="47"/>
      <c r="S41" s="47"/>
      <c r="T41" s="47"/>
      <c r="U41" s="47"/>
      <c r="V41" s="47"/>
      <c r="W41" s="47"/>
      <c r="X41" s="47"/>
      <c r="Y41" s="47"/>
      <c r="Z41" s="47"/>
      <c r="AA41" s="47"/>
    </row>
    <row r="42" spans="1:27" ht="18" customHeight="1">
      <c r="A42" s="47"/>
      <c r="B42" s="47" t="s">
        <v>99</v>
      </c>
      <c r="C42" s="47">
        <v>22</v>
      </c>
      <c r="D42" s="47">
        <v>2001</v>
      </c>
      <c r="E42" s="47">
        <v>2001</v>
      </c>
      <c r="F42" s="47">
        <v>1734</v>
      </c>
      <c r="G42" s="47">
        <v>4477875</v>
      </c>
      <c r="H42" s="47">
        <v>38.700000000000003</v>
      </c>
      <c r="I42" s="47">
        <v>41.9</v>
      </c>
      <c r="J42" s="47" t="s">
        <v>2154</v>
      </c>
      <c r="K42" s="47"/>
      <c r="L42" s="47"/>
      <c r="M42" s="47"/>
      <c r="N42" s="47"/>
      <c r="O42" s="47"/>
      <c r="P42" s="47"/>
      <c r="Q42" s="47"/>
      <c r="R42" s="47"/>
      <c r="S42" s="47"/>
      <c r="T42" s="47"/>
      <c r="U42" s="47"/>
      <c r="V42" s="47"/>
      <c r="W42" s="47"/>
      <c r="X42" s="47"/>
      <c r="Y42" s="47"/>
      <c r="Z42" s="47"/>
      <c r="AA42" s="47"/>
    </row>
    <row r="43" spans="1:27" ht="18" customHeight="1">
      <c r="A43" s="47"/>
      <c r="B43" s="47" t="s">
        <v>184</v>
      </c>
      <c r="C43" s="47">
        <v>28</v>
      </c>
      <c r="D43" s="47">
        <v>2001</v>
      </c>
      <c r="E43" s="47">
        <v>2001</v>
      </c>
      <c r="F43" s="47">
        <v>661</v>
      </c>
      <c r="G43" s="47">
        <v>2852994</v>
      </c>
      <c r="H43" s="47">
        <v>23.2</v>
      </c>
      <c r="I43" s="47">
        <v>24.3</v>
      </c>
      <c r="J43" s="47" t="s">
        <v>2175</v>
      </c>
      <c r="K43" s="47"/>
      <c r="L43" s="47"/>
      <c r="M43" s="47"/>
      <c r="N43" s="47"/>
      <c r="O43" s="47"/>
      <c r="P43" s="47"/>
      <c r="Q43" s="47"/>
      <c r="R43" s="47"/>
      <c r="S43" s="47"/>
      <c r="T43" s="47"/>
      <c r="U43" s="47"/>
      <c r="V43" s="47"/>
      <c r="W43" s="47"/>
      <c r="X43" s="47"/>
      <c r="Y43" s="47"/>
      <c r="Z43" s="47"/>
      <c r="AA43" s="47"/>
    </row>
    <row r="44" spans="1:27" ht="18" customHeight="1">
      <c r="A44" s="47"/>
      <c r="B44" s="47" t="s">
        <v>99</v>
      </c>
      <c r="C44" s="47">
        <v>22</v>
      </c>
      <c r="D44" s="47">
        <v>2000</v>
      </c>
      <c r="E44" s="47">
        <v>2000</v>
      </c>
      <c r="F44" s="47">
        <v>1694</v>
      </c>
      <c r="G44" s="47">
        <v>4468976</v>
      </c>
      <c r="H44" s="47">
        <v>37.9</v>
      </c>
      <c r="I44" s="47">
        <v>41.4</v>
      </c>
      <c r="J44" s="47" t="s">
        <v>2176</v>
      </c>
      <c r="K44" s="47"/>
      <c r="L44" s="47"/>
      <c r="M44" s="47"/>
      <c r="N44" s="47"/>
      <c r="O44" s="47"/>
      <c r="P44" s="47"/>
      <c r="Q44" s="47"/>
      <c r="R44" s="47"/>
      <c r="S44" s="47"/>
      <c r="T44" s="47"/>
      <c r="U44" s="47"/>
      <c r="V44" s="47"/>
      <c r="W44" s="47"/>
      <c r="X44" s="47"/>
      <c r="Y44" s="47"/>
      <c r="Z44" s="47"/>
      <c r="AA44" s="47"/>
    </row>
    <row r="45" spans="1:27" ht="18" customHeight="1">
      <c r="A45" s="47"/>
      <c r="B45" s="47" t="s">
        <v>184</v>
      </c>
      <c r="C45" s="47">
        <v>28</v>
      </c>
      <c r="D45" s="47">
        <v>2000</v>
      </c>
      <c r="E45" s="47">
        <v>2000</v>
      </c>
      <c r="F45" s="47">
        <v>676</v>
      </c>
      <c r="G45" s="47">
        <v>2844658</v>
      </c>
      <c r="H45" s="47">
        <v>23.8</v>
      </c>
      <c r="I45" s="47">
        <v>24.9</v>
      </c>
      <c r="J45" s="47" t="s">
        <v>2177</v>
      </c>
      <c r="K45" s="47"/>
      <c r="L45" s="47"/>
      <c r="M45" s="47"/>
      <c r="N45" s="47"/>
      <c r="O45" s="47"/>
      <c r="P45" s="47"/>
      <c r="Q45" s="47"/>
      <c r="R45" s="47"/>
      <c r="S45" s="47"/>
      <c r="T45" s="47"/>
      <c r="U45" s="47"/>
      <c r="V45" s="47"/>
      <c r="W45" s="47"/>
      <c r="X45" s="47"/>
      <c r="Y45" s="47"/>
      <c r="Z45" s="47"/>
      <c r="AA45" s="47"/>
    </row>
    <row r="46" spans="1:27" ht="18" customHeight="1">
      <c r="A46" s="47"/>
      <c r="B46" s="47" t="s">
        <v>99</v>
      </c>
      <c r="C46" s="47">
        <v>22</v>
      </c>
      <c r="D46" s="47">
        <v>1999</v>
      </c>
      <c r="E46" s="47">
        <v>1999</v>
      </c>
      <c r="F46" s="47">
        <v>1687</v>
      </c>
      <c r="G46" s="47">
        <v>4460811</v>
      </c>
      <c r="H46" s="47">
        <v>37.799999999999997</v>
      </c>
      <c r="I46" s="47">
        <v>41.8</v>
      </c>
      <c r="J46" s="47" t="s">
        <v>2178</v>
      </c>
      <c r="K46" s="47"/>
      <c r="L46" s="47"/>
      <c r="M46" s="47"/>
      <c r="N46" s="47"/>
      <c r="O46" s="47"/>
      <c r="P46" s="47"/>
      <c r="Q46" s="47"/>
      <c r="R46" s="47"/>
      <c r="S46" s="47"/>
      <c r="T46" s="47"/>
      <c r="U46" s="47"/>
      <c r="V46" s="47"/>
      <c r="W46" s="47"/>
      <c r="X46" s="47"/>
      <c r="Y46" s="47"/>
      <c r="Z46" s="47"/>
      <c r="AA46" s="47"/>
    </row>
    <row r="47" spans="1:27" ht="18" customHeight="1">
      <c r="A47" s="47"/>
      <c r="B47" s="47" t="s">
        <v>184</v>
      </c>
      <c r="C47" s="47">
        <v>28</v>
      </c>
      <c r="D47" s="47">
        <v>1999</v>
      </c>
      <c r="E47" s="47">
        <v>1999</v>
      </c>
      <c r="F47" s="47">
        <v>593</v>
      </c>
      <c r="G47" s="47">
        <v>2828408</v>
      </c>
      <c r="H47" s="47">
        <v>21</v>
      </c>
      <c r="I47" s="47">
        <v>22</v>
      </c>
      <c r="J47" s="47" t="s">
        <v>2179</v>
      </c>
      <c r="K47" s="47"/>
      <c r="L47" s="47"/>
      <c r="M47" s="47"/>
      <c r="N47" s="47"/>
      <c r="O47" s="47"/>
      <c r="P47" s="47"/>
      <c r="Q47" s="47"/>
      <c r="R47" s="47"/>
      <c r="S47" s="47"/>
      <c r="T47" s="47"/>
      <c r="U47" s="47"/>
      <c r="V47" s="47"/>
      <c r="W47" s="47"/>
      <c r="X47" s="47"/>
      <c r="Y47" s="47"/>
      <c r="Z47" s="47"/>
      <c r="AA47" s="47"/>
    </row>
    <row r="48" spans="1:27" ht="18" customHeight="1">
      <c r="A48" s="47" t="s">
        <v>2132</v>
      </c>
      <c r="B48" s="47" t="s">
        <v>99</v>
      </c>
      <c r="C48" s="47">
        <v>22</v>
      </c>
      <c r="D48" s="47"/>
      <c r="E48" s="47"/>
      <c r="F48" s="47">
        <v>32475</v>
      </c>
      <c r="G48" s="47">
        <v>100136377</v>
      </c>
      <c r="H48" s="47">
        <v>32.4</v>
      </c>
      <c r="I48" s="47">
        <v>31.5</v>
      </c>
      <c r="J48" s="47" t="s">
        <v>2180</v>
      </c>
      <c r="K48" s="47"/>
      <c r="L48" s="47"/>
      <c r="M48" s="47"/>
      <c r="N48" s="47"/>
      <c r="O48" s="47"/>
      <c r="P48" s="47"/>
      <c r="Q48" s="47"/>
      <c r="R48" s="47"/>
      <c r="S48" s="47"/>
      <c r="T48" s="47"/>
      <c r="U48" s="47"/>
      <c r="V48" s="47"/>
      <c r="W48" s="47"/>
      <c r="X48" s="47"/>
      <c r="Y48" s="47"/>
      <c r="Z48" s="47"/>
      <c r="AA48" s="47"/>
    </row>
    <row r="49" spans="1:27" ht="18" customHeight="1">
      <c r="A49" s="47" t="s">
        <v>2132</v>
      </c>
      <c r="B49" s="47" t="s">
        <v>184</v>
      </c>
      <c r="C49" s="47">
        <v>28</v>
      </c>
      <c r="D49" s="47"/>
      <c r="E49" s="47"/>
      <c r="F49" s="47">
        <v>19733</v>
      </c>
      <c r="G49" s="47">
        <v>64598559</v>
      </c>
      <c r="H49" s="47">
        <v>30.5</v>
      </c>
      <c r="I49" s="47">
        <v>28.9</v>
      </c>
      <c r="J49" s="47" t="s">
        <v>2182</v>
      </c>
      <c r="K49" s="47"/>
      <c r="L49" s="47"/>
      <c r="M49" s="47"/>
      <c r="N49" s="47"/>
      <c r="O49" s="47"/>
      <c r="P49" s="47"/>
      <c r="Q49" s="47"/>
      <c r="R49" s="47"/>
      <c r="S49" s="47"/>
      <c r="T49" s="47"/>
      <c r="U49" s="47"/>
      <c r="V49" s="47"/>
      <c r="W49" s="47"/>
      <c r="X49" s="47"/>
      <c r="Y49" s="47"/>
      <c r="Z49" s="47"/>
      <c r="AA49" s="47"/>
    </row>
    <row r="50" spans="1:27" ht="18" customHeight="1">
      <c r="A50" s="47" t="s">
        <v>2132</v>
      </c>
      <c r="B50" s="47"/>
      <c r="C50" s="47"/>
      <c r="D50" s="47"/>
      <c r="E50" s="47"/>
      <c r="F50" s="47">
        <v>52208</v>
      </c>
      <c r="G50" s="47">
        <v>164734936</v>
      </c>
      <c r="H50" s="47">
        <v>31.7</v>
      </c>
      <c r="I50" s="47">
        <v>30.4</v>
      </c>
      <c r="J50" s="47" t="s">
        <v>2183</v>
      </c>
      <c r="K50" s="47"/>
      <c r="L50" s="47"/>
      <c r="M50" s="47"/>
      <c r="N50" s="47"/>
      <c r="O50" s="47"/>
      <c r="P50" s="47"/>
      <c r="Q50" s="47"/>
      <c r="R50" s="47"/>
      <c r="S50" s="47"/>
      <c r="T50" s="47"/>
      <c r="U50" s="47"/>
      <c r="V50" s="47"/>
      <c r="W50" s="47"/>
      <c r="X50" s="47"/>
      <c r="Y50" s="47"/>
      <c r="Z50" s="47"/>
      <c r="AA50" s="47"/>
    </row>
    <row r="51" spans="1:27" ht="18" customHeight="1">
      <c r="A51" s="47" t="s">
        <v>2154</v>
      </c>
      <c r="B51" s="47"/>
      <c r="C51" s="47"/>
      <c r="D51" s="47"/>
      <c r="E51" s="47"/>
      <c r="F51" s="47"/>
      <c r="G51" s="47"/>
      <c r="H51" s="47"/>
      <c r="I51" s="47"/>
      <c r="J51" s="47" t="s">
        <v>2184</v>
      </c>
      <c r="K51" s="47"/>
      <c r="L51" s="47"/>
      <c r="M51" s="47"/>
      <c r="N51" s="47"/>
      <c r="O51" s="47"/>
      <c r="P51" s="47"/>
      <c r="Q51" s="47"/>
      <c r="R51" s="47"/>
      <c r="S51" s="47"/>
      <c r="T51" s="47"/>
      <c r="U51" s="47"/>
      <c r="V51" s="47"/>
      <c r="W51" s="47"/>
      <c r="X51" s="47"/>
      <c r="Y51" s="47"/>
      <c r="Z51" s="47"/>
      <c r="AA51" s="47"/>
    </row>
    <row r="52" spans="1:27" ht="18" customHeight="1">
      <c r="A52" s="47" t="s">
        <v>2181</v>
      </c>
      <c r="B52" s="47"/>
      <c r="C52" s="47"/>
      <c r="D52" s="47"/>
      <c r="E52" s="47"/>
      <c r="F52" s="47"/>
      <c r="G52" s="47"/>
      <c r="H52" s="47"/>
      <c r="I52" s="47"/>
      <c r="J52" s="47" t="s">
        <v>2185</v>
      </c>
      <c r="K52" s="47"/>
      <c r="L52" s="47"/>
      <c r="M52" s="47"/>
      <c r="N52" s="47"/>
      <c r="O52" s="47"/>
      <c r="P52" s="47"/>
      <c r="Q52" s="47"/>
      <c r="R52" s="47"/>
      <c r="S52" s="47"/>
      <c r="T52" s="47"/>
      <c r="U52" s="47"/>
      <c r="V52" s="47"/>
      <c r="W52" s="47"/>
      <c r="X52" s="47"/>
      <c r="Y52" s="47"/>
      <c r="Z52" s="47"/>
      <c r="AA52" s="47"/>
    </row>
    <row r="53" spans="1:27" ht="18" customHeight="1">
      <c r="A53" s="47" t="s">
        <v>2156</v>
      </c>
      <c r="B53" s="47"/>
      <c r="C53" s="47"/>
      <c r="D53" s="47"/>
      <c r="E53" s="47"/>
      <c r="F53" s="47"/>
      <c r="G53" s="47"/>
      <c r="H53" s="47"/>
      <c r="I53" s="47"/>
      <c r="J53" s="47" t="s">
        <v>2186</v>
      </c>
      <c r="K53" s="47"/>
      <c r="L53" s="47"/>
      <c r="M53" s="47"/>
      <c r="N53" s="47"/>
      <c r="O53" s="47"/>
      <c r="P53" s="47"/>
      <c r="Q53" s="47"/>
      <c r="R53" s="47"/>
      <c r="S53" s="47"/>
      <c r="T53" s="47"/>
      <c r="U53" s="47"/>
      <c r="V53" s="47"/>
      <c r="W53" s="47"/>
      <c r="X53" s="47"/>
      <c r="Y53" s="47"/>
      <c r="Z53" s="47"/>
      <c r="AA53" s="47"/>
    </row>
    <row r="54" spans="1:27" ht="18" customHeight="1">
      <c r="A54" s="47" t="s">
        <v>2292</v>
      </c>
      <c r="B54" s="47"/>
      <c r="C54" s="47"/>
      <c r="D54" s="47"/>
      <c r="E54" s="47"/>
      <c r="F54" s="47"/>
      <c r="G54" s="47"/>
      <c r="H54" s="47"/>
      <c r="I54" s="47"/>
      <c r="J54" s="47" t="s">
        <v>2187</v>
      </c>
      <c r="K54" s="47"/>
      <c r="L54" s="47"/>
      <c r="M54" s="47"/>
      <c r="N54" s="47"/>
      <c r="O54" s="47"/>
      <c r="P54" s="47"/>
      <c r="Q54" s="47"/>
      <c r="R54" s="47"/>
      <c r="S54" s="47"/>
      <c r="T54" s="47"/>
      <c r="U54" s="47"/>
      <c r="V54" s="47"/>
      <c r="W54" s="47"/>
      <c r="X54" s="47"/>
      <c r="Y54" s="47"/>
      <c r="Z54" s="47"/>
      <c r="AA54" s="47"/>
    </row>
    <row r="55" spans="1:27" ht="18" customHeight="1">
      <c r="A55" s="47" t="s">
        <v>2161</v>
      </c>
      <c r="B55" s="47"/>
      <c r="C55" s="47"/>
      <c r="D55" s="47"/>
      <c r="E55" s="47"/>
      <c r="F55" s="47"/>
      <c r="G55" s="47"/>
      <c r="H55" s="47"/>
      <c r="I55" s="47"/>
      <c r="J55" s="47" t="s">
        <v>2188</v>
      </c>
      <c r="K55" s="47"/>
      <c r="L55" s="47"/>
      <c r="M55" s="47"/>
      <c r="N55" s="47"/>
      <c r="O55" s="47"/>
      <c r="P55" s="47"/>
      <c r="Q55" s="47"/>
      <c r="R55" s="47"/>
      <c r="S55" s="47"/>
      <c r="T55" s="47"/>
      <c r="U55" s="47"/>
      <c r="V55" s="47"/>
      <c r="W55" s="47"/>
      <c r="X55" s="47"/>
      <c r="Y55" s="47"/>
      <c r="Z55" s="47"/>
      <c r="AA55" s="47"/>
    </row>
    <row r="56" spans="1:27" ht="18" customHeight="1">
      <c r="A56" s="47" t="s">
        <v>2162</v>
      </c>
      <c r="B56" s="47"/>
      <c r="C56" s="47"/>
      <c r="D56" s="47"/>
      <c r="E56" s="47"/>
      <c r="F56" s="47"/>
      <c r="G56" s="47"/>
      <c r="H56" s="47"/>
      <c r="I56" s="47"/>
      <c r="J56" s="47" t="s">
        <v>2189</v>
      </c>
      <c r="K56" s="47"/>
      <c r="L56" s="47"/>
      <c r="M56" s="47"/>
      <c r="N56" s="47"/>
      <c r="O56" s="47"/>
      <c r="P56" s="47"/>
      <c r="Q56" s="47"/>
      <c r="R56" s="47"/>
      <c r="S56" s="47"/>
      <c r="T56" s="47"/>
      <c r="U56" s="47"/>
      <c r="V56" s="47"/>
      <c r="W56" s="47"/>
      <c r="X56" s="47"/>
      <c r="Y56" s="47"/>
      <c r="Z56" s="47"/>
      <c r="AA56" s="47"/>
    </row>
    <row r="57" spans="1:27" ht="18" customHeight="1">
      <c r="A57" s="47" t="s">
        <v>2163</v>
      </c>
      <c r="B57" s="47"/>
      <c r="C57" s="47"/>
      <c r="D57" s="47"/>
      <c r="E57" s="47"/>
      <c r="F57" s="47"/>
      <c r="G57" s="47"/>
      <c r="H57" s="47"/>
      <c r="I57" s="47"/>
      <c r="J57" s="47" t="s">
        <v>2190</v>
      </c>
      <c r="K57" s="47"/>
      <c r="L57" s="47"/>
      <c r="M57" s="47"/>
      <c r="N57" s="47"/>
      <c r="O57" s="47"/>
      <c r="P57" s="47"/>
      <c r="Q57" s="47"/>
      <c r="R57" s="47"/>
      <c r="S57" s="47"/>
      <c r="T57" s="47"/>
      <c r="U57" s="47"/>
      <c r="V57" s="47"/>
      <c r="W57" s="47"/>
      <c r="X57" s="47"/>
      <c r="Y57" s="47"/>
      <c r="Z57" s="47"/>
      <c r="AA57" s="47"/>
    </row>
    <row r="58" spans="1:27" ht="18" customHeight="1">
      <c r="A58" s="47" t="s">
        <v>2164</v>
      </c>
      <c r="B58" s="47"/>
      <c r="C58" s="47"/>
      <c r="D58" s="47"/>
      <c r="E58" s="47"/>
      <c r="F58" s="47"/>
      <c r="G58" s="47"/>
      <c r="H58" s="47"/>
      <c r="I58" s="47"/>
      <c r="J58" s="47" t="s">
        <v>2191</v>
      </c>
      <c r="K58" s="47"/>
      <c r="L58" s="47"/>
      <c r="M58" s="47"/>
      <c r="N58" s="47"/>
      <c r="O58" s="47"/>
      <c r="P58" s="47"/>
      <c r="Q58" s="47"/>
      <c r="R58" s="47"/>
      <c r="S58" s="47"/>
      <c r="T58" s="47"/>
      <c r="U58" s="47"/>
      <c r="V58" s="47"/>
      <c r="W58" s="47"/>
      <c r="X58" s="47"/>
      <c r="Y58" s="47"/>
      <c r="Z58" s="47"/>
      <c r="AA58" s="47"/>
    </row>
    <row r="59" spans="1:27" ht="18" customHeight="1">
      <c r="A59" s="47" t="s">
        <v>2165</v>
      </c>
      <c r="B59" s="47"/>
      <c r="C59" s="47"/>
      <c r="D59" s="47"/>
      <c r="E59" s="47"/>
      <c r="F59" s="47"/>
      <c r="G59" s="47"/>
      <c r="H59" s="47"/>
      <c r="I59" s="47"/>
      <c r="J59" s="47" t="s">
        <v>2192</v>
      </c>
      <c r="K59" s="47"/>
      <c r="L59" s="47"/>
      <c r="M59" s="47"/>
      <c r="N59" s="47"/>
      <c r="O59" s="47"/>
      <c r="P59" s="47"/>
      <c r="Q59" s="47"/>
      <c r="R59" s="47"/>
      <c r="S59" s="47"/>
      <c r="T59" s="47"/>
      <c r="U59" s="47"/>
      <c r="V59" s="47"/>
      <c r="W59" s="47"/>
      <c r="X59" s="47"/>
      <c r="Y59" s="47"/>
      <c r="Z59" s="47"/>
      <c r="AA59" s="47"/>
    </row>
    <row r="60" spans="1:27" ht="18" customHeight="1">
      <c r="A60" s="47" t="s">
        <v>2166</v>
      </c>
      <c r="B60" s="47"/>
      <c r="C60" s="47"/>
      <c r="D60" s="47"/>
      <c r="E60" s="47"/>
      <c r="F60" s="47"/>
      <c r="G60" s="47"/>
      <c r="H60" s="47"/>
      <c r="I60" s="47"/>
      <c r="J60" s="47" t="s">
        <v>2193</v>
      </c>
      <c r="K60" s="47"/>
      <c r="L60" s="47"/>
      <c r="M60" s="47"/>
      <c r="N60" s="47"/>
      <c r="O60" s="47"/>
      <c r="P60" s="47"/>
      <c r="Q60" s="47"/>
      <c r="R60" s="47"/>
      <c r="S60" s="47"/>
      <c r="T60" s="47"/>
      <c r="U60" s="47"/>
      <c r="V60" s="47"/>
      <c r="W60" s="47"/>
      <c r="X60" s="47"/>
      <c r="Y60" s="47"/>
      <c r="Z60" s="47"/>
      <c r="AA60" s="47"/>
    </row>
    <row r="61" spans="1:27" ht="18" customHeight="1">
      <c r="A61" s="47" t="s">
        <v>2167</v>
      </c>
      <c r="B61" s="47"/>
      <c r="C61" s="47"/>
      <c r="D61" s="47"/>
      <c r="E61" s="47"/>
      <c r="F61" s="47"/>
      <c r="G61" s="47"/>
      <c r="H61" s="47"/>
      <c r="I61" s="47"/>
      <c r="J61" s="47" t="s">
        <v>2194</v>
      </c>
      <c r="K61" s="47"/>
      <c r="L61" s="47"/>
      <c r="M61" s="47"/>
      <c r="N61" s="47"/>
      <c r="O61" s="47"/>
      <c r="P61" s="47"/>
      <c r="Q61" s="47"/>
      <c r="R61" s="47"/>
      <c r="S61" s="47"/>
      <c r="T61" s="47"/>
      <c r="U61" s="47"/>
      <c r="V61" s="47"/>
      <c r="W61" s="47"/>
      <c r="X61" s="47"/>
      <c r="Y61" s="47"/>
      <c r="Z61" s="47"/>
      <c r="AA61" s="47"/>
    </row>
    <row r="62" spans="1:27" ht="18" customHeight="1">
      <c r="A62" s="47" t="s">
        <v>2168</v>
      </c>
      <c r="B62" s="47"/>
      <c r="C62" s="47"/>
      <c r="D62" s="47"/>
      <c r="E62" s="47"/>
      <c r="F62" s="47"/>
      <c r="G62" s="47"/>
      <c r="H62" s="47"/>
      <c r="I62" s="47"/>
      <c r="J62" s="47" t="s">
        <v>2195</v>
      </c>
      <c r="K62" s="47"/>
      <c r="L62" s="47"/>
      <c r="M62" s="47"/>
      <c r="N62" s="47"/>
      <c r="O62" s="47"/>
      <c r="P62" s="47"/>
      <c r="Q62" s="47"/>
      <c r="R62" s="47"/>
      <c r="S62" s="47"/>
      <c r="T62" s="47"/>
      <c r="U62" s="47"/>
      <c r="V62" s="47"/>
      <c r="W62" s="47"/>
      <c r="X62" s="47"/>
      <c r="Y62" s="47"/>
      <c r="Z62" s="47"/>
      <c r="AA62" s="47"/>
    </row>
    <row r="63" spans="1:27" ht="18" customHeight="1">
      <c r="A63" s="47" t="s">
        <v>2154</v>
      </c>
      <c r="B63" s="47"/>
      <c r="C63" s="47"/>
      <c r="D63" s="47"/>
      <c r="E63" s="47"/>
      <c r="F63" s="47"/>
      <c r="G63" s="47"/>
      <c r="H63" s="47"/>
      <c r="I63" s="47"/>
      <c r="J63" s="47" t="s">
        <v>2196</v>
      </c>
      <c r="K63" s="47"/>
      <c r="L63" s="47"/>
      <c r="M63" s="47"/>
      <c r="N63" s="47"/>
      <c r="O63" s="47"/>
      <c r="P63" s="47"/>
      <c r="Q63" s="47"/>
      <c r="R63" s="47"/>
      <c r="S63" s="47"/>
      <c r="T63" s="47"/>
      <c r="U63" s="47"/>
      <c r="V63" s="47"/>
      <c r="W63" s="47"/>
      <c r="X63" s="47"/>
      <c r="Y63" s="47"/>
      <c r="Z63" s="47"/>
      <c r="AA63" s="47"/>
    </row>
    <row r="64" spans="1:27" ht="18" customHeight="1">
      <c r="A64" s="47" t="s">
        <v>2197</v>
      </c>
      <c r="B64" s="47"/>
      <c r="C64" s="47"/>
      <c r="D64" s="47"/>
      <c r="E64" s="47"/>
      <c r="F64" s="47"/>
      <c r="G64" s="47"/>
      <c r="H64" s="47"/>
      <c r="I64" s="47"/>
      <c r="J64" s="47" t="s">
        <v>2198</v>
      </c>
      <c r="K64" s="47"/>
      <c r="L64" s="47"/>
      <c r="M64" s="47"/>
      <c r="N64" s="47"/>
      <c r="O64" s="47"/>
      <c r="P64" s="47"/>
      <c r="Q64" s="47"/>
      <c r="R64" s="47"/>
      <c r="S64" s="47"/>
      <c r="T64" s="47"/>
      <c r="U64" s="47"/>
      <c r="V64" s="47"/>
      <c r="W64" s="47"/>
      <c r="X64" s="47"/>
      <c r="Y64" s="47"/>
      <c r="Z64" s="47"/>
      <c r="AA64" s="47"/>
    </row>
    <row r="65" spans="1:27" ht="18" customHeight="1">
      <c r="A65" s="47" t="s">
        <v>2154</v>
      </c>
      <c r="B65" s="47"/>
      <c r="C65" s="47"/>
      <c r="D65" s="47"/>
      <c r="E65" s="47"/>
      <c r="F65" s="47"/>
      <c r="G65" s="47"/>
      <c r="H65" s="47"/>
      <c r="I65" s="47"/>
      <c r="J65" s="47" t="s">
        <v>2199</v>
      </c>
      <c r="K65" s="47"/>
      <c r="L65" s="47"/>
      <c r="M65" s="47"/>
      <c r="N65" s="47"/>
      <c r="O65" s="47"/>
      <c r="P65" s="47"/>
      <c r="Q65" s="47"/>
      <c r="R65" s="47"/>
      <c r="S65" s="47"/>
      <c r="T65" s="47"/>
      <c r="U65" s="47"/>
      <c r="V65" s="47"/>
      <c r="W65" s="47"/>
      <c r="X65" s="47"/>
      <c r="Y65" s="47"/>
      <c r="Z65" s="47"/>
      <c r="AA65" s="47"/>
    </row>
    <row r="66" spans="1:27" ht="18" customHeight="1">
      <c r="A66" s="47" t="s">
        <v>2295</v>
      </c>
      <c r="B66" s="47"/>
      <c r="C66" s="47"/>
      <c r="D66" s="47"/>
      <c r="E66" s="47"/>
      <c r="F66" s="47"/>
      <c r="G66" s="47"/>
      <c r="H66" s="47"/>
      <c r="I66" s="47"/>
      <c r="J66" s="47" t="s">
        <v>2201</v>
      </c>
      <c r="K66" s="47"/>
      <c r="L66" s="47"/>
      <c r="M66" s="47"/>
      <c r="N66" s="47"/>
      <c r="O66" s="47"/>
      <c r="P66" s="47"/>
      <c r="Q66" s="47"/>
      <c r="R66" s="47"/>
      <c r="S66" s="47"/>
      <c r="T66" s="47"/>
      <c r="U66" s="47"/>
      <c r="V66" s="47"/>
      <c r="W66" s="47"/>
      <c r="X66" s="47"/>
      <c r="Y66" s="47"/>
      <c r="Z66" s="47"/>
      <c r="AA66" s="47"/>
    </row>
    <row r="67" spans="1:27" ht="18" customHeight="1">
      <c r="A67" s="47" t="s">
        <v>2154</v>
      </c>
      <c r="B67" s="47"/>
      <c r="C67" s="47"/>
      <c r="D67" s="47"/>
      <c r="E67" s="47"/>
      <c r="F67" s="47"/>
      <c r="G67" s="47"/>
      <c r="H67" s="47"/>
      <c r="I67" s="47"/>
      <c r="J67" s="47" t="s">
        <v>2202</v>
      </c>
      <c r="K67" s="47"/>
      <c r="L67" s="47"/>
      <c r="M67" s="47"/>
      <c r="N67" s="47"/>
      <c r="O67" s="47"/>
      <c r="P67" s="47"/>
      <c r="Q67" s="47"/>
      <c r="R67" s="47"/>
      <c r="S67" s="47"/>
      <c r="T67" s="47"/>
      <c r="U67" s="47"/>
      <c r="V67" s="47"/>
      <c r="W67" s="47"/>
      <c r="X67" s="47"/>
      <c r="Y67" s="47"/>
      <c r="Z67" s="47"/>
      <c r="AA67" s="47"/>
    </row>
    <row r="68" spans="1:27" ht="18" customHeight="1">
      <c r="A68" s="47" t="s">
        <v>2171</v>
      </c>
      <c r="B68" s="47"/>
      <c r="C68" s="47"/>
      <c r="D68" s="47"/>
      <c r="E68" s="47"/>
      <c r="F68" s="47"/>
      <c r="G68" s="47"/>
      <c r="H68" s="47"/>
      <c r="I68" s="47"/>
      <c r="J68" s="47" t="s">
        <v>2203</v>
      </c>
      <c r="K68" s="47"/>
      <c r="L68" s="47"/>
      <c r="M68" s="47"/>
      <c r="N68" s="47"/>
      <c r="O68" s="47"/>
      <c r="P68" s="47"/>
      <c r="Q68" s="47"/>
      <c r="R68" s="47"/>
      <c r="S68" s="47"/>
      <c r="T68" s="47"/>
      <c r="U68" s="47"/>
      <c r="V68" s="47"/>
      <c r="W68" s="47"/>
      <c r="X68" s="47"/>
      <c r="Y68" s="47"/>
      <c r="Z68" s="47"/>
      <c r="AA68" s="47"/>
    </row>
    <row r="69" spans="1:27" ht="18" customHeight="1">
      <c r="A69" s="47" t="s">
        <v>2204</v>
      </c>
      <c r="B69" s="47"/>
      <c r="C69" s="47"/>
      <c r="D69" s="47"/>
      <c r="E69" s="47"/>
      <c r="F69" s="47"/>
      <c r="G69" s="47"/>
      <c r="H69" s="47"/>
      <c r="I69" s="47"/>
      <c r="J69" s="47" t="s">
        <v>2205</v>
      </c>
      <c r="K69" s="47"/>
      <c r="L69" s="47"/>
      <c r="M69" s="47"/>
      <c r="N69" s="47"/>
      <c r="O69" s="47"/>
      <c r="P69" s="47"/>
      <c r="Q69" s="47"/>
      <c r="R69" s="47"/>
      <c r="S69" s="47"/>
      <c r="T69" s="47"/>
      <c r="U69" s="47"/>
      <c r="V69" s="47"/>
      <c r="W69" s="47"/>
      <c r="X69" s="47"/>
      <c r="Y69" s="47"/>
      <c r="Z69" s="47"/>
      <c r="AA69" s="47"/>
    </row>
    <row r="70" spans="1:27" ht="18" customHeight="1">
      <c r="A70" s="47" t="s">
        <v>2206</v>
      </c>
      <c r="B70" s="47"/>
      <c r="C70" s="47"/>
      <c r="D70" s="47"/>
      <c r="E70" s="47"/>
      <c r="F70" s="47"/>
      <c r="G70" s="47"/>
      <c r="H70" s="47"/>
      <c r="I70" s="47"/>
      <c r="J70" s="47" t="s">
        <v>2207</v>
      </c>
      <c r="K70" s="47"/>
      <c r="L70" s="47"/>
      <c r="M70" s="47"/>
      <c r="N70" s="47"/>
      <c r="O70" s="47"/>
      <c r="P70" s="47"/>
      <c r="Q70" s="47"/>
      <c r="R70" s="47"/>
      <c r="S70" s="47"/>
      <c r="T70" s="47"/>
      <c r="U70" s="47"/>
      <c r="V70" s="47"/>
      <c r="W70" s="47"/>
      <c r="X70" s="47"/>
      <c r="Y70" s="47"/>
      <c r="Z70" s="47"/>
      <c r="AA70" s="47"/>
    </row>
    <row r="71" spans="1:27" ht="18" customHeight="1">
      <c r="A71" s="47" t="s">
        <v>2296</v>
      </c>
      <c r="B71" s="47"/>
      <c r="C71" s="47"/>
      <c r="D71" s="47"/>
      <c r="E71" s="47"/>
      <c r="F71" s="47"/>
      <c r="G71" s="47"/>
      <c r="H71" s="47"/>
      <c r="I71" s="47"/>
      <c r="J71" s="47" t="s">
        <v>2209</v>
      </c>
      <c r="K71" s="47"/>
      <c r="L71" s="47"/>
      <c r="M71" s="47"/>
      <c r="N71" s="47"/>
      <c r="O71" s="47"/>
      <c r="P71" s="47"/>
      <c r="Q71" s="47"/>
      <c r="R71" s="47"/>
      <c r="S71" s="47"/>
      <c r="T71" s="47"/>
      <c r="U71" s="47"/>
      <c r="V71" s="47"/>
      <c r="W71" s="47"/>
      <c r="X71" s="47"/>
      <c r="Y71" s="47"/>
      <c r="Z71" s="47"/>
      <c r="AA71" s="47"/>
    </row>
    <row r="72" spans="1:27" ht="18" customHeight="1">
      <c r="A72" s="47" t="s">
        <v>2154</v>
      </c>
      <c r="B72" s="47"/>
      <c r="C72" s="47"/>
      <c r="D72" s="47"/>
      <c r="E72" s="47"/>
      <c r="F72" s="47"/>
      <c r="G72" s="47"/>
      <c r="H72" s="47"/>
      <c r="I72" s="47"/>
      <c r="J72" s="47" t="s">
        <v>2210</v>
      </c>
      <c r="K72" s="47"/>
      <c r="L72" s="47"/>
      <c r="M72" s="47"/>
      <c r="N72" s="47"/>
      <c r="O72" s="47"/>
      <c r="P72" s="47"/>
      <c r="Q72" s="47"/>
      <c r="R72" s="47"/>
      <c r="S72" s="47"/>
      <c r="T72" s="47"/>
      <c r="U72" s="47"/>
      <c r="V72" s="47"/>
      <c r="W72" s="47"/>
      <c r="X72" s="47"/>
      <c r="Y72" s="47"/>
      <c r="Z72" s="47"/>
      <c r="AA72" s="47"/>
    </row>
    <row r="73" spans="1:27" ht="18" customHeight="1">
      <c r="A73" s="47" t="s">
        <v>2175</v>
      </c>
      <c r="B73" s="47"/>
      <c r="C73" s="47"/>
      <c r="D73" s="47"/>
      <c r="E73" s="47"/>
      <c r="F73" s="47"/>
      <c r="G73" s="47"/>
      <c r="H73" s="47"/>
      <c r="I73" s="47"/>
      <c r="J73" s="47" t="s">
        <v>2211</v>
      </c>
      <c r="K73" s="47"/>
      <c r="L73" s="47"/>
      <c r="M73" s="47"/>
      <c r="N73" s="47"/>
      <c r="O73" s="47"/>
      <c r="P73" s="47"/>
      <c r="Q73" s="47"/>
      <c r="R73" s="47"/>
      <c r="S73" s="47"/>
      <c r="T73" s="47"/>
      <c r="U73" s="47"/>
      <c r="V73" s="47"/>
      <c r="W73" s="47"/>
      <c r="X73" s="47"/>
      <c r="Y73" s="47"/>
      <c r="Z73" s="47"/>
      <c r="AA73" s="47"/>
    </row>
    <row r="74" spans="1:27" ht="18" customHeight="1">
      <c r="A74" s="47" t="s">
        <v>2212</v>
      </c>
      <c r="B74" s="47"/>
      <c r="C74" s="47"/>
      <c r="D74" s="47"/>
      <c r="E74" s="47"/>
      <c r="F74" s="47"/>
      <c r="G74" s="47"/>
      <c r="H74" s="47"/>
      <c r="I74" s="47"/>
      <c r="J74" s="47" t="s">
        <v>2213</v>
      </c>
      <c r="K74" s="47"/>
      <c r="L74" s="47"/>
      <c r="M74" s="47"/>
      <c r="N74" s="47"/>
      <c r="O74" s="47"/>
      <c r="P74" s="47"/>
      <c r="Q74" s="47"/>
      <c r="R74" s="47"/>
      <c r="S74" s="47"/>
      <c r="T74" s="47"/>
      <c r="U74" s="47"/>
      <c r="V74" s="47"/>
      <c r="W74" s="47"/>
      <c r="X74" s="47"/>
      <c r="Y74" s="47"/>
      <c r="Z74" s="47"/>
      <c r="AA74" s="47"/>
    </row>
    <row r="75" spans="1:27" ht="18" customHeight="1">
      <c r="A75" s="47" t="s">
        <v>2214</v>
      </c>
      <c r="B75" s="47"/>
      <c r="C75" s="47"/>
      <c r="D75" s="47"/>
      <c r="E75" s="47"/>
      <c r="F75" s="47"/>
      <c r="G75" s="47"/>
      <c r="H75" s="47"/>
      <c r="I75" s="47"/>
      <c r="J75" s="47" t="s">
        <v>2215</v>
      </c>
      <c r="K75" s="47"/>
      <c r="L75" s="47"/>
      <c r="M75" s="47"/>
      <c r="N75" s="47"/>
      <c r="O75" s="47"/>
      <c r="P75" s="47"/>
      <c r="Q75" s="47"/>
      <c r="R75" s="47"/>
      <c r="S75" s="47"/>
      <c r="T75" s="47"/>
      <c r="U75" s="47"/>
      <c r="V75" s="47"/>
      <c r="W75" s="47"/>
      <c r="X75" s="47"/>
      <c r="Y75" s="47"/>
      <c r="Z75" s="47"/>
      <c r="AA75" s="47"/>
    </row>
    <row r="76" spans="1:27" ht="18" customHeight="1">
      <c r="A76" s="47" t="s">
        <v>2216</v>
      </c>
      <c r="B76" s="47"/>
      <c r="C76" s="47"/>
      <c r="D76" s="47"/>
      <c r="E76" s="47"/>
      <c r="F76" s="47"/>
      <c r="G76" s="47"/>
      <c r="H76" s="47"/>
      <c r="I76" s="47"/>
      <c r="J76" s="47" t="s">
        <v>2217</v>
      </c>
      <c r="K76" s="47"/>
      <c r="L76" s="47"/>
      <c r="M76" s="47"/>
      <c r="N76" s="47"/>
      <c r="O76" s="47"/>
      <c r="P76" s="47"/>
      <c r="Q76" s="47"/>
      <c r="R76" s="47"/>
      <c r="S76" s="47"/>
      <c r="T76" s="47"/>
      <c r="U76" s="47"/>
      <c r="V76" s="47"/>
      <c r="W76" s="47"/>
      <c r="X76" s="47"/>
      <c r="Y76" s="47"/>
      <c r="Z76" s="47"/>
      <c r="AA76" s="47"/>
    </row>
    <row r="77" spans="1:27" ht="18" customHeight="1">
      <c r="A77" s="47" t="s">
        <v>2218</v>
      </c>
      <c r="B77" s="47"/>
      <c r="C77" s="47"/>
      <c r="D77" s="47"/>
      <c r="E77" s="47"/>
      <c r="F77" s="47"/>
      <c r="G77" s="47"/>
      <c r="H77" s="47"/>
      <c r="I77" s="47"/>
      <c r="J77" s="47" t="s">
        <v>2219</v>
      </c>
      <c r="K77" s="47"/>
      <c r="L77" s="47"/>
      <c r="M77" s="47"/>
      <c r="N77" s="47"/>
      <c r="O77" s="47"/>
      <c r="P77" s="47"/>
      <c r="Q77" s="47"/>
      <c r="R77" s="47"/>
      <c r="S77" s="47"/>
      <c r="T77" s="47"/>
      <c r="U77" s="47"/>
      <c r="V77" s="47"/>
      <c r="W77" s="47"/>
      <c r="X77" s="47"/>
      <c r="Y77" s="47"/>
      <c r="Z77" s="47"/>
      <c r="AA77" s="47"/>
    </row>
    <row r="78" spans="1:27" ht="18" customHeight="1">
      <c r="A78" s="47" t="s">
        <v>2220</v>
      </c>
      <c r="B78" s="47"/>
      <c r="C78" s="47"/>
      <c r="D78" s="47"/>
      <c r="E78" s="47"/>
      <c r="F78" s="47"/>
      <c r="G78" s="47"/>
      <c r="H78" s="47"/>
      <c r="I78" s="47"/>
      <c r="J78" s="47" t="s">
        <v>2221</v>
      </c>
      <c r="K78" s="47"/>
      <c r="L78" s="47"/>
      <c r="M78" s="47"/>
      <c r="N78" s="47"/>
      <c r="O78" s="47"/>
      <c r="P78" s="47"/>
      <c r="Q78" s="47"/>
      <c r="R78" s="47"/>
      <c r="S78" s="47"/>
      <c r="T78" s="47"/>
      <c r="U78" s="47"/>
      <c r="V78" s="47"/>
      <c r="W78" s="47"/>
      <c r="X78" s="47"/>
      <c r="Y78" s="47"/>
      <c r="Z78" s="47"/>
      <c r="AA78" s="47"/>
    </row>
    <row r="79" spans="1:27" ht="18" customHeight="1">
      <c r="A79" s="47" t="s">
        <v>2222</v>
      </c>
      <c r="B79" s="47"/>
      <c r="C79" s="47"/>
      <c r="D79" s="47"/>
      <c r="E79" s="47"/>
      <c r="F79" s="47"/>
      <c r="G79" s="47"/>
      <c r="H79" s="47"/>
      <c r="I79" s="47"/>
      <c r="J79" s="47" t="s">
        <v>2223</v>
      </c>
      <c r="K79" s="47"/>
      <c r="L79" s="47"/>
      <c r="M79" s="47"/>
      <c r="N79" s="47"/>
      <c r="O79" s="47"/>
      <c r="P79" s="47"/>
      <c r="Q79" s="47"/>
      <c r="R79" s="47"/>
      <c r="S79" s="47"/>
      <c r="T79" s="47"/>
      <c r="U79" s="47"/>
      <c r="V79" s="47"/>
      <c r="W79" s="47"/>
      <c r="X79" s="47"/>
      <c r="Y79" s="47"/>
      <c r="Z79" s="47"/>
      <c r="AA79" s="47"/>
    </row>
    <row r="80" spans="1:27" ht="18" customHeight="1">
      <c r="A80" s="47" t="s">
        <v>2224</v>
      </c>
      <c r="B80" s="47"/>
      <c r="C80" s="47"/>
      <c r="D80" s="47"/>
      <c r="E80" s="47"/>
      <c r="F80" s="47"/>
      <c r="G80" s="47"/>
      <c r="H80" s="47"/>
      <c r="I80" s="47"/>
      <c r="J80" s="47" t="s">
        <v>2225</v>
      </c>
      <c r="K80" s="47"/>
      <c r="L80" s="47"/>
      <c r="M80" s="47"/>
      <c r="N80" s="47"/>
      <c r="O80" s="47"/>
      <c r="P80" s="47"/>
      <c r="Q80" s="47"/>
      <c r="R80" s="47"/>
      <c r="S80" s="47"/>
      <c r="T80" s="47"/>
      <c r="U80" s="47"/>
      <c r="V80" s="47"/>
      <c r="W80" s="47"/>
      <c r="X80" s="47"/>
      <c r="Y80" s="47"/>
      <c r="Z80" s="47"/>
      <c r="AA80" s="47"/>
    </row>
    <row r="81" spans="1:27" ht="18" customHeight="1">
      <c r="A81" s="47" t="s">
        <v>2226</v>
      </c>
      <c r="B81" s="47"/>
      <c r="C81" s="47"/>
      <c r="D81" s="47"/>
      <c r="E81" s="47"/>
      <c r="F81" s="47"/>
      <c r="G81" s="47"/>
      <c r="H81" s="47"/>
      <c r="I81" s="47"/>
      <c r="J81" s="47" t="s">
        <v>2227</v>
      </c>
      <c r="K81" s="47"/>
      <c r="L81" s="47"/>
      <c r="M81" s="47"/>
      <c r="N81" s="47"/>
      <c r="O81" s="47"/>
      <c r="P81" s="47"/>
      <c r="Q81" s="47"/>
      <c r="R81" s="47"/>
      <c r="S81" s="47"/>
      <c r="T81" s="47"/>
      <c r="U81" s="47"/>
      <c r="V81" s="47"/>
      <c r="W81" s="47"/>
      <c r="X81" s="47"/>
      <c r="Y81" s="47"/>
      <c r="Z81" s="47"/>
      <c r="AA81" s="47"/>
    </row>
    <row r="82" spans="1:27" ht="18" customHeight="1">
      <c r="A82" s="47" t="s">
        <v>2228</v>
      </c>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spans="1:27" ht="18" customHeight="1">
      <c r="A83" s="47" t="s">
        <v>2230</v>
      </c>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spans="1:27" ht="18" customHeight="1">
      <c r="A84" s="47" t="s">
        <v>2232</v>
      </c>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spans="1:27" ht="18" customHeight="1">
      <c r="A85" s="47" t="s">
        <v>2233</v>
      </c>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spans="1:27" ht="18" customHeight="1">
      <c r="A86" s="47" t="s">
        <v>2234</v>
      </c>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spans="1:27" ht="18" customHeight="1">
      <c r="A87" s="47" t="s">
        <v>2235</v>
      </c>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spans="1:27" ht="18" customHeight="1">
      <c r="A88" s="47" t="s">
        <v>2236</v>
      </c>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spans="1:27" ht="18" customHeight="1">
      <c r="A89" s="47" t="s">
        <v>2237</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spans="1:27" ht="18" customHeight="1">
      <c r="A90" s="47" t="s">
        <v>2238</v>
      </c>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spans="1:27" ht="18" customHeight="1">
      <c r="A91" s="47" t="s">
        <v>2239</v>
      </c>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spans="1:27" ht="18" customHeight="1">
      <c r="A92" s="47" t="s">
        <v>2240</v>
      </c>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spans="1:27" ht="18" customHeight="1">
      <c r="A93" s="47" t="s">
        <v>2241</v>
      </c>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spans="1:27" ht="18" customHeight="1">
      <c r="A94" s="47" t="s">
        <v>2242</v>
      </c>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spans="1:27" ht="18" customHeight="1">
      <c r="A95" s="47" t="s">
        <v>2243</v>
      </c>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spans="1:27" ht="18" customHeight="1">
      <c r="A96" s="47" t="s">
        <v>2244</v>
      </c>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spans="1:27" ht="18" customHeight="1">
      <c r="A97" s="47" t="s">
        <v>2245</v>
      </c>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spans="1:27" ht="18" customHeight="1">
      <c r="A98" s="47" t="s">
        <v>2246</v>
      </c>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spans="1:27" ht="18" customHeight="1">
      <c r="A99" s="47" t="s">
        <v>2247</v>
      </c>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spans="1:27" ht="18" customHeight="1">
      <c r="A100" s="47" t="s">
        <v>2248</v>
      </c>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ht="18" customHeight="1">
      <c r="A101" s="47" t="s">
        <v>2211</v>
      </c>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ht="18" customHeight="1">
      <c r="A102" s="151" t="s">
        <v>2249</v>
      </c>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c r="AA102" s="151"/>
    </row>
  </sheetData>
  <hyperlinks>
    <hyperlink ref="D2" r:id="rId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rgb="FF2F3A56"/>
  </sheetPr>
  <dimension ref="A1:AE149"/>
  <sheetViews>
    <sheetView showGridLines="0" workbookViewId="0"/>
  </sheetViews>
  <sheetFormatPr defaultRowHeight="15"/>
  <cols>
    <col min="1" max="1" width="9" style="46"/>
    <col min="2" max="2" width="12.375" style="46" customWidth="1"/>
    <col min="3" max="3" width="29.625" style="46" customWidth="1"/>
    <col min="4" max="4" width="12.375" style="46" customWidth="1"/>
    <col min="5" max="5" width="13.75" style="46" customWidth="1"/>
    <col min="6" max="6" width="16.875" style="46" customWidth="1"/>
    <col min="7" max="7" width="15.375" style="46" customWidth="1"/>
    <col min="8" max="16" width="9" style="46"/>
    <col min="17" max="17" width="7.875" style="46" customWidth="1"/>
    <col min="18" max="18" width="5.375" style="46" customWidth="1"/>
    <col min="19" max="19" width="7.875" style="46" customWidth="1"/>
    <col min="20" max="20" width="8.25" style="46" customWidth="1"/>
    <col min="21" max="21" width="8.625" style="46" customWidth="1"/>
    <col min="22" max="22" width="8" style="46" customWidth="1"/>
    <col min="23" max="23" width="7.625" style="46" customWidth="1"/>
    <col min="24" max="24" width="7.375" style="46" customWidth="1"/>
    <col min="25" max="25" width="8.375" style="46" customWidth="1"/>
    <col min="26" max="16384" width="9" style="46"/>
  </cols>
  <sheetData>
    <row r="1" spans="1:31" s="53" customFormat="1" ht="30.75" customHeight="1">
      <c r="F1" s="52" t="s">
        <v>4331</v>
      </c>
    </row>
    <row r="2" spans="1:31" s="53" customFormat="1" ht="15" customHeight="1">
      <c r="A2" s="202" t="s">
        <v>477</v>
      </c>
      <c r="B2" s="202" t="s">
        <v>35</v>
      </c>
      <c r="C2" s="202" t="s">
        <v>2297</v>
      </c>
      <c r="D2" s="221" t="s">
        <v>2298</v>
      </c>
      <c r="E2" s="202" t="s">
        <v>2299</v>
      </c>
      <c r="F2" s="202" t="s">
        <v>2300</v>
      </c>
      <c r="G2" s="202" t="s">
        <v>2301</v>
      </c>
      <c r="H2" s="203"/>
      <c r="I2" s="203"/>
      <c r="J2" s="203"/>
      <c r="K2" s="203"/>
      <c r="L2" s="203"/>
      <c r="M2" s="203"/>
      <c r="N2" s="203"/>
      <c r="O2" s="203"/>
      <c r="P2" s="203"/>
      <c r="Q2" s="203"/>
      <c r="R2" s="203"/>
      <c r="S2" s="203"/>
      <c r="T2" s="203"/>
      <c r="U2" s="203"/>
      <c r="V2" s="203"/>
      <c r="W2" s="203"/>
      <c r="X2" s="203"/>
      <c r="Y2" s="203"/>
      <c r="Z2" s="203"/>
      <c r="AA2" s="203"/>
      <c r="AB2" s="203"/>
      <c r="AC2" s="203"/>
      <c r="AD2" s="203"/>
      <c r="AE2" s="203"/>
    </row>
    <row r="3" spans="1:31" ht="18" customHeight="1">
      <c r="A3" s="208">
        <v>2024</v>
      </c>
      <c r="B3" s="208" t="s">
        <v>99</v>
      </c>
      <c r="C3" s="208" t="s">
        <v>2302</v>
      </c>
      <c r="D3" s="222">
        <v>39.22</v>
      </c>
      <c r="E3" s="208">
        <v>8392</v>
      </c>
      <c r="F3" s="208" t="s">
        <v>2303</v>
      </c>
      <c r="G3" s="208" t="s">
        <v>2304</v>
      </c>
      <c r="H3" s="47"/>
      <c r="I3" s="47" t="s">
        <v>2305</v>
      </c>
      <c r="J3" s="47"/>
      <c r="K3" s="47"/>
      <c r="L3" s="47"/>
      <c r="M3" s="47"/>
      <c r="N3" s="47"/>
      <c r="O3" s="47"/>
      <c r="P3" s="47"/>
      <c r="Q3" s="47"/>
      <c r="R3" s="47"/>
      <c r="S3" s="47"/>
      <c r="T3" s="47"/>
      <c r="U3" s="47"/>
      <c r="V3" s="223" t="s">
        <v>2306</v>
      </c>
      <c r="W3" s="223"/>
      <c r="X3" s="223"/>
      <c r="Y3" s="223"/>
      <c r="Z3" s="208"/>
      <c r="AA3" s="47"/>
      <c r="AB3" s="47"/>
      <c r="AC3" s="47"/>
      <c r="AD3" s="47"/>
      <c r="AE3" s="47"/>
    </row>
    <row r="4" spans="1:31" ht="18" customHeight="1">
      <c r="A4" s="208">
        <v>2024</v>
      </c>
      <c r="B4" s="208" t="s">
        <v>99</v>
      </c>
      <c r="C4" s="208" t="s">
        <v>2307</v>
      </c>
      <c r="D4" s="222">
        <v>17.329999999999998</v>
      </c>
      <c r="E4" s="208">
        <v>8228</v>
      </c>
      <c r="F4" s="208" t="s">
        <v>2308</v>
      </c>
      <c r="G4" s="208" t="s">
        <v>2304</v>
      </c>
      <c r="H4" s="223"/>
      <c r="I4" s="47" t="s">
        <v>2309</v>
      </c>
      <c r="J4" s="47"/>
      <c r="K4" s="47"/>
      <c r="L4" s="47"/>
      <c r="M4" s="47"/>
      <c r="N4" s="47"/>
      <c r="O4" s="47"/>
      <c r="P4" s="47"/>
      <c r="Q4" s="47"/>
      <c r="R4" s="47"/>
      <c r="S4" s="47"/>
      <c r="T4" s="47"/>
      <c r="U4" s="47"/>
      <c r="V4" s="223" t="s">
        <v>2310</v>
      </c>
      <c r="W4" s="223"/>
      <c r="X4" s="224"/>
      <c r="Y4" s="47"/>
      <c r="Z4" s="208"/>
      <c r="AA4" s="47"/>
      <c r="AB4" s="47"/>
      <c r="AC4" s="47"/>
      <c r="AD4" s="47"/>
      <c r="AE4" s="47"/>
    </row>
    <row r="5" spans="1:31" ht="18" customHeight="1">
      <c r="A5" s="208">
        <v>2024</v>
      </c>
      <c r="B5" s="208" t="s">
        <v>99</v>
      </c>
      <c r="C5" s="208" t="s">
        <v>2311</v>
      </c>
      <c r="D5" s="222">
        <v>19.8</v>
      </c>
      <c r="E5" s="208">
        <v>8860</v>
      </c>
      <c r="F5" s="208" t="s">
        <v>2312</v>
      </c>
      <c r="G5" s="208" t="s">
        <v>2304</v>
      </c>
      <c r="H5" s="47"/>
      <c r="I5" s="47" t="s">
        <v>2313</v>
      </c>
      <c r="J5" s="47"/>
      <c r="K5" s="47"/>
      <c r="L5" s="47"/>
      <c r="M5" s="47"/>
      <c r="N5" s="47"/>
      <c r="O5" s="47"/>
      <c r="P5" s="47"/>
      <c r="Q5" s="47"/>
      <c r="R5" s="47"/>
      <c r="S5" s="47"/>
      <c r="T5" s="47"/>
      <c r="U5" s="47"/>
      <c r="V5" s="223" t="s">
        <v>2314</v>
      </c>
      <c r="W5" s="223"/>
      <c r="X5" s="224"/>
      <c r="Y5" s="47"/>
      <c r="Z5" s="208"/>
      <c r="AA5" s="47"/>
      <c r="AB5" s="47"/>
      <c r="AC5" s="47"/>
      <c r="AD5" s="47"/>
      <c r="AE5" s="47"/>
    </row>
    <row r="6" spans="1:31" ht="18" customHeight="1">
      <c r="A6" s="208">
        <v>2024</v>
      </c>
      <c r="B6" s="208" t="s">
        <v>99</v>
      </c>
      <c r="C6" s="208" t="s">
        <v>2315</v>
      </c>
      <c r="D6" s="222">
        <v>7.77</v>
      </c>
      <c r="E6" s="208">
        <v>5564</v>
      </c>
      <c r="F6" s="208" t="s">
        <v>2316</v>
      </c>
      <c r="G6" s="208" t="s">
        <v>2304</v>
      </c>
      <c r="H6" s="47"/>
      <c r="I6" s="47" t="s">
        <v>2317</v>
      </c>
      <c r="J6" s="47"/>
      <c r="K6" s="47"/>
      <c r="L6" s="47"/>
      <c r="M6" s="47"/>
      <c r="N6" s="47"/>
      <c r="O6" s="47"/>
      <c r="P6" s="47"/>
      <c r="Q6" s="47"/>
      <c r="R6" s="47"/>
      <c r="S6" s="47"/>
      <c r="T6" s="47"/>
      <c r="U6" s="47"/>
      <c r="V6" s="223" t="s">
        <v>2318</v>
      </c>
      <c r="W6" s="47"/>
      <c r="X6" s="224"/>
      <c r="Y6" s="47"/>
      <c r="Z6" s="208"/>
      <c r="AA6" s="47"/>
      <c r="AB6" s="47"/>
      <c r="AC6" s="47"/>
      <c r="AD6" s="47"/>
      <c r="AE6" s="47"/>
    </row>
    <row r="7" spans="1:31" ht="18" customHeight="1">
      <c r="A7" s="208">
        <v>2024</v>
      </c>
      <c r="B7" s="208" t="s">
        <v>184</v>
      </c>
      <c r="C7" s="208" t="s">
        <v>2302</v>
      </c>
      <c r="D7" s="222">
        <v>40.39</v>
      </c>
      <c r="E7" s="208">
        <v>5648</v>
      </c>
      <c r="F7" s="208" t="s">
        <v>2303</v>
      </c>
      <c r="G7" s="208" t="s">
        <v>2304</v>
      </c>
      <c r="H7" s="47"/>
      <c r="I7" s="47" t="s">
        <v>2319</v>
      </c>
      <c r="J7" s="47"/>
      <c r="K7" s="47"/>
      <c r="L7" s="47"/>
      <c r="M7" s="47"/>
      <c r="N7" s="47"/>
      <c r="O7" s="47"/>
      <c r="P7" s="47"/>
      <c r="Q7" s="47"/>
      <c r="R7" s="47"/>
      <c r="S7" s="47"/>
      <c r="T7" s="47"/>
      <c r="U7" s="223"/>
      <c r="V7" s="223" t="s">
        <v>2320</v>
      </c>
      <c r="W7" s="47"/>
      <c r="X7" s="224"/>
      <c r="Y7" s="47"/>
      <c r="Z7" s="208"/>
      <c r="AA7" s="47"/>
      <c r="AB7" s="47"/>
      <c r="AC7" s="47"/>
      <c r="AD7" s="47"/>
      <c r="AE7" s="47"/>
    </row>
    <row r="8" spans="1:31" ht="18" customHeight="1">
      <c r="A8" s="208">
        <v>2024</v>
      </c>
      <c r="B8" s="208" t="s">
        <v>184</v>
      </c>
      <c r="C8" s="208" t="s">
        <v>2307</v>
      </c>
      <c r="D8" s="222">
        <v>13.25</v>
      </c>
      <c r="E8" s="208">
        <v>5570</v>
      </c>
      <c r="F8" s="208" t="s">
        <v>2308</v>
      </c>
      <c r="G8" s="208" t="s">
        <v>2304</v>
      </c>
      <c r="H8" s="47"/>
      <c r="I8" s="47"/>
      <c r="J8" s="47"/>
      <c r="K8" s="47"/>
      <c r="L8" s="47"/>
      <c r="M8" s="47"/>
      <c r="N8" s="47"/>
      <c r="O8" s="47"/>
      <c r="P8" s="47"/>
      <c r="Q8" s="47"/>
      <c r="R8" s="47"/>
      <c r="S8" s="47"/>
      <c r="T8" s="47"/>
      <c r="U8" s="223"/>
      <c r="V8" s="223" t="s">
        <v>2321</v>
      </c>
      <c r="W8" s="47"/>
      <c r="X8" s="223"/>
      <c r="Y8" s="223"/>
      <c r="Z8" s="223"/>
      <c r="AA8" s="47"/>
      <c r="AB8" s="47"/>
      <c r="AC8" s="47"/>
      <c r="AD8" s="47"/>
      <c r="AE8" s="47"/>
    </row>
    <row r="9" spans="1:31" ht="18" customHeight="1">
      <c r="A9" s="208">
        <v>2024</v>
      </c>
      <c r="B9" s="208" t="s">
        <v>184</v>
      </c>
      <c r="C9" s="208" t="s">
        <v>2311</v>
      </c>
      <c r="D9" s="222">
        <v>13.55</v>
      </c>
      <c r="E9" s="208">
        <v>5868</v>
      </c>
      <c r="F9" s="208" t="s">
        <v>2312</v>
      </c>
      <c r="G9" s="208" t="s">
        <v>2304</v>
      </c>
      <c r="H9" s="47"/>
      <c r="I9" s="223" t="s">
        <v>2322</v>
      </c>
      <c r="J9" s="223"/>
      <c r="K9" s="223"/>
      <c r="L9" s="223"/>
      <c r="M9" s="47"/>
      <c r="N9" s="47"/>
      <c r="O9" s="47"/>
      <c r="P9" s="47"/>
      <c r="Q9" s="47"/>
      <c r="R9" s="47"/>
      <c r="S9" s="47"/>
      <c r="T9" s="47"/>
      <c r="U9" s="47"/>
      <c r="V9" s="223" t="s">
        <v>2323</v>
      </c>
      <c r="W9" s="223"/>
      <c r="X9" s="223"/>
      <c r="Y9" s="223"/>
      <c r="Z9" s="223"/>
      <c r="AA9" s="47"/>
      <c r="AB9" s="47"/>
      <c r="AC9" s="47"/>
      <c r="AD9" s="47"/>
      <c r="AE9" s="47"/>
    </row>
    <row r="10" spans="1:31" ht="18" customHeight="1">
      <c r="A10" s="208">
        <v>2024</v>
      </c>
      <c r="B10" s="208" t="s">
        <v>184</v>
      </c>
      <c r="C10" s="208" t="s">
        <v>2315</v>
      </c>
      <c r="D10" s="222">
        <v>10.119999999999999</v>
      </c>
      <c r="E10" s="208">
        <v>4094</v>
      </c>
      <c r="F10" s="208" t="s">
        <v>2316</v>
      </c>
      <c r="G10" s="208" t="s">
        <v>2304</v>
      </c>
      <c r="H10" s="47"/>
      <c r="I10" s="223" t="s">
        <v>2324</v>
      </c>
      <c r="J10" s="223"/>
      <c r="K10" s="223"/>
      <c r="L10" s="223"/>
      <c r="M10" s="223"/>
      <c r="N10" s="47"/>
      <c r="O10" s="47"/>
      <c r="P10" s="47"/>
      <c r="Q10" s="47"/>
      <c r="R10" s="47"/>
      <c r="S10" s="47"/>
      <c r="T10" s="47"/>
      <c r="U10" s="47"/>
      <c r="V10" s="47"/>
      <c r="W10" s="47"/>
      <c r="X10" s="224"/>
      <c r="Y10" s="47"/>
      <c r="Z10" s="208"/>
      <c r="AA10" s="47"/>
      <c r="AB10" s="47"/>
      <c r="AC10" s="47"/>
      <c r="AD10" s="47"/>
      <c r="AE10" s="47"/>
    </row>
    <row r="11" spans="1:31" ht="18" customHeight="1">
      <c r="A11" s="208">
        <v>2023</v>
      </c>
      <c r="B11" s="208" t="s">
        <v>99</v>
      </c>
      <c r="C11" s="208" t="s">
        <v>2302</v>
      </c>
      <c r="D11" s="222">
        <v>39.89</v>
      </c>
      <c r="E11" s="208">
        <v>9824</v>
      </c>
      <c r="F11" s="208" t="s">
        <v>2303</v>
      </c>
      <c r="G11" s="208" t="s">
        <v>2304</v>
      </c>
      <c r="H11" s="47"/>
      <c r="I11" s="223" t="s">
        <v>2325</v>
      </c>
      <c r="J11" s="223"/>
      <c r="K11" s="47"/>
      <c r="L11" s="47"/>
      <c r="M11" s="47"/>
      <c r="N11" s="47"/>
      <c r="O11" s="47"/>
      <c r="P11" s="47"/>
      <c r="Q11" s="47"/>
      <c r="R11" s="47"/>
      <c r="S11" s="47"/>
      <c r="T11" s="47"/>
      <c r="U11" s="47"/>
      <c r="V11" s="47"/>
      <c r="W11" s="47"/>
      <c r="X11" s="47"/>
      <c r="Y11" s="47"/>
      <c r="Z11" s="47"/>
      <c r="AA11" s="223"/>
      <c r="AB11" s="223"/>
      <c r="AC11" s="223"/>
      <c r="AD11" s="223"/>
      <c r="AE11" s="223"/>
    </row>
    <row r="12" spans="1:31" ht="18" customHeight="1">
      <c r="A12" s="208">
        <v>2023</v>
      </c>
      <c r="B12" s="208" t="s">
        <v>99</v>
      </c>
      <c r="C12" s="208" t="s">
        <v>2307</v>
      </c>
      <c r="D12" s="222">
        <v>15.93</v>
      </c>
      <c r="E12" s="208">
        <v>9848</v>
      </c>
      <c r="F12" s="208" t="s">
        <v>2308</v>
      </c>
      <c r="G12" s="208" t="s">
        <v>2304</v>
      </c>
      <c r="H12" s="47"/>
      <c r="I12" s="47" t="s">
        <v>2326</v>
      </c>
      <c r="J12" s="47"/>
      <c r="K12" s="47"/>
      <c r="L12" s="47"/>
      <c r="M12" s="47"/>
      <c r="N12" s="47"/>
      <c r="O12" s="47"/>
      <c r="P12" s="47"/>
      <c r="Q12" s="47"/>
      <c r="R12" s="47"/>
      <c r="S12" s="47"/>
      <c r="T12" s="47"/>
      <c r="U12" s="47"/>
      <c r="V12" s="47"/>
      <c r="W12" s="47"/>
      <c r="X12" s="47"/>
      <c r="Y12" s="47"/>
      <c r="Z12" s="47"/>
      <c r="AA12" s="223"/>
      <c r="AB12" s="223"/>
      <c r="AC12" s="223"/>
      <c r="AD12" s="223"/>
      <c r="AE12" s="223"/>
    </row>
    <row r="13" spans="1:31" ht="18" customHeight="1">
      <c r="A13" s="208">
        <v>2023</v>
      </c>
      <c r="B13" s="208" t="s">
        <v>99</v>
      </c>
      <c r="C13" s="208" t="s">
        <v>2311</v>
      </c>
      <c r="D13" s="222">
        <v>18.739999999999998</v>
      </c>
      <c r="E13" s="208">
        <v>10570</v>
      </c>
      <c r="F13" s="208" t="s">
        <v>2312</v>
      </c>
      <c r="G13" s="208" t="s">
        <v>2304</v>
      </c>
      <c r="H13" s="47"/>
      <c r="I13" s="47" t="s">
        <v>4522</v>
      </c>
      <c r="J13" s="47"/>
      <c r="K13" s="47"/>
      <c r="L13" s="47"/>
      <c r="M13" s="47"/>
      <c r="N13" s="47"/>
      <c r="O13" s="47"/>
      <c r="P13" s="47"/>
      <c r="Q13" s="47"/>
      <c r="R13" s="47"/>
      <c r="S13" s="47"/>
      <c r="T13" s="47"/>
      <c r="U13" s="223"/>
      <c r="V13" s="47"/>
      <c r="W13" s="47"/>
      <c r="X13" s="47"/>
      <c r="Y13" s="47"/>
      <c r="Z13" s="47"/>
      <c r="AA13" s="47"/>
      <c r="AB13" s="47"/>
      <c r="AC13" s="47"/>
      <c r="AD13" s="47"/>
      <c r="AE13" s="47"/>
    </row>
    <row r="14" spans="1:31" ht="18" customHeight="1">
      <c r="A14" s="208">
        <v>2023</v>
      </c>
      <c r="B14" s="208" t="s">
        <v>99</v>
      </c>
      <c r="C14" s="208" t="s">
        <v>2315</v>
      </c>
      <c r="D14" s="222">
        <v>6.65</v>
      </c>
      <c r="E14" s="208">
        <v>6784</v>
      </c>
      <c r="F14" s="208" t="s">
        <v>2327</v>
      </c>
      <c r="G14" s="208" t="s">
        <v>2304</v>
      </c>
      <c r="H14" s="47"/>
      <c r="I14" s="223" t="s">
        <v>4523</v>
      </c>
      <c r="J14" s="223"/>
      <c r="K14" s="223"/>
      <c r="L14" s="47"/>
      <c r="M14" s="47"/>
      <c r="N14" s="47"/>
      <c r="O14" s="47"/>
      <c r="P14" s="47"/>
      <c r="Q14" s="47"/>
      <c r="R14" s="47"/>
      <c r="S14" s="47"/>
      <c r="T14" s="47"/>
      <c r="U14" s="47"/>
      <c r="V14" s="47"/>
      <c r="W14" s="47"/>
      <c r="X14" s="224"/>
      <c r="Y14" s="47"/>
      <c r="Z14" s="208"/>
      <c r="AA14" s="47"/>
      <c r="AB14" s="47"/>
      <c r="AC14" s="47"/>
      <c r="AD14" s="47"/>
      <c r="AE14" s="47"/>
    </row>
    <row r="15" spans="1:31" ht="18" customHeight="1">
      <c r="A15" s="208">
        <v>2023</v>
      </c>
      <c r="B15" s="208" t="s">
        <v>184</v>
      </c>
      <c r="C15" s="208" t="s">
        <v>2302</v>
      </c>
      <c r="D15" s="222">
        <v>40.049999999999997</v>
      </c>
      <c r="E15" s="208">
        <v>7674</v>
      </c>
      <c r="F15" s="208" t="s">
        <v>2303</v>
      </c>
      <c r="G15" s="208" t="s">
        <v>2304</v>
      </c>
      <c r="H15" s="47"/>
      <c r="I15" s="223" t="s">
        <v>2328</v>
      </c>
      <c r="J15" s="223"/>
      <c r="K15" s="223"/>
      <c r="L15" s="47"/>
      <c r="M15" s="47"/>
      <c r="N15" s="47"/>
      <c r="O15" s="47"/>
      <c r="P15" s="47"/>
      <c r="Q15" s="47"/>
      <c r="R15" s="47"/>
      <c r="S15" s="47"/>
      <c r="T15" s="47"/>
      <c r="U15" s="47"/>
      <c r="V15" s="47"/>
      <c r="W15" s="47"/>
      <c r="X15" s="224"/>
      <c r="Y15" s="47"/>
      <c r="Z15" s="208"/>
      <c r="AA15" s="47"/>
      <c r="AB15" s="47"/>
      <c r="AC15" s="47"/>
      <c r="AD15" s="47"/>
      <c r="AE15" s="47"/>
    </row>
    <row r="16" spans="1:31" ht="18" customHeight="1">
      <c r="A16" s="208">
        <v>2023</v>
      </c>
      <c r="B16" s="208" t="s">
        <v>184</v>
      </c>
      <c r="C16" s="208" t="s">
        <v>2307</v>
      </c>
      <c r="D16" s="222">
        <v>13.09</v>
      </c>
      <c r="E16" s="208">
        <v>7676</v>
      </c>
      <c r="F16" s="208" t="s">
        <v>2308</v>
      </c>
      <c r="G16" s="208" t="s">
        <v>2304</v>
      </c>
      <c r="H16" s="47"/>
      <c r="I16" s="47" t="s">
        <v>2329</v>
      </c>
      <c r="J16" s="47"/>
      <c r="K16" s="47"/>
      <c r="L16" s="47"/>
      <c r="M16" s="47"/>
      <c r="N16" s="47"/>
      <c r="O16" s="47"/>
      <c r="P16" s="47"/>
      <c r="Q16" s="47"/>
      <c r="R16" s="47"/>
      <c r="S16" s="47"/>
      <c r="T16" s="47"/>
      <c r="U16" s="47"/>
      <c r="V16" s="47"/>
      <c r="W16" s="47"/>
      <c r="X16" s="224"/>
      <c r="Y16" s="47"/>
      <c r="Z16" s="208"/>
      <c r="AA16" s="47"/>
      <c r="AB16" s="47"/>
      <c r="AC16" s="47"/>
      <c r="AD16" s="47"/>
      <c r="AE16" s="47"/>
    </row>
    <row r="17" spans="1:31" ht="18" customHeight="1">
      <c r="A17" s="208">
        <v>2023</v>
      </c>
      <c r="B17" s="208" t="s">
        <v>184</v>
      </c>
      <c r="C17" s="208" t="s">
        <v>2311</v>
      </c>
      <c r="D17" s="222">
        <v>15.37</v>
      </c>
      <c r="E17" s="208">
        <v>7970</v>
      </c>
      <c r="F17" s="208" t="s">
        <v>2312</v>
      </c>
      <c r="G17" s="208" t="s">
        <v>2304</v>
      </c>
      <c r="H17" s="47"/>
      <c r="I17" s="47" t="s">
        <v>4524</v>
      </c>
      <c r="J17" s="47"/>
      <c r="K17" s="47"/>
      <c r="L17" s="47"/>
      <c r="M17" s="47"/>
      <c r="N17" s="47"/>
      <c r="O17" s="47"/>
      <c r="P17" s="47"/>
      <c r="Q17" s="47"/>
      <c r="R17" s="47"/>
      <c r="S17" s="47"/>
      <c r="T17" s="47"/>
      <c r="U17" s="47"/>
      <c r="V17" s="47"/>
      <c r="W17" s="47"/>
      <c r="X17" s="224"/>
      <c r="Y17" s="47"/>
      <c r="Z17" s="208"/>
      <c r="AA17" s="47"/>
      <c r="AB17" s="47"/>
      <c r="AC17" s="47"/>
      <c r="AD17" s="47"/>
      <c r="AE17" s="47"/>
    </row>
    <row r="18" spans="1:31" ht="18" customHeight="1">
      <c r="A18" s="208">
        <v>2023</v>
      </c>
      <c r="B18" s="208" t="s">
        <v>184</v>
      </c>
      <c r="C18" s="208" t="s">
        <v>2315</v>
      </c>
      <c r="D18" s="222">
        <v>13.62</v>
      </c>
      <c r="E18" s="208">
        <v>5424</v>
      </c>
      <c r="F18" s="208" t="s">
        <v>2327</v>
      </c>
      <c r="G18" s="208" t="s">
        <v>2304</v>
      </c>
      <c r="H18" s="47"/>
      <c r="I18" s="223" t="s">
        <v>4525</v>
      </c>
      <c r="J18" s="223"/>
      <c r="K18" s="223"/>
      <c r="L18" s="47"/>
      <c r="M18" s="47"/>
      <c r="N18" s="47"/>
      <c r="O18" s="47"/>
      <c r="P18" s="47"/>
      <c r="Q18" s="47"/>
      <c r="R18" s="47"/>
      <c r="S18" s="47"/>
      <c r="T18" s="47"/>
      <c r="U18" s="47"/>
      <c r="V18" s="47"/>
      <c r="W18" s="47"/>
      <c r="X18" s="224"/>
      <c r="Y18" s="47"/>
      <c r="Z18" s="208"/>
      <c r="AA18" s="47"/>
      <c r="AB18" s="47"/>
      <c r="AC18" s="47"/>
      <c r="AD18" s="47"/>
      <c r="AE18" s="47"/>
    </row>
    <row r="19" spans="1:31" ht="18" customHeight="1">
      <c r="A19" s="208">
        <v>2022</v>
      </c>
      <c r="B19" s="208" t="s">
        <v>99</v>
      </c>
      <c r="C19" s="208" t="s">
        <v>2302</v>
      </c>
      <c r="D19" s="222">
        <v>40.08</v>
      </c>
      <c r="E19" s="208">
        <v>10234</v>
      </c>
      <c r="F19" s="208" t="s">
        <v>2303</v>
      </c>
      <c r="G19" s="208" t="s">
        <v>2304</v>
      </c>
      <c r="H19" s="47"/>
      <c r="I19" s="223" t="s">
        <v>2330</v>
      </c>
      <c r="J19" s="223"/>
      <c r="K19" s="223"/>
      <c r="L19" s="47"/>
      <c r="M19" s="47"/>
      <c r="N19" s="47"/>
      <c r="O19" s="47"/>
      <c r="P19" s="47"/>
      <c r="Q19" s="47"/>
      <c r="R19" s="47"/>
      <c r="S19" s="47"/>
      <c r="T19" s="47"/>
      <c r="U19" s="47"/>
      <c r="V19" s="47"/>
      <c r="W19" s="47"/>
      <c r="X19" s="224"/>
      <c r="Y19" s="47"/>
      <c r="Z19" s="208"/>
      <c r="AA19" s="47"/>
      <c r="AB19" s="47"/>
      <c r="AC19" s="47"/>
      <c r="AD19" s="47"/>
      <c r="AE19" s="47"/>
    </row>
    <row r="20" spans="1:31" ht="18" customHeight="1">
      <c r="A20" s="208">
        <v>2022</v>
      </c>
      <c r="B20" s="208" t="s">
        <v>99</v>
      </c>
      <c r="C20" s="208" t="s">
        <v>2307</v>
      </c>
      <c r="D20" s="222">
        <v>16.86</v>
      </c>
      <c r="E20" s="208">
        <v>9886</v>
      </c>
      <c r="F20" s="208" t="s">
        <v>2308</v>
      </c>
      <c r="G20" s="208" t="s">
        <v>2304</v>
      </c>
      <c r="H20" s="47"/>
      <c r="I20" s="47" t="s">
        <v>2331</v>
      </c>
      <c r="J20" s="47"/>
      <c r="K20" s="47"/>
      <c r="L20" s="47"/>
      <c r="M20" s="47"/>
      <c r="N20" s="47"/>
      <c r="O20" s="47"/>
      <c r="P20" s="47"/>
      <c r="Q20" s="47"/>
      <c r="R20" s="47"/>
      <c r="S20" s="47"/>
      <c r="T20" s="47"/>
      <c r="U20" s="47"/>
      <c r="V20" s="47"/>
      <c r="W20" s="47"/>
      <c r="X20" s="224"/>
      <c r="Y20" s="47"/>
      <c r="Z20" s="208"/>
      <c r="AA20" s="47"/>
      <c r="AB20" s="47"/>
      <c r="AC20" s="47"/>
      <c r="AD20" s="47"/>
      <c r="AE20" s="47"/>
    </row>
    <row r="21" spans="1:31" ht="18" customHeight="1">
      <c r="A21" s="208">
        <v>2022</v>
      </c>
      <c r="B21" s="208" t="s">
        <v>99</v>
      </c>
      <c r="C21" s="208" t="s">
        <v>2311</v>
      </c>
      <c r="D21" s="222">
        <v>20.059999999999999</v>
      </c>
      <c r="E21" s="208">
        <v>10988</v>
      </c>
      <c r="F21" s="208" t="s">
        <v>2312</v>
      </c>
      <c r="G21" s="208" t="s">
        <v>2304</v>
      </c>
      <c r="H21" s="47"/>
      <c r="I21" s="47" t="s">
        <v>4526</v>
      </c>
      <c r="J21" s="47"/>
      <c r="K21" s="47"/>
      <c r="L21" s="47"/>
      <c r="M21" s="47"/>
      <c r="N21" s="47"/>
      <c r="O21" s="47"/>
      <c r="P21" s="47"/>
      <c r="Q21" s="47"/>
      <c r="R21" s="47"/>
      <c r="S21" s="47"/>
      <c r="T21" s="47"/>
      <c r="U21" s="47"/>
      <c r="V21" s="47"/>
      <c r="W21" s="47"/>
      <c r="X21" s="224"/>
      <c r="Y21" s="47"/>
      <c r="Z21" s="208"/>
      <c r="AA21" s="47"/>
      <c r="AB21" s="47"/>
      <c r="AC21" s="47"/>
      <c r="AD21" s="47"/>
      <c r="AE21" s="47"/>
    </row>
    <row r="22" spans="1:31" ht="18" customHeight="1">
      <c r="A22" s="208">
        <v>2022</v>
      </c>
      <c r="B22" s="208" t="s">
        <v>99</v>
      </c>
      <c r="C22" s="208" t="s">
        <v>2315</v>
      </c>
      <c r="D22" s="222">
        <v>8.7200000000000006</v>
      </c>
      <c r="E22" s="208">
        <v>6696</v>
      </c>
      <c r="F22" s="208" t="s">
        <v>2332</v>
      </c>
      <c r="G22" s="208" t="s">
        <v>2304</v>
      </c>
      <c r="H22" s="47"/>
      <c r="I22" s="47" t="s">
        <v>2333</v>
      </c>
      <c r="J22" s="47"/>
      <c r="K22" s="47"/>
      <c r="L22" s="47"/>
      <c r="M22" s="47"/>
      <c r="N22" s="47"/>
      <c r="O22" s="47"/>
      <c r="P22" s="47"/>
      <c r="Q22" s="47"/>
      <c r="R22" s="47"/>
      <c r="S22" s="47"/>
      <c r="T22" s="47"/>
      <c r="U22" s="47"/>
      <c r="V22" s="47"/>
      <c r="W22" s="47"/>
      <c r="X22" s="224"/>
      <c r="Y22" s="47"/>
      <c r="Z22" s="208"/>
      <c r="AA22" s="47"/>
      <c r="AB22" s="47"/>
      <c r="AC22" s="47"/>
      <c r="AD22" s="47"/>
      <c r="AE22" s="47"/>
    </row>
    <row r="23" spans="1:31" ht="18" customHeight="1">
      <c r="A23" s="208">
        <v>2022</v>
      </c>
      <c r="B23" s="208" t="s">
        <v>184</v>
      </c>
      <c r="C23" s="208" t="s">
        <v>2302</v>
      </c>
      <c r="D23" s="222">
        <v>39.450000000000003</v>
      </c>
      <c r="E23" s="208">
        <v>7870</v>
      </c>
      <c r="F23" s="208" t="s">
        <v>2303</v>
      </c>
      <c r="G23" s="208" t="s">
        <v>2304</v>
      </c>
      <c r="H23" s="47"/>
      <c r="I23" s="223" t="s">
        <v>4527</v>
      </c>
      <c r="J23" s="223"/>
      <c r="K23" s="223"/>
      <c r="L23" s="47"/>
      <c r="M23" s="47"/>
      <c r="N23" s="47"/>
      <c r="O23" s="47"/>
      <c r="P23" s="47"/>
      <c r="Q23" s="47"/>
      <c r="R23" s="47"/>
      <c r="S23" s="47"/>
      <c r="T23" s="47"/>
      <c r="U23" s="47"/>
      <c r="V23" s="47"/>
      <c r="W23" s="47"/>
      <c r="X23" s="224"/>
      <c r="Y23" s="47"/>
      <c r="Z23" s="208"/>
      <c r="AA23" s="47"/>
      <c r="AB23" s="47"/>
      <c r="AC23" s="47"/>
      <c r="AD23" s="47"/>
      <c r="AE23" s="47"/>
    </row>
    <row r="24" spans="1:31" ht="18" customHeight="1">
      <c r="A24" s="208">
        <v>2022</v>
      </c>
      <c r="B24" s="208" t="s">
        <v>184</v>
      </c>
      <c r="C24" s="208" t="s">
        <v>2307</v>
      </c>
      <c r="D24" s="222">
        <v>13.5</v>
      </c>
      <c r="E24" s="208">
        <v>7718</v>
      </c>
      <c r="F24" s="208" t="s">
        <v>2308</v>
      </c>
      <c r="G24" s="208" t="s">
        <v>2304</v>
      </c>
      <c r="H24" s="47"/>
      <c r="I24" s="223" t="s">
        <v>2334</v>
      </c>
      <c r="J24" s="223"/>
      <c r="K24" s="223"/>
      <c r="L24" s="47"/>
      <c r="M24" s="47"/>
      <c r="N24" s="47"/>
      <c r="O24" s="47"/>
      <c r="P24" s="47"/>
      <c r="Q24" s="47"/>
      <c r="R24" s="47"/>
      <c r="S24" s="47"/>
      <c r="T24" s="47"/>
      <c r="U24" s="47"/>
      <c r="V24" s="47"/>
      <c r="W24" s="47"/>
      <c r="X24" s="224"/>
      <c r="Y24" s="47"/>
      <c r="Z24" s="208"/>
      <c r="AA24" s="47"/>
      <c r="AB24" s="47"/>
      <c r="AC24" s="47"/>
      <c r="AD24" s="47"/>
      <c r="AE24" s="47"/>
    </row>
    <row r="25" spans="1:31" ht="18" customHeight="1">
      <c r="A25" s="208">
        <v>2022</v>
      </c>
      <c r="B25" s="208" t="s">
        <v>184</v>
      </c>
      <c r="C25" s="208" t="s">
        <v>2311</v>
      </c>
      <c r="D25" s="222">
        <v>15.73</v>
      </c>
      <c r="E25" s="208">
        <v>8266</v>
      </c>
      <c r="F25" s="208" t="s">
        <v>2312</v>
      </c>
      <c r="G25" s="208" t="s">
        <v>2304</v>
      </c>
      <c r="H25" s="47"/>
      <c r="I25" s="47" t="s">
        <v>2335</v>
      </c>
      <c r="J25" s="47"/>
      <c r="K25" s="47"/>
      <c r="L25" s="47"/>
      <c r="M25" s="47"/>
      <c r="N25" s="47"/>
      <c r="O25" s="47"/>
      <c r="P25" s="47"/>
      <c r="Q25" s="47"/>
      <c r="R25" s="47"/>
      <c r="S25" s="47"/>
      <c r="T25" s="47"/>
      <c r="U25" s="47"/>
      <c r="V25" s="47"/>
      <c r="W25" s="47"/>
      <c r="X25" s="224"/>
      <c r="Y25" s="47"/>
      <c r="Z25" s="208"/>
      <c r="AA25" s="47"/>
      <c r="AB25" s="47"/>
      <c r="AC25" s="47"/>
      <c r="AD25" s="47"/>
      <c r="AE25" s="47"/>
    </row>
    <row r="26" spans="1:31" ht="18" customHeight="1">
      <c r="A26" s="208">
        <v>2022</v>
      </c>
      <c r="B26" s="208" t="s">
        <v>184</v>
      </c>
      <c r="C26" s="208" t="s">
        <v>2315</v>
      </c>
      <c r="D26" s="222">
        <v>13.29</v>
      </c>
      <c r="E26" s="208">
        <v>5854</v>
      </c>
      <c r="F26" s="208" t="s">
        <v>2332</v>
      </c>
      <c r="G26" s="208" t="s">
        <v>2304</v>
      </c>
      <c r="H26" s="47"/>
      <c r="I26" s="47" t="s">
        <v>4528</v>
      </c>
      <c r="J26" s="47"/>
      <c r="K26" s="47"/>
      <c r="L26" s="47"/>
      <c r="M26" s="47"/>
      <c r="N26" s="47"/>
      <c r="O26" s="47"/>
      <c r="P26" s="47"/>
      <c r="Q26" s="47"/>
      <c r="R26" s="47"/>
      <c r="S26" s="47"/>
      <c r="T26" s="47"/>
      <c r="U26" s="47"/>
      <c r="V26" s="47"/>
      <c r="W26" s="47"/>
      <c r="X26" s="47"/>
      <c r="Y26" s="47"/>
      <c r="Z26" s="208"/>
      <c r="AA26" s="47"/>
      <c r="AB26" s="47"/>
      <c r="AC26" s="47"/>
      <c r="AD26" s="47"/>
      <c r="AE26" s="47"/>
    </row>
    <row r="27" spans="1:31" ht="18" customHeight="1">
      <c r="A27" s="208">
        <v>2021</v>
      </c>
      <c r="B27" s="208" t="s">
        <v>99</v>
      </c>
      <c r="C27" s="208" t="s">
        <v>2302</v>
      </c>
      <c r="D27" s="222">
        <v>38.64</v>
      </c>
      <c r="E27" s="208">
        <v>9180</v>
      </c>
      <c r="F27" s="208" t="s">
        <v>2303</v>
      </c>
      <c r="G27" s="208" t="s">
        <v>2304</v>
      </c>
      <c r="H27" s="47"/>
      <c r="I27" s="47" t="s">
        <v>2336</v>
      </c>
      <c r="J27" s="47"/>
      <c r="K27" s="47"/>
      <c r="L27" s="47"/>
      <c r="M27" s="47"/>
      <c r="N27" s="47"/>
      <c r="O27" s="47"/>
      <c r="P27" s="47"/>
      <c r="Q27" s="47"/>
      <c r="R27" s="47"/>
      <c r="S27" s="47"/>
      <c r="T27" s="47"/>
      <c r="U27" s="47"/>
      <c r="V27" s="47"/>
      <c r="W27" s="47"/>
      <c r="X27" s="47"/>
      <c r="Y27" s="47"/>
      <c r="Z27" s="208"/>
      <c r="AA27" s="47"/>
      <c r="AB27" s="47"/>
      <c r="AC27" s="47"/>
      <c r="AD27" s="47"/>
      <c r="AE27" s="47"/>
    </row>
    <row r="28" spans="1:31" ht="18" customHeight="1">
      <c r="A28" s="208">
        <v>2021</v>
      </c>
      <c r="B28" s="208" t="s">
        <v>99</v>
      </c>
      <c r="C28" s="208" t="s">
        <v>2307</v>
      </c>
      <c r="D28" s="222">
        <v>17.149999999999999</v>
      </c>
      <c r="E28" s="208">
        <v>9144</v>
      </c>
      <c r="F28" s="208" t="s">
        <v>2337</v>
      </c>
      <c r="G28" s="208" t="s">
        <v>2304</v>
      </c>
      <c r="H28" s="47"/>
      <c r="I28" s="223" t="s">
        <v>4529</v>
      </c>
      <c r="J28" s="223"/>
      <c r="K28" s="223"/>
      <c r="L28" s="223"/>
      <c r="M28" s="223"/>
      <c r="N28" s="47"/>
      <c r="O28" s="47"/>
      <c r="P28" s="47"/>
      <c r="Q28" s="47"/>
      <c r="R28" s="47"/>
      <c r="S28" s="47"/>
      <c r="T28" s="47"/>
      <c r="U28" s="47"/>
      <c r="V28" s="47"/>
      <c r="W28" s="47"/>
      <c r="X28" s="224"/>
      <c r="Y28" s="47"/>
      <c r="Z28" s="208"/>
      <c r="AA28" s="47"/>
      <c r="AB28" s="47"/>
      <c r="AC28" s="47"/>
      <c r="AD28" s="47"/>
      <c r="AE28" s="47"/>
    </row>
    <row r="29" spans="1:31" ht="18" customHeight="1">
      <c r="A29" s="208">
        <v>2021</v>
      </c>
      <c r="B29" s="208" t="s">
        <v>99</v>
      </c>
      <c r="C29" s="208" t="s">
        <v>2311</v>
      </c>
      <c r="D29" s="222">
        <v>17.809999999999999</v>
      </c>
      <c r="E29" s="208">
        <v>10008</v>
      </c>
      <c r="F29" s="208" t="s">
        <v>2312</v>
      </c>
      <c r="G29" s="208" t="s">
        <v>2304</v>
      </c>
      <c r="H29" s="47"/>
      <c r="I29" s="47"/>
      <c r="J29" s="47"/>
      <c r="K29" s="47"/>
      <c r="L29" s="47"/>
      <c r="M29" s="47"/>
      <c r="N29" s="47"/>
      <c r="O29" s="47"/>
      <c r="P29" s="47"/>
      <c r="Q29" s="47"/>
      <c r="R29" s="47"/>
      <c r="S29" s="47"/>
      <c r="T29" s="47"/>
      <c r="U29" s="47"/>
      <c r="V29" s="47"/>
      <c r="W29" s="47"/>
      <c r="X29" s="224"/>
      <c r="Y29" s="47"/>
      <c r="Z29" s="208"/>
      <c r="AA29" s="47"/>
      <c r="AB29" s="47"/>
      <c r="AC29" s="47"/>
      <c r="AD29" s="47"/>
      <c r="AE29" s="47"/>
    </row>
    <row r="30" spans="1:31" ht="18" customHeight="1">
      <c r="A30" s="208">
        <v>2021</v>
      </c>
      <c r="B30" s="208" t="s">
        <v>99</v>
      </c>
      <c r="C30" s="208" t="s">
        <v>2315</v>
      </c>
      <c r="D30" s="222">
        <v>7.49</v>
      </c>
      <c r="E30" s="208">
        <v>6386</v>
      </c>
      <c r="F30" s="208" t="s">
        <v>2332</v>
      </c>
      <c r="G30" s="208" t="s">
        <v>2304</v>
      </c>
      <c r="H30" s="47"/>
      <c r="I30" s="223" t="s">
        <v>4530</v>
      </c>
      <c r="J30" s="223"/>
      <c r="K30" s="47"/>
      <c r="L30" s="47"/>
      <c r="M30" s="47"/>
      <c r="N30" s="47"/>
      <c r="O30" s="47"/>
      <c r="P30" s="47"/>
      <c r="Q30" s="47"/>
      <c r="R30" s="47"/>
      <c r="S30" s="47"/>
      <c r="T30" s="47"/>
      <c r="U30" s="47"/>
      <c r="V30" s="47"/>
      <c r="W30" s="47"/>
      <c r="X30" s="224"/>
      <c r="Y30" s="47"/>
      <c r="Z30" s="208"/>
      <c r="AA30" s="47"/>
      <c r="AB30" s="47"/>
      <c r="AC30" s="47"/>
      <c r="AD30" s="47"/>
      <c r="AE30" s="47"/>
    </row>
    <row r="31" spans="1:31" ht="18" customHeight="1">
      <c r="A31" s="208">
        <v>2021</v>
      </c>
      <c r="B31" s="208" t="s">
        <v>184</v>
      </c>
      <c r="C31" s="208" t="s">
        <v>2302</v>
      </c>
      <c r="D31" s="222">
        <v>39.1</v>
      </c>
      <c r="E31" s="208">
        <v>8220</v>
      </c>
      <c r="F31" s="208" t="s">
        <v>2303</v>
      </c>
      <c r="G31" s="208" t="s">
        <v>2304</v>
      </c>
      <c r="H31" s="47"/>
      <c r="I31" s="223" t="s">
        <v>2338</v>
      </c>
      <c r="J31" s="223"/>
      <c r="K31" s="223"/>
      <c r="L31" s="47"/>
      <c r="M31" s="47"/>
      <c r="N31" s="47"/>
      <c r="O31" s="47"/>
      <c r="P31" s="47"/>
      <c r="Q31" s="47"/>
      <c r="R31" s="47"/>
      <c r="S31" s="47"/>
      <c r="T31" s="47"/>
      <c r="U31" s="47"/>
      <c r="V31" s="47"/>
      <c r="W31" s="47"/>
      <c r="X31" s="224"/>
      <c r="Y31" s="47"/>
      <c r="Z31" s="208"/>
      <c r="AA31" s="47"/>
      <c r="AB31" s="47"/>
      <c r="AC31" s="47"/>
      <c r="AD31" s="47"/>
      <c r="AE31" s="47"/>
    </row>
    <row r="32" spans="1:31" ht="18" customHeight="1">
      <c r="A32" s="208">
        <v>2021</v>
      </c>
      <c r="B32" s="208" t="s">
        <v>184</v>
      </c>
      <c r="C32" s="208" t="s">
        <v>2307</v>
      </c>
      <c r="D32" s="222">
        <v>12.52</v>
      </c>
      <c r="E32" s="208">
        <v>8364</v>
      </c>
      <c r="F32" s="208" t="s">
        <v>2337</v>
      </c>
      <c r="G32" s="208" t="s">
        <v>2304</v>
      </c>
      <c r="H32" s="47"/>
      <c r="I32" s="225" t="s">
        <v>2339</v>
      </c>
      <c r="J32" s="225"/>
      <c r="K32" s="225"/>
      <c r="L32" s="47"/>
      <c r="M32" s="47"/>
      <c r="N32" s="47"/>
      <c r="O32" s="47"/>
      <c r="P32" s="47"/>
      <c r="Q32" s="47"/>
      <c r="R32" s="47"/>
      <c r="S32" s="47"/>
      <c r="T32" s="47"/>
      <c r="U32" s="47"/>
      <c r="V32" s="47"/>
      <c r="W32" s="47"/>
      <c r="X32" s="224"/>
      <c r="Y32" s="47"/>
      <c r="Z32" s="208"/>
      <c r="AA32" s="47"/>
      <c r="AB32" s="47"/>
      <c r="AC32" s="47"/>
      <c r="AD32" s="47"/>
      <c r="AE32" s="47"/>
    </row>
    <row r="33" spans="1:31" ht="18" customHeight="1">
      <c r="A33" s="208">
        <v>2021</v>
      </c>
      <c r="B33" s="208" t="s">
        <v>184</v>
      </c>
      <c r="C33" s="208" t="s">
        <v>2311</v>
      </c>
      <c r="D33" s="222">
        <v>14.67</v>
      </c>
      <c r="E33" s="208">
        <v>8662</v>
      </c>
      <c r="F33" s="208" t="s">
        <v>2312</v>
      </c>
      <c r="G33" s="208" t="s">
        <v>2304</v>
      </c>
      <c r="H33" s="47"/>
      <c r="I33" s="225" t="s">
        <v>2340</v>
      </c>
      <c r="J33" s="225"/>
      <c r="K33" s="225"/>
      <c r="L33" s="47"/>
      <c r="M33" s="47"/>
      <c r="N33" s="47"/>
      <c r="O33" s="47"/>
      <c r="P33" s="47"/>
      <c r="Q33" s="47"/>
      <c r="R33" s="47"/>
      <c r="S33" s="47"/>
      <c r="T33" s="47"/>
      <c r="U33" s="47"/>
      <c r="V33" s="47"/>
      <c r="W33" s="47"/>
      <c r="X33" s="224"/>
      <c r="Y33" s="47"/>
      <c r="Z33" s="208"/>
      <c r="AA33" s="47"/>
      <c r="AB33" s="47"/>
      <c r="AC33" s="47"/>
      <c r="AD33" s="47"/>
      <c r="AE33" s="47"/>
    </row>
    <row r="34" spans="1:31" ht="18" customHeight="1">
      <c r="A34" s="208">
        <v>2021</v>
      </c>
      <c r="B34" s="208" t="s">
        <v>184</v>
      </c>
      <c r="C34" s="208" t="s">
        <v>2315</v>
      </c>
      <c r="D34" s="222">
        <v>13.3</v>
      </c>
      <c r="E34" s="208">
        <v>5324</v>
      </c>
      <c r="F34" s="208" t="s">
        <v>2332</v>
      </c>
      <c r="G34" s="208" t="s">
        <v>2304</v>
      </c>
      <c r="H34" s="47"/>
      <c r="I34" s="225" t="s">
        <v>4531</v>
      </c>
      <c r="J34" s="225"/>
      <c r="K34" s="225"/>
      <c r="L34" s="225"/>
      <c r="M34" s="47"/>
      <c r="N34" s="47"/>
      <c r="O34" s="47"/>
      <c r="P34" s="47"/>
      <c r="Q34" s="47"/>
      <c r="R34" s="47"/>
      <c r="S34" s="47"/>
      <c r="T34" s="47"/>
      <c r="U34" s="47"/>
      <c r="V34" s="47"/>
      <c r="W34" s="47"/>
      <c r="X34" s="224"/>
      <c r="Y34" s="47"/>
      <c r="Z34" s="208"/>
      <c r="AA34" s="47"/>
      <c r="AB34" s="47"/>
      <c r="AC34" s="47"/>
      <c r="AD34" s="47"/>
      <c r="AE34" s="47"/>
    </row>
    <row r="35" spans="1:31" ht="18" customHeight="1">
      <c r="A35" s="208">
        <v>2020</v>
      </c>
      <c r="B35" s="208" t="s">
        <v>99</v>
      </c>
      <c r="C35" s="208" t="s">
        <v>2302</v>
      </c>
      <c r="D35" s="222">
        <v>38.130000000000003</v>
      </c>
      <c r="E35" s="208">
        <v>8640</v>
      </c>
      <c r="F35" s="208" t="s">
        <v>2303</v>
      </c>
      <c r="G35" s="208" t="s">
        <v>2304</v>
      </c>
      <c r="H35" s="47"/>
      <c r="I35" s="225" t="s">
        <v>2341</v>
      </c>
      <c r="J35" s="225"/>
      <c r="K35" s="225"/>
      <c r="L35" s="225"/>
      <c r="M35" s="47"/>
      <c r="N35" s="47"/>
      <c r="O35" s="47"/>
      <c r="P35" s="47"/>
      <c r="Q35" s="47"/>
      <c r="R35" s="47"/>
      <c r="S35" s="47"/>
      <c r="T35" s="47"/>
      <c r="U35" s="47"/>
      <c r="V35" s="47"/>
      <c r="W35" s="47"/>
      <c r="X35" s="224"/>
      <c r="Y35" s="47"/>
      <c r="Z35" s="208"/>
      <c r="AA35" s="47"/>
      <c r="AB35" s="47"/>
      <c r="AC35" s="47"/>
      <c r="AD35" s="47"/>
      <c r="AE35" s="47"/>
    </row>
    <row r="36" spans="1:31" ht="18" customHeight="1">
      <c r="A36" s="208">
        <v>2020</v>
      </c>
      <c r="B36" s="208" t="s">
        <v>99</v>
      </c>
      <c r="C36" s="208" t="s">
        <v>2307</v>
      </c>
      <c r="D36" s="222">
        <v>18.63</v>
      </c>
      <c r="E36" s="208">
        <v>8596</v>
      </c>
      <c r="F36" s="208" t="s">
        <v>2337</v>
      </c>
      <c r="G36" s="208" t="s">
        <v>2304</v>
      </c>
      <c r="H36" s="47"/>
      <c r="I36" s="47"/>
      <c r="J36" s="47"/>
      <c r="K36" s="47"/>
      <c r="L36" s="47"/>
      <c r="M36" s="47"/>
      <c r="N36" s="47"/>
      <c r="O36" s="47"/>
      <c r="P36" s="47"/>
      <c r="Q36" s="47"/>
      <c r="R36" s="47"/>
      <c r="S36" s="47"/>
      <c r="T36" s="47"/>
      <c r="U36" s="47"/>
      <c r="V36" s="47"/>
      <c r="W36" s="47"/>
      <c r="X36" s="47"/>
      <c r="Y36" s="47"/>
      <c r="Z36" s="208"/>
      <c r="AA36" s="47"/>
      <c r="AB36" s="47"/>
      <c r="AC36" s="47"/>
      <c r="AD36" s="47"/>
      <c r="AE36" s="47"/>
    </row>
    <row r="37" spans="1:31" ht="18" customHeight="1">
      <c r="A37" s="208">
        <v>2020</v>
      </c>
      <c r="B37" s="208" t="s">
        <v>99</v>
      </c>
      <c r="C37" s="208" t="s">
        <v>2311</v>
      </c>
      <c r="D37" s="222">
        <v>17.57</v>
      </c>
      <c r="E37" s="208">
        <v>9262</v>
      </c>
      <c r="F37" s="208" t="s">
        <v>2312</v>
      </c>
      <c r="G37" s="208" t="s">
        <v>2304</v>
      </c>
      <c r="H37" s="47"/>
      <c r="I37" s="47"/>
      <c r="J37" s="47"/>
      <c r="K37" s="47"/>
      <c r="L37" s="47"/>
      <c r="M37" s="47"/>
      <c r="N37" s="47"/>
      <c r="O37" s="47"/>
      <c r="P37" s="47"/>
      <c r="Q37" s="47"/>
      <c r="R37" s="47"/>
      <c r="S37" s="47"/>
      <c r="T37" s="47"/>
      <c r="U37" s="47"/>
      <c r="V37" s="47"/>
      <c r="W37" s="47"/>
      <c r="X37" s="47"/>
      <c r="Y37" s="47"/>
      <c r="Z37" s="208"/>
      <c r="AA37" s="47"/>
      <c r="AB37" s="47"/>
      <c r="AC37" s="47"/>
      <c r="AD37" s="47"/>
      <c r="AE37" s="47"/>
    </row>
    <row r="38" spans="1:31" ht="18" customHeight="1">
      <c r="A38" s="208">
        <v>2020</v>
      </c>
      <c r="B38" s="208" t="s">
        <v>99</v>
      </c>
      <c r="C38" s="208" t="s">
        <v>2315</v>
      </c>
      <c r="D38" s="222">
        <v>13.62</v>
      </c>
      <c r="E38" s="208">
        <v>6214</v>
      </c>
      <c r="F38" s="208" t="s">
        <v>2342</v>
      </c>
      <c r="G38" s="208" t="s">
        <v>2304</v>
      </c>
      <c r="H38" s="47"/>
      <c r="I38" s="47"/>
      <c r="J38" s="47"/>
      <c r="K38" s="47"/>
      <c r="L38" s="47"/>
      <c r="M38" s="47"/>
      <c r="N38" s="47"/>
      <c r="O38" s="47"/>
      <c r="P38" s="47"/>
      <c r="Q38" s="47"/>
      <c r="R38" s="47"/>
      <c r="S38" s="47"/>
      <c r="T38" s="47"/>
      <c r="U38" s="47"/>
      <c r="V38" s="47"/>
      <c r="W38" s="47"/>
      <c r="X38" s="47"/>
      <c r="Y38" s="47"/>
      <c r="Z38" s="208"/>
      <c r="AA38" s="47"/>
      <c r="AB38" s="47"/>
      <c r="AC38" s="47"/>
      <c r="AD38" s="47"/>
      <c r="AE38" s="47"/>
    </row>
    <row r="39" spans="1:31" ht="18" customHeight="1">
      <c r="A39" s="208">
        <v>2020</v>
      </c>
      <c r="B39" s="208" t="s">
        <v>184</v>
      </c>
      <c r="C39" s="208" t="s">
        <v>2302</v>
      </c>
      <c r="D39" s="222">
        <v>39.67</v>
      </c>
      <c r="E39" s="208">
        <v>12150</v>
      </c>
      <c r="F39" s="208" t="s">
        <v>2303</v>
      </c>
      <c r="G39" s="208" t="s">
        <v>2304</v>
      </c>
      <c r="H39" s="47"/>
      <c r="I39" s="47"/>
      <c r="J39" s="47"/>
      <c r="K39" s="47"/>
      <c r="L39" s="47"/>
      <c r="M39" s="47"/>
      <c r="N39" s="47"/>
      <c r="O39" s="47"/>
      <c r="P39" s="47"/>
      <c r="Q39" s="47"/>
      <c r="R39" s="47"/>
      <c r="S39" s="47"/>
      <c r="T39" s="47"/>
      <c r="U39" s="47"/>
      <c r="V39" s="47"/>
      <c r="W39" s="47"/>
      <c r="X39" s="47"/>
      <c r="Y39" s="47"/>
      <c r="Z39" s="208"/>
      <c r="AA39" s="47"/>
      <c r="AB39" s="47"/>
      <c r="AC39" s="47"/>
      <c r="AD39" s="47"/>
      <c r="AE39" s="47"/>
    </row>
    <row r="40" spans="1:31" ht="18" customHeight="1">
      <c r="A40" s="208">
        <v>2020</v>
      </c>
      <c r="B40" s="208" t="s">
        <v>184</v>
      </c>
      <c r="C40" s="208" t="s">
        <v>2307</v>
      </c>
      <c r="D40" s="222">
        <v>13.38</v>
      </c>
      <c r="E40" s="208">
        <v>12260</v>
      </c>
      <c r="F40" s="208" t="s">
        <v>2337</v>
      </c>
      <c r="G40" s="208" t="s">
        <v>2304</v>
      </c>
      <c r="H40" s="47"/>
      <c r="I40" s="47"/>
      <c r="J40" s="47"/>
      <c r="K40" s="47"/>
      <c r="L40" s="47"/>
      <c r="M40" s="47"/>
      <c r="N40" s="47"/>
      <c r="O40" s="47"/>
      <c r="P40" s="47"/>
      <c r="Q40" s="47"/>
      <c r="R40" s="47"/>
      <c r="S40" s="47"/>
      <c r="T40" s="47"/>
      <c r="U40" s="47"/>
      <c r="V40" s="47"/>
      <c r="W40" s="47"/>
      <c r="X40" s="47"/>
      <c r="Y40" s="47"/>
      <c r="Z40" s="208"/>
      <c r="AA40" s="47"/>
      <c r="AB40" s="47"/>
      <c r="AC40" s="47"/>
      <c r="AD40" s="47"/>
      <c r="AE40" s="47"/>
    </row>
    <row r="41" spans="1:31" ht="18" customHeight="1">
      <c r="A41" s="208">
        <v>2020</v>
      </c>
      <c r="B41" s="208" t="s">
        <v>184</v>
      </c>
      <c r="C41" s="208" t="s">
        <v>2311</v>
      </c>
      <c r="D41" s="222">
        <v>14.36</v>
      </c>
      <c r="E41" s="208">
        <v>12640</v>
      </c>
      <c r="F41" s="208" t="s">
        <v>2312</v>
      </c>
      <c r="G41" s="208" t="s">
        <v>2304</v>
      </c>
      <c r="H41" s="47"/>
      <c r="I41" s="47"/>
      <c r="J41" s="47"/>
      <c r="K41" s="47"/>
      <c r="L41" s="47"/>
      <c r="M41" s="47"/>
      <c r="N41" s="47"/>
      <c r="O41" s="47"/>
      <c r="P41" s="47"/>
      <c r="Q41" s="47"/>
      <c r="R41" s="47"/>
      <c r="S41" s="47"/>
      <c r="T41" s="47"/>
      <c r="U41" s="47"/>
      <c r="V41" s="47"/>
      <c r="W41" s="47"/>
      <c r="X41" s="47"/>
      <c r="Y41" s="47"/>
      <c r="Z41" s="208"/>
      <c r="AA41" s="47"/>
      <c r="AB41" s="47"/>
      <c r="AC41" s="47"/>
      <c r="AD41" s="47"/>
      <c r="AE41" s="47"/>
    </row>
    <row r="42" spans="1:31" ht="18" customHeight="1">
      <c r="A42" s="208">
        <v>2020</v>
      </c>
      <c r="B42" s="208" t="s">
        <v>184</v>
      </c>
      <c r="C42" s="208" t="s">
        <v>2315</v>
      </c>
      <c r="D42" s="222">
        <v>21.85</v>
      </c>
      <c r="E42" s="208">
        <v>7558</v>
      </c>
      <c r="F42" s="208" t="s">
        <v>2342</v>
      </c>
      <c r="G42" s="208" t="s">
        <v>2304</v>
      </c>
      <c r="H42" s="47"/>
      <c r="I42" s="47"/>
      <c r="J42" s="47"/>
      <c r="K42" s="47"/>
      <c r="L42" s="47"/>
      <c r="M42" s="47"/>
      <c r="N42" s="47"/>
      <c r="O42" s="47"/>
      <c r="P42" s="47"/>
      <c r="Q42" s="47"/>
      <c r="R42" s="47"/>
      <c r="S42" s="47"/>
      <c r="T42" s="47"/>
      <c r="U42" s="47"/>
      <c r="V42" s="47"/>
      <c r="W42" s="47"/>
      <c r="X42" s="47"/>
      <c r="Y42" s="47"/>
      <c r="Z42" s="208"/>
      <c r="AA42" s="47"/>
      <c r="AB42" s="47"/>
      <c r="AC42" s="47"/>
      <c r="AD42" s="47"/>
      <c r="AE42" s="47"/>
    </row>
    <row r="43" spans="1:31" ht="18" customHeight="1">
      <c r="A43" s="208">
        <v>2019</v>
      </c>
      <c r="B43" s="208" t="s">
        <v>99</v>
      </c>
      <c r="C43" s="208" t="s">
        <v>2302</v>
      </c>
      <c r="D43" s="222">
        <v>35.909999999999997</v>
      </c>
      <c r="E43" s="208">
        <v>8596</v>
      </c>
      <c r="F43" s="208" t="s">
        <v>2303</v>
      </c>
      <c r="G43" s="208" t="s">
        <v>2304</v>
      </c>
      <c r="H43" s="47"/>
      <c r="I43" s="47"/>
      <c r="J43" s="47"/>
      <c r="K43" s="47"/>
      <c r="L43" s="47"/>
      <c r="M43" s="47"/>
      <c r="N43" s="47"/>
      <c r="O43" s="47"/>
      <c r="P43" s="47"/>
      <c r="Q43" s="47"/>
      <c r="R43" s="47"/>
      <c r="S43" s="47"/>
      <c r="T43" s="47"/>
      <c r="U43" s="47"/>
      <c r="V43" s="47"/>
      <c r="W43" s="47"/>
      <c r="X43" s="47"/>
      <c r="Y43" s="47"/>
      <c r="Z43" s="208"/>
      <c r="AA43" s="47"/>
      <c r="AB43" s="47"/>
      <c r="AC43" s="47"/>
      <c r="AD43" s="47"/>
      <c r="AE43" s="47"/>
    </row>
    <row r="44" spans="1:31" ht="18" customHeight="1">
      <c r="A44" s="208">
        <v>2019</v>
      </c>
      <c r="B44" s="208" t="s">
        <v>99</v>
      </c>
      <c r="C44" s="208" t="s">
        <v>2307</v>
      </c>
      <c r="D44" s="222">
        <v>18.89</v>
      </c>
      <c r="E44" s="208">
        <v>8654</v>
      </c>
      <c r="F44" s="208" t="s">
        <v>2337</v>
      </c>
      <c r="G44" s="208" t="s">
        <v>2304</v>
      </c>
      <c r="H44" s="47"/>
      <c r="I44" s="47"/>
      <c r="J44" s="47"/>
      <c r="K44" s="47"/>
      <c r="L44" s="47"/>
      <c r="M44" s="47"/>
      <c r="N44" s="47"/>
      <c r="O44" s="47"/>
      <c r="P44" s="47"/>
      <c r="Q44" s="47"/>
      <c r="R44" s="47"/>
      <c r="S44" s="47"/>
      <c r="T44" s="47"/>
      <c r="U44" s="47"/>
      <c r="V44" s="47"/>
      <c r="W44" s="47"/>
      <c r="X44" s="47"/>
      <c r="Y44" s="47"/>
      <c r="Z44" s="208"/>
      <c r="AA44" s="47"/>
      <c r="AB44" s="47"/>
      <c r="AC44" s="47"/>
      <c r="AD44" s="47"/>
      <c r="AE44" s="47"/>
    </row>
    <row r="45" spans="1:31" ht="18" customHeight="1">
      <c r="A45" s="208">
        <v>2019</v>
      </c>
      <c r="B45" s="208" t="s">
        <v>99</v>
      </c>
      <c r="C45" s="208" t="s">
        <v>2311</v>
      </c>
      <c r="D45" s="222">
        <v>18.47</v>
      </c>
      <c r="E45" s="208">
        <v>9206</v>
      </c>
      <c r="F45" s="208" t="s">
        <v>2312</v>
      </c>
      <c r="G45" s="208" t="s">
        <v>2304</v>
      </c>
      <c r="H45" s="47"/>
      <c r="I45" s="47"/>
      <c r="J45" s="47"/>
      <c r="K45" s="47"/>
      <c r="L45" s="47"/>
      <c r="M45" s="47"/>
      <c r="N45" s="47"/>
      <c r="O45" s="47"/>
      <c r="P45" s="47"/>
      <c r="Q45" s="47"/>
      <c r="R45" s="47"/>
      <c r="S45" s="47"/>
      <c r="T45" s="47"/>
      <c r="U45" s="47"/>
      <c r="V45" s="47"/>
      <c r="W45" s="47"/>
      <c r="X45" s="47"/>
      <c r="Y45" s="47"/>
      <c r="Z45" s="208"/>
      <c r="AA45" s="47"/>
      <c r="AB45" s="47"/>
      <c r="AC45" s="47"/>
      <c r="AD45" s="47"/>
      <c r="AE45" s="47"/>
    </row>
    <row r="46" spans="1:31" ht="18" customHeight="1">
      <c r="A46" s="208">
        <v>2019</v>
      </c>
      <c r="B46" s="208" t="s">
        <v>99</v>
      </c>
      <c r="C46" s="208" t="s">
        <v>2315</v>
      </c>
      <c r="D46" s="222">
        <v>14.36</v>
      </c>
      <c r="E46" s="208">
        <v>6596</v>
      </c>
      <c r="F46" s="208" t="s">
        <v>2342</v>
      </c>
      <c r="G46" s="208" t="s">
        <v>2304</v>
      </c>
      <c r="H46" s="47"/>
      <c r="I46" s="47"/>
      <c r="J46" s="47"/>
      <c r="K46" s="47"/>
      <c r="L46" s="47"/>
      <c r="M46" s="47"/>
      <c r="N46" s="47"/>
      <c r="O46" s="47"/>
      <c r="P46" s="47"/>
      <c r="Q46" s="47"/>
      <c r="R46" s="47"/>
      <c r="S46" s="47"/>
      <c r="T46" s="47"/>
      <c r="U46" s="47"/>
      <c r="V46" s="47"/>
      <c r="W46" s="47"/>
      <c r="X46" s="47"/>
      <c r="Y46" s="47"/>
      <c r="Z46" s="208"/>
      <c r="AA46" s="47"/>
      <c r="AB46" s="47"/>
      <c r="AC46" s="47"/>
      <c r="AD46" s="47"/>
      <c r="AE46" s="47"/>
    </row>
    <row r="47" spans="1:31" ht="18" customHeight="1">
      <c r="A47" s="208">
        <v>2019</v>
      </c>
      <c r="B47" s="208" t="s">
        <v>184</v>
      </c>
      <c r="C47" s="208" t="s">
        <v>2302</v>
      </c>
      <c r="D47" s="222">
        <v>40.840000000000003</v>
      </c>
      <c r="E47" s="208">
        <v>9474</v>
      </c>
      <c r="F47" s="208" t="s">
        <v>2303</v>
      </c>
      <c r="G47" s="208" t="s">
        <v>2304</v>
      </c>
      <c r="H47" s="47"/>
      <c r="I47" s="47"/>
      <c r="J47" s="47"/>
      <c r="K47" s="47"/>
      <c r="L47" s="47"/>
      <c r="M47" s="47"/>
      <c r="N47" s="47"/>
      <c r="O47" s="47"/>
      <c r="P47" s="47"/>
      <c r="Q47" s="47"/>
      <c r="R47" s="47"/>
      <c r="S47" s="47"/>
      <c r="T47" s="47"/>
      <c r="U47" s="47"/>
      <c r="V47" s="47"/>
      <c r="W47" s="47"/>
      <c r="X47" s="47"/>
      <c r="Y47" s="47"/>
      <c r="Z47" s="208"/>
      <c r="AA47" s="47"/>
      <c r="AB47" s="47"/>
      <c r="AC47" s="47"/>
      <c r="AD47" s="47"/>
      <c r="AE47" s="47"/>
    </row>
    <row r="48" spans="1:31" ht="18" customHeight="1">
      <c r="A48" s="208">
        <v>2019</v>
      </c>
      <c r="B48" s="208" t="s">
        <v>184</v>
      </c>
      <c r="C48" s="208" t="s">
        <v>2307</v>
      </c>
      <c r="D48" s="222">
        <v>13.42</v>
      </c>
      <c r="E48" s="208">
        <v>9652</v>
      </c>
      <c r="F48" s="208" t="s">
        <v>2337</v>
      </c>
      <c r="G48" s="208" t="s">
        <v>2304</v>
      </c>
      <c r="H48" s="47"/>
      <c r="I48" s="47"/>
      <c r="J48" s="47"/>
      <c r="K48" s="47"/>
      <c r="L48" s="47"/>
      <c r="M48" s="47"/>
      <c r="N48" s="47"/>
      <c r="O48" s="47"/>
      <c r="P48" s="47"/>
      <c r="Q48" s="47"/>
      <c r="R48" s="47"/>
      <c r="S48" s="47"/>
      <c r="T48" s="47"/>
      <c r="U48" s="47"/>
      <c r="V48" s="47"/>
      <c r="W48" s="47"/>
      <c r="X48" s="47"/>
      <c r="Y48" s="47"/>
      <c r="Z48" s="208"/>
      <c r="AA48" s="47"/>
      <c r="AB48" s="47"/>
      <c r="AC48" s="47"/>
      <c r="AD48" s="47"/>
      <c r="AE48" s="47"/>
    </row>
    <row r="49" spans="1:31" ht="18" customHeight="1">
      <c r="A49" s="208">
        <v>2019</v>
      </c>
      <c r="B49" s="208" t="s">
        <v>184</v>
      </c>
      <c r="C49" s="208" t="s">
        <v>2311</v>
      </c>
      <c r="D49" s="222">
        <v>17.260000000000002</v>
      </c>
      <c r="E49" s="208">
        <v>10038</v>
      </c>
      <c r="F49" s="208" t="s">
        <v>2312</v>
      </c>
      <c r="G49" s="208" t="s">
        <v>2304</v>
      </c>
      <c r="H49" s="47"/>
      <c r="I49" s="47"/>
      <c r="J49" s="47"/>
      <c r="K49" s="47"/>
      <c r="L49" s="47"/>
      <c r="M49" s="47"/>
      <c r="N49" s="47"/>
      <c r="O49" s="47"/>
      <c r="P49" s="47"/>
      <c r="Q49" s="47"/>
      <c r="R49" s="47"/>
      <c r="S49" s="47"/>
      <c r="T49" s="47"/>
      <c r="U49" s="47"/>
      <c r="V49" s="47"/>
      <c r="W49" s="47"/>
      <c r="X49" s="47"/>
      <c r="Y49" s="47"/>
      <c r="Z49" s="208"/>
      <c r="AA49" s="47"/>
      <c r="AB49" s="47"/>
      <c r="AC49" s="47"/>
      <c r="AD49" s="47"/>
      <c r="AE49" s="47"/>
    </row>
    <row r="50" spans="1:31" ht="18" customHeight="1">
      <c r="A50" s="208">
        <v>2019</v>
      </c>
      <c r="B50" s="208" t="s">
        <v>184</v>
      </c>
      <c r="C50" s="208" t="s">
        <v>2315</v>
      </c>
      <c r="D50" s="222">
        <v>22.1</v>
      </c>
      <c r="E50" s="208">
        <v>6480</v>
      </c>
      <c r="F50" s="208" t="s">
        <v>2342</v>
      </c>
      <c r="G50" s="208" t="s">
        <v>2304</v>
      </c>
      <c r="H50" s="47"/>
      <c r="I50" s="47"/>
      <c r="J50" s="47"/>
      <c r="K50" s="47"/>
      <c r="L50" s="47"/>
      <c r="M50" s="47"/>
      <c r="N50" s="47"/>
      <c r="O50" s="47"/>
      <c r="P50" s="47"/>
      <c r="Q50" s="47"/>
      <c r="R50" s="47"/>
      <c r="S50" s="47"/>
      <c r="T50" s="47"/>
      <c r="U50" s="47"/>
      <c r="V50" s="47"/>
      <c r="W50" s="47"/>
      <c r="X50" s="47"/>
      <c r="Y50" s="47"/>
      <c r="Z50" s="208"/>
      <c r="AA50" s="47"/>
      <c r="AB50" s="47"/>
      <c r="AC50" s="47"/>
      <c r="AD50" s="47"/>
      <c r="AE50" s="47"/>
    </row>
    <row r="51" spans="1:31" ht="18" customHeight="1">
      <c r="A51" s="208">
        <v>2018</v>
      </c>
      <c r="B51" s="208" t="s">
        <v>99</v>
      </c>
      <c r="C51" s="208" t="s">
        <v>2302</v>
      </c>
      <c r="D51" s="222">
        <v>36.76</v>
      </c>
      <c r="E51" s="208">
        <v>9440</v>
      </c>
      <c r="F51" s="208" t="s">
        <v>2303</v>
      </c>
      <c r="G51" s="208" t="s">
        <v>2304</v>
      </c>
      <c r="H51" s="47"/>
      <c r="I51" s="47"/>
      <c r="J51" s="47"/>
      <c r="K51" s="47"/>
      <c r="L51" s="47"/>
      <c r="M51" s="47"/>
      <c r="N51" s="47"/>
      <c r="O51" s="47"/>
      <c r="P51" s="47"/>
      <c r="Q51" s="47"/>
      <c r="R51" s="47"/>
      <c r="S51" s="47"/>
      <c r="T51" s="47"/>
      <c r="U51" s="47"/>
      <c r="V51" s="47"/>
      <c r="W51" s="47"/>
      <c r="X51" s="47"/>
      <c r="Y51" s="47"/>
      <c r="Z51" s="208"/>
      <c r="AA51" s="47"/>
      <c r="AB51" s="47"/>
      <c r="AC51" s="47"/>
      <c r="AD51" s="47"/>
      <c r="AE51" s="47"/>
    </row>
    <row r="52" spans="1:31" ht="18" customHeight="1">
      <c r="A52" s="208">
        <v>2018</v>
      </c>
      <c r="B52" s="208" t="s">
        <v>99</v>
      </c>
      <c r="C52" s="208" t="s">
        <v>2307</v>
      </c>
      <c r="D52" s="222">
        <v>17.14</v>
      </c>
      <c r="E52" s="208">
        <v>9456</v>
      </c>
      <c r="F52" s="208" t="s">
        <v>2337</v>
      </c>
      <c r="G52" s="208" t="s">
        <v>2304</v>
      </c>
      <c r="H52" s="47"/>
      <c r="I52" s="47"/>
      <c r="J52" s="47"/>
      <c r="K52" s="47"/>
      <c r="L52" s="47"/>
      <c r="M52" s="47"/>
      <c r="N52" s="47"/>
      <c r="O52" s="47"/>
      <c r="P52" s="47"/>
      <c r="Q52" s="47"/>
      <c r="R52" s="47"/>
      <c r="S52" s="47"/>
      <c r="T52" s="47"/>
      <c r="U52" s="47"/>
      <c r="V52" s="47"/>
      <c r="W52" s="47"/>
      <c r="X52" s="47"/>
      <c r="Y52" s="47"/>
      <c r="Z52" s="208"/>
      <c r="AA52" s="47"/>
      <c r="AB52" s="47"/>
      <c r="AC52" s="47"/>
      <c r="AD52" s="47"/>
      <c r="AE52" s="47"/>
    </row>
    <row r="53" spans="1:31" ht="18" customHeight="1">
      <c r="A53" s="208">
        <v>2018</v>
      </c>
      <c r="B53" s="208" t="s">
        <v>99</v>
      </c>
      <c r="C53" s="208" t="s">
        <v>2311</v>
      </c>
      <c r="D53" s="222">
        <v>15.73</v>
      </c>
      <c r="E53" s="208">
        <v>10054</v>
      </c>
      <c r="F53" s="208" t="s">
        <v>2312</v>
      </c>
      <c r="G53" s="208" t="s">
        <v>2304</v>
      </c>
      <c r="H53" s="47"/>
      <c r="I53" s="47"/>
      <c r="J53" s="47"/>
      <c r="K53" s="47"/>
      <c r="L53" s="47"/>
      <c r="M53" s="47"/>
      <c r="N53" s="47"/>
      <c r="O53" s="47"/>
      <c r="P53" s="47"/>
      <c r="Q53" s="47"/>
      <c r="R53" s="47"/>
      <c r="S53" s="47"/>
      <c r="T53" s="47"/>
      <c r="U53" s="47"/>
      <c r="V53" s="47"/>
      <c r="W53" s="47"/>
      <c r="X53" s="47"/>
      <c r="Y53" s="47"/>
      <c r="Z53" s="208"/>
      <c r="AA53" s="47"/>
      <c r="AB53" s="47"/>
      <c r="AC53" s="47"/>
      <c r="AD53" s="47"/>
      <c r="AE53" s="47"/>
    </row>
    <row r="54" spans="1:31" ht="18" customHeight="1">
      <c r="A54" s="208">
        <v>2018</v>
      </c>
      <c r="B54" s="208" t="s">
        <v>99</v>
      </c>
      <c r="C54" s="208" t="s">
        <v>2315</v>
      </c>
      <c r="D54" s="222">
        <v>11.61</v>
      </c>
      <c r="E54" s="208">
        <v>7270</v>
      </c>
      <c r="F54" s="208" t="s">
        <v>2342</v>
      </c>
      <c r="G54" s="208" t="s">
        <v>2304</v>
      </c>
      <c r="H54" s="47"/>
      <c r="I54" s="47"/>
      <c r="J54" s="47"/>
      <c r="K54" s="47"/>
      <c r="L54" s="47"/>
      <c r="M54" s="47"/>
      <c r="N54" s="47"/>
      <c r="O54" s="47"/>
      <c r="P54" s="47"/>
      <c r="Q54" s="47"/>
      <c r="R54" s="47"/>
      <c r="S54" s="47"/>
      <c r="T54" s="47"/>
      <c r="U54" s="47"/>
      <c r="V54" s="47"/>
      <c r="W54" s="47"/>
      <c r="X54" s="47"/>
      <c r="Y54" s="47"/>
      <c r="Z54" s="208"/>
      <c r="AA54" s="47"/>
      <c r="AB54" s="47"/>
      <c r="AC54" s="47"/>
      <c r="AD54" s="47"/>
      <c r="AE54" s="47"/>
    </row>
    <row r="55" spans="1:31" ht="18" customHeight="1">
      <c r="A55" s="208">
        <v>2018</v>
      </c>
      <c r="B55" s="208" t="s">
        <v>184</v>
      </c>
      <c r="C55" s="208" t="s">
        <v>2302</v>
      </c>
      <c r="D55" s="222">
        <v>39.47</v>
      </c>
      <c r="E55" s="208">
        <v>10954</v>
      </c>
      <c r="F55" s="208" t="s">
        <v>2303</v>
      </c>
      <c r="G55" s="208" t="s">
        <v>2304</v>
      </c>
      <c r="H55" s="47"/>
      <c r="I55" s="47"/>
      <c r="J55" s="47"/>
      <c r="K55" s="47"/>
      <c r="L55" s="47"/>
      <c r="M55" s="47"/>
      <c r="N55" s="47"/>
      <c r="O55" s="47"/>
      <c r="P55" s="47"/>
      <c r="Q55" s="47"/>
      <c r="R55" s="47"/>
      <c r="S55" s="47"/>
      <c r="T55" s="47"/>
      <c r="U55" s="47"/>
      <c r="V55" s="47"/>
      <c r="W55" s="47"/>
      <c r="X55" s="47"/>
      <c r="Y55" s="47"/>
      <c r="Z55" s="208"/>
      <c r="AA55" s="47"/>
      <c r="AB55" s="47"/>
      <c r="AC55" s="47"/>
      <c r="AD55" s="47"/>
      <c r="AE55" s="47"/>
    </row>
    <row r="56" spans="1:31" ht="18" customHeight="1">
      <c r="A56" s="208">
        <v>2018</v>
      </c>
      <c r="B56" s="208" t="s">
        <v>184</v>
      </c>
      <c r="C56" s="208" t="s">
        <v>2307</v>
      </c>
      <c r="D56" s="222">
        <v>12.73</v>
      </c>
      <c r="E56" s="208">
        <v>11036</v>
      </c>
      <c r="F56" s="208" t="s">
        <v>2337</v>
      </c>
      <c r="G56" s="208" t="s">
        <v>2304</v>
      </c>
      <c r="H56" s="47"/>
      <c r="I56" s="47"/>
      <c r="J56" s="47"/>
      <c r="K56" s="47"/>
      <c r="L56" s="47"/>
      <c r="M56" s="47"/>
      <c r="N56" s="47"/>
      <c r="O56" s="47"/>
      <c r="P56" s="47"/>
      <c r="Q56" s="47"/>
      <c r="R56" s="47"/>
      <c r="S56" s="47"/>
      <c r="T56" s="47"/>
      <c r="U56" s="47"/>
      <c r="V56" s="47"/>
      <c r="W56" s="47"/>
      <c r="X56" s="47"/>
      <c r="Y56" s="47"/>
      <c r="Z56" s="208"/>
      <c r="AA56" s="47"/>
      <c r="AB56" s="47"/>
      <c r="AC56" s="47"/>
      <c r="AD56" s="47"/>
      <c r="AE56" s="47"/>
    </row>
    <row r="57" spans="1:31" ht="18" customHeight="1">
      <c r="A57" s="208">
        <v>2018</v>
      </c>
      <c r="B57" s="208" t="s">
        <v>184</v>
      </c>
      <c r="C57" s="208" t="s">
        <v>2311</v>
      </c>
      <c r="D57" s="222">
        <v>15.49</v>
      </c>
      <c r="E57" s="208">
        <v>11450</v>
      </c>
      <c r="F57" s="208" t="s">
        <v>2312</v>
      </c>
      <c r="G57" s="208" t="s">
        <v>2304</v>
      </c>
      <c r="H57" s="47"/>
      <c r="I57" s="47"/>
      <c r="J57" s="47"/>
      <c r="K57" s="47"/>
      <c r="L57" s="47"/>
      <c r="M57" s="47"/>
      <c r="N57" s="47"/>
      <c r="O57" s="47"/>
      <c r="P57" s="47"/>
      <c r="Q57" s="47"/>
      <c r="R57" s="47"/>
      <c r="S57" s="47"/>
      <c r="T57" s="47"/>
      <c r="U57" s="47"/>
      <c r="V57" s="47"/>
      <c r="W57" s="47"/>
      <c r="X57" s="47"/>
      <c r="Y57" s="47"/>
      <c r="Z57" s="208"/>
      <c r="AA57" s="47"/>
      <c r="AB57" s="47"/>
      <c r="AC57" s="47"/>
      <c r="AD57" s="47"/>
      <c r="AE57" s="47"/>
    </row>
    <row r="58" spans="1:31" ht="18" customHeight="1">
      <c r="A58" s="208">
        <v>2018</v>
      </c>
      <c r="B58" s="208" t="s">
        <v>184</v>
      </c>
      <c r="C58" s="208" t="s">
        <v>2315</v>
      </c>
      <c r="D58" s="222">
        <v>20.309999999999999</v>
      </c>
      <c r="E58" s="208">
        <v>7718</v>
      </c>
      <c r="F58" s="208" t="s">
        <v>2342</v>
      </c>
      <c r="G58" s="208" t="s">
        <v>2304</v>
      </c>
      <c r="H58" s="47"/>
      <c r="I58" s="47"/>
      <c r="J58" s="47"/>
      <c r="K58" s="47"/>
      <c r="L58" s="47"/>
      <c r="M58" s="47"/>
      <c r="N58" s="47"/>
      <c r="O58" s="47"/>
      <c r="P58" s="47"/>
      <c r="Q58" s="47"/>
      <c r="R58" s="47"/>
      <c r="S58" s="47"/>
      <c r="T58" s="47"/>
      <c r="U58" s="47"/>
      <c r="V58" s="47"/>
      <c r="W58" s="47"/>
      <c r="X58" s="47"/>
      <c r="Y58" s="47"/>
      <c r="Z58" s="208"/>
      <c r="AA58" s="47"/>
      <c r="AB58" s="47"/>
      <c r="AC58" s="47"/>
      <c r="AD58" s="47"/>
      <c r="AE58" s="47"/>
    </row>
    <row r="59" spans="1:31" ht="18" customHeight="1">
      <c r="A59" s="208">
        <v>2017</v>
      </c>
      <c r="B59" s="208" t="s">
        <v>99</v>
      </c>
      <c r="C59" s="208" t="s">
        <v>2302</v>
      </c>
      <c r="D59" s="222">
        <v>36.22</v>
      </c>
      <c r="E59" s="208">
        <v>8878</v>
      </c>
      <c r="F59" s="208" t="s">
        <v>2303</v>
      </c>
      <c r="G59" s="208" t="s">
        <v>2304</v>
      </c>
      <c r="H59" s="47"/>
      <c r="I59" s="47"/>
      <c r="J59" s="47"/>
      <c r="K59" s="47"/>
      <c r="L59" s="47"/>
      <c r="M59" s="47"/>
      <c r="N59" s="47"/>
      <c r="O59" s="47"/>
      <c r="P59" s="47"/>
      <c r="Q59" s="47"/>
      <c r="R59" s="47"/>
      <c r="S59" s="47"/>
      <c r="T59" s="47"/>
      <c r="U59" s="47"/>
      <c r="V59" s="47"/>
      <c r="W59" s="47"/>
      <c r="X59" s="47"/>
      <c r="Y59" s="47"/>
      <c r="Z59" s="208"/>
      <c r="AA59" s="47"/>
      <c r="AB59" s="47"/>
      <c r="AC59" s="47"/>
      <c r="AD59" s="47"/>
      <c r="AE59" s="47"/>
    </row>
    <row r="60" spans="1:31" ht="18" customHeight="1">
      <c r="A60" s="208">
        <v>2017</v>
      </c>
      <c r="B60" s="208" t="s">
        <v>99</v>
      </c>
      <c r="C60" s="208" t="s">
        <v>2307</v>
      </c>
      <c r="D60" s="222">
        <v>18.11</v>
      </c>
      <c r="E60" s="208">
        <v>8774</v>
      </c>
      <c r="F60" s="208" t="s">
        <v>2337</v>
      </c>
      <c r="G60" s="208" t="s">
        <v>2304</v>
      </c>
      <c r="H60" s="47"/>
      <c r="I60" s="47"/>
      <c r="J60" s="47"/>
      <c r="K60" s="47"/>
      <c r="L60" s="47"/>
      <c r="M60" s="47"/>
      <c r="N60" s="47"/>
      <c r="O60" s="47"/>
      <c r="P60" s="47"/>
      <c r="Q60" s="47"/>
      <c r="R60" s="47"/>
      <c r="S60" s="47"/>
      <c r="T60" s="47"/>
      <c r="U60" s="47"/>
      <c r="V60" s="47"/>
      <c r="W60" s="47"/>
      <c r="X60" s="47"/>
      <c r="Y60" s="47"/>
      <c r="Z60" s="208"/>
      <c r="AA60" s="47"/>
      <c r="AB60" s="47"/>
      <c r="AC60" s="47"/>
      <c r="AD60" s="47"/>
      <c r="AE60" s="47"/>
    </row>
    <row r="61" spans="1:31" ht="18" customHeight="1">
      <c r="A61" s="208">
        <v>2017</v>
      </c>
      <c r="B61" s="208" t="s">
        <v>99</v>
      </c>
      <c r="C61" s="208" t="s">
        <v>2311</v>
      </c>
      <c r="D61" s="222">
        <v>16.149999999999999</v>
      </c>
      <c r="E61" s="208">
        <v>9430</v>
      </c>
      <c r="F61" s="208" t="s">
        <v>2312</v>
      </c>
      <c r="G61" s="208" t="s">
        <v>2304</v>
      </c>
      <c r="H61" s="47"/>
      <c r="I61" s="47"/>
      <c r="J61" s="47"/>
      <c r="K61" s="47"/>
      <c r="L61" s="47"/>
      <c r="M61" s="47"/>
      <c r="N61" s="47"/>
      <c r="O61" s="47"/>
      <c r="P61" s="47"/>
      <c r="Q61" s="47"/>
      <c r="R61" s="47"/>
      <c r="S61" s="47"/>
      <c r="T61" s="47"/>
      <c r="U61" s="47"/>
      <c r="V61" s="47"/>
      <c r="W61" s="47"/>
      <c r="X61" s="47"/>
      <c r="Y61" s="47"/>
      <c r="Z61" s="208"/>
      <c r="AA61" s="47"/>
      <c r="AB61" s="47"/>
      <c r="AC61" s="47"/>
      <c r="AD61" s="47"/>
      <c r="AE61" s="47"/>
    </row>
    <row r="62" spans="1:31" ht="18" customHeight="1">
      <c r="A62" s="208">
        <v>2017</v>
      </c>
      <c r="B62" s="208" t="s">
        <v>99</v>
      </c>
      <c r="C62" s="208" t="s">
        <v>2315</v>
      </c>
      <c r="D62" s="222">
        <v>12.76</v>
      </c>
      <c r="E62" s="208">
        <v>6638</v>
      </c>
      <c r="F62" s="208" t="s">
        <v>2342</v>
      </c>
      <c r="G62" s="208" t="s">
        <v>2304</v>
      </c>
      <c r="H62" s="47"/>
      <c r="I62" s="47"/>
      <c r="J62" s="47"/>
      <c r="K62" s="47"/>
      <c r="L62" s="47"/>
      <c r="M62" s="47"/>
      <c r="N62" s="47"/>
      <c r="O62" s="47"/>
      <c r="P62" s="47"/>
      <c r="Q62" s="47"/>
      <c r="R62" s="47"/>
      <c r="S62" s="47"/>
      <c r="T62" s="47"/>
      <c r="U62" s="47"/>
      <c r="V62" s="47"/>
      <c r="W62" s="47"/>
      <c r="X62" s="47"/>
      <c r="Y62" s="47"/>
      <c r="Z62" s="208"/>
      <c r="AA62" s="47"/>
      <c r="AB62" s="47"/>
      <c r="AC62" s="47"/>
      <c r="AD62" s="47"/>
      <c r="AE62" s="47"/>
    </row>
    <row r="63" spans="1:31" ht="18" customHeight="1">
      <c r="A63" s="208">
        <v>2017</v>
      </c>
      <c r="B63" s="208" t="s">
        <v>184</v>
      </c>
      <c r="C63" s="208" t="s">
        <v>2302</v>
      </c>
      <c r="D63" s="222">
        <v>37.270000000000003</v>
      </c>
      <c r="E63" s="208">
        <v>9500</v>
      </c>
      <c r="F63" s="208" t="s">
        <v>2303</v>
      </c>
      <c r="G63" s="208" t="s">
        <v>2304</v>
      </c>
      <c r="H63" s="47"/>
      <c r="I63" s="47"/>
      <c r="J63" s="47"/>
      <c r="K63" s="47"/>
      <c r="L63" s="47"/>
      <c r="M63" s="47"/>
      <c r="N63" s="47"/>
      <c r="O63" s="47"/>
      <c r="P63" s="47"/>
      <c r="Q63" s="47"/>
      <c r="R63" s="47"/>
      <c r="S63" s="47"/>
      <c r="T63" s="47"/>
      <c r="U63" s="47"/>
      <c r="V63" s="47"/>
      <c r="W63" s="47"/>
      <c r="X63" s="47"/>
      <c r="Y63" s="47"/>
      <c r="Z63" s="208"/>
      <c r="AA63" s="47"/>
      <c r="AB63" s="47"/>
      <c r="AC63" s="47"/>
      <c r="AD63" s="47"/>
      <c r="AE63" s="47"/>
    </row>
    <row r="64" spans="1:31" ht="18" customHeight="1">
      <c r="A64" s="208">
        <v>2017</v>
      </c>
      <c r="B64" s="208" t="s">
        <v>184</v>
      </c>
      <c r="C64" s="208" t="s">
        <v>2307</v>
      </c>
      <c r="D64" s="222">
        <v>12.62</v>
      </c>
      <c r="E64" s="208">
        <v>9368</v>
      </c>
      <c r="F64" s="208" t="s">
        <v>2337</v>
      </c>
      <c r="G64" s="208" t="s">
        <v>2304</v>
      </c>
      <c r="H64" s="47"/>
      <c r="I64" s="47"/>
      <c r="J64" s="47"/>
      <c r="K64" s="47"/>
      <c r="L64" s="47"/>
      <c r="M64" s="47"/>
      <c r="N64" s="47"/>
      <c r="O64" s="47"/>
      <c r="P64" s="47"/>
      <c r="Q64" s="47"/>
      <c r="R64" s="47"/>
      <c r="S64" s="47"/>
      <c r="T64" s="47"/>
      <c r="U64" s="47"/>
      <c r="V64" s="47"/>
      <c r="W64" s="47"/>
      <c r="X64" s="47"/>
      <c r="Y64" s="47"/>
      <c r="Z64" s="208"/>
      <c r="AA64" s="47"/>
      <c r="AB64" s="47"/>
      <c r="AC64" s="47"/>
      <c r="AD64" s="47"/>
      <c r="AE64" s="47"/>
    </row>
    <row r="65" spans="1:31" ht="18" customHeight="1">
      <c r="A65" s="208">
        <v>2017</v>
      </c>
      <c r="B65" s="208" t="s">
        <v>184</v>
      </c>
      <c r="C65" s="208" t="s">
        <v>2311</v>
      </c>
      <c r="D65" s="222">
        <v>15.87</v>
      </c>
      <c r="E65" s="208">
        <v>9888</v>
      </c>
      <c r="F65" s="208" t="s">
        <v>2312</v>
      </c>
      <c r="G65" s="208" t="s">
        <v>2304</v>
      </c>
      <c r="H65" s="47"/>
      <c r="I65" s="47"/>
      <c r="J65" s="47"/>
      <c r="K65" s="47"/>
      <c r="L65" s="47"/>
      <c r="M65" s="47"/>
      <c r="N65" s="47"/>
      <c r="O65" s="47"/>
      <c r="P65" s="47"/>
      <c r="Q65" s="47"/>
      <c r="R65" s="47"/>
      <c r="S65" s="47"/>
      <c r="T65" s="47"/>
      <c r="U65" s="47"/>
      <c r="V65" s="47"/>
      <c r="W65" s="47"/>
      <c r="X65" s="47"/>
      <c r="Y65" s="47"/>
      <c r="Z65" s="208"/>
      <c r="AA65" s="47"/>
      <c r="AB65" s="47"/>
      <c r="AC65" s="47"/>
      <c r="AD65" s="47"/>
      <c r="AE65" s="47"/>
    </row>
    <row r="66" spans="1:31" ht="18" customHeight="1">
      <c r="A66" s="208">
        <v>2017</v>
      </c>
      <c r="B66" s="208" t="s">
        <v>184</v>
      </c>
      <c r="C66" s="208" t="s">
        <v>2315</v>
      </c>
      <c r="D66" s="222">
        <v>21.09</v>
      </c>
      <c r="E66" s="208">
        <v>6050</v>
      </c>
      <c r="F66" s="208" t="s">
        <v>2342</v>
      </c>
      <c r="G66" s="208" t="s">
        <v>2304</v>
      </c>
      <c r="H66" s="47"/>
      <c r="I66" s="47"/>
      <c r="J66" s="47"/>
      <c r="K66" s="47"/>
      <c r="L66" s="47"/>
      <c r="M66" s="47"/>
      <c r="N66" s="47"/>
      <c r="O66" s="47"/>
      <c r="P66" s="47"/>
      <c r="Q66" s="47"/>
      <c r="R66" s="47"/>
      <c r="S66" s="47"/>
      <c r="T66" s="47"/>
      <c r="U66" s="47"/>
      <c r="V66" s="47"/>
      <c r="W66" s="47"/>
      <c r="X66" s="47"/>
      <c r="Y66" s="47"/>
      <c r="Z66" s="208"/>
      <c r="AA66" s="47"/>
      <c r="AB66" s="47"/>
      <c r="AC66" s="47"/>
      <c r="AD66" s="47"/>
      <c r="AE66" s="47"/>
    </row>
    <row r="67" spans="1:31" ht="18" customHeight="1">
      <c r="A67" s="208">
        <v>2016</v>
      </c>
      <c r="B67" s="208" t="s">
        <v>99</v>
      </c>
      <c r="C67" s="208" t="s">
        <v>2302</v>
      </c>
      <c r="D67" s="222">
        <v>35.53</v>
      </c>
      <c r="E67" s="208">
        <v>9736</v>
      </c>
      <c r="F67" s="208" t="s">
        <v>2303</v>
      </c>
      <c r="G67" s="208" t="s">
        <v>2304</v>
      </c>
      <c r="H67" s="47"/>
      <c r="I67" s="47"/>
      <c r="J67" s="47"/>
      <c r="K67" s="47"/>
      <c r="L67" s="47"/>
      <c r="M67" s="47"/>
      <c r="N67" s="47"/>
      <c r="O67" s="47"/>
      <c r="P67" s="47"/>
      <c r="Q67" s="47"/>
      <c r="R67" s="47"/>
      <c r="S67" s="47"/>
      <c r="T67" s="47"/>
      <c r="U67" s="47"/>
      <c r="V67" s="47"/>
      <c r="W67" s="47"/>
      <c r="X67" s="47"/>
      <c r="Y67" s="47"/>
      <c r="Z67" s="208"/>
      <c r="AA67" s="47"/>
      <c r="AB67" s="47"/>
      <c r="AC67" s="47"/>
      <c r="AD67" s="47"/>
      <c r="AE67" s="47"/>
    </row>
    <row r="68" spans="1:31" ht="18" customHeight="1">
      <c r="A68" s="208">
        <v>2016</v>
      </c>
      <c r="B68" s="208" t="s">
        <v>99</v>
      </c>
      <c r="C68" s="208" t="s">
        <v>2307</v>
      </c>
      <c r="D68" s="222">
        <v>16.86</v>
      </c>
      <c r="E68" s="208">
        <v>9840</v>
      </c>
      <c r="F68" s="208" t="s">
        <v>2337</v>
      </c>
      <c r="G68" s="208" t="s">
        <v>2304</v>
      </c>
      <c r="H68" s="47"/>
      <c r="I68" s="47"/>
      <c r="J68" s="47"/>
      <c r="K68" s="47"/>
      <c r="L68" s="47"/>
      <c r="M68" s="47"/>
      <c r="N68" s="47"/>
      <c r="O68" s="47"/>
      <c r="P68" s="47"/>
      <c r="Q68" s="47"/>
      <c r="R68" s="47"/>
      <c r="S68" s="47"/>
      <c r="T68" s="47"/>
      <c r="U68" s="47"/>
      <c r="V68" s="47"/>
      <c r="W68" s="47"/>
      <c r="X68" s="47"/>
      <c r="Y68" s="47"/>
      <c r="Z68" s="208"/>
      <c r="AA68" s="47"/>
      <c r="AB68" s="47"/>
      <c r="AC68" s="47"/>
      <c r="AD68" s="47"/>
      <c r="AE68" s="47"/>
    </row>
    <row r="69" spans="1:31" ht="18" customHeight="1">
      <c r="A69" s="208">
        <v>2016</v>
      </c>
      <c r="B69" s="208" t="s">
        <v>99</v>
      </c>
      <c r="C69" s="208" t="s">
        <v>2311</v>
      </c>
      <c r="D69" s="222">
        <v>13.06</v>
      </c>
      <c r="E69" s="208">
        <v>10318</v>
      </c>
      <c r="F69" s="208" t="s">
        <v>2312</v>
      </c>
      <c r="G69" s="208" t="s">
        <v>2304</v>
      </c>
      <c r="H69" s="47"/>
      <c r="I69" s="47"/>
      <c r="J69" s="47"/>
      <c r="K69" s="47"/>
      <c r="L69" s="47"/>
      <c r="M69" s="47"/>
      <c r="N69" s="47"/>
      <c r="O69" s="47"/>
      <c r="P69" s="47"/>
      <c r="Q69" s="47"/>
      <c r="R69" s="47"/>
      <c r="S69" s="47"/>
      <c r="T69" s="47"/>
      <c r="U69" s="47"/>
      <c r="V69" s="47"/>
      <c r="W69" s="47"/>
      <c r="X69" s="47"/>
      <c r="Y69" s="47"/>
      <c r="Z69" s="208"/>
      <c r="AA69" s="47"/>
      <c r="AB69" s="47"/>
      <c r="AC69" s="47"/>
      <c r="AD69" s="47"/>
      <c r="AE69" s="47"/>
    </row>
    <row r="70" spans="1:31" ht="18" customHeight="1">
      <c r="A70" s="208">
        <v>2016</v>
      </c>
      <c r="B70" s="208" t="s">
        <v>99</v>
      </c>
      <c r="C70" s="208" t="s">
        <v>2315</v>
      </c>
      <c r="D70" s="222">
        <v>16.739999999999998</v>
      </c>
      <c r="E70" s="208">
        <v>6208</v>
      </c>
      <c r="F70" s="208" t="s">
        <v>2342</v>
      </c>
      <c r="G70" s="208" t="s">
        <v>2304</v>
      </c>
      <c r="H70" s="47"/>
      <c r="I70" s="47"/>
      <c r="J70" s="47"/>
      <c r="K70" s="47"/>
      <c r="L70" s="47"/>
      <c r="M70" s="47"/>
      <c r="N70" s="47"/>
      <c r="O70" s="47"/>
      <c r="P70" s="47"/>
      <c r="Q70" s="47"/>
      <c r="R70" s="47"/>
      <c r="S70" s="47"/>
      <c r="T70" s="47"/>
      <c r="U70" s="47"/>
      <c r="V70" s="47"/>
      <c r="W70" s="47"/>
      <c r="X70" s="47"/>
      <c r="Y70" s="47"/>
      <c r="Z70" s="208"/>
      <c r="AA70" s="47"/>
      <c r="AB70" s="47"/>
      <c r="AC70" s="47"/>
      <c r="AD70" s="47"/>
      <c r="AE70" s="47"/>
    </row>
    <row r="71" spans="1:31" ht="18" customHeight="1">
      <c r="A71" s="208">
        <v>2016</v>
      </c>
      <c r="B71" s="208" t="s">
        <v>184</v>
      </c>
      <c r="C71" s="208" t="s">
        <v>2302</v>
      </c>
      <c r="D71" s="222">
        <v>37.26</v>
      </c>
      <c r="E71" s="208">
        <v>9642</v>
      </c>
      <c r="F71" s="208" t="s">
        <v>2303</v>
      </c>
      <c r="G71" s="208" t="s">
        <v>2304</v>
      </c>
      <c r="H71" s="47"/>
      <c r="I71" s="47"/>
      <c r="J71" s="47"/>
      <c r="K71" s="47"/>
      <c r="L71" s="47"/>
      <c r="M71" s="47"/>
      <c r="N71" s="47"/>
      <c r="O71" s="47"/>
      <c r="P71" s="47"/>
      <c r="Q71" s="47"/>
      <c r="R71" s="47"/>
      <c r="S71" s="47"/>
      <c r="T71" s="47"/>
      <c r="U71" s="47"/>
      <c r="V71" s="47"/>
      <c r="W71" s="47"/>
      <c r="X71" s="47"/>
      <c r="Y71" s="47"/>
      <c r="Z71" s="208"/>
      <c r="AA71" s="47"/>
      <c r="AB71" s="47"/>
      <c r="AC71" s="47"/>
      <c r="AD71" s="47"/>
      <c r="AE71" s="47"/>
    </row>
    <row r="72" spans="1:31" ht="18" customHeight="1">
      <c r="A72" s="208">
        <v>2016</v>
      </c>
      <c r="B72" s="208" t="s">
        <v>184</v>
      </c>
      <c r="C72" s="208" t="s">
        <v>2307</v>
      </c>
      <c r="D72" s="222">
        <v>12.29</v>
      </c>
      <c r="E72" s="208">
        <v>9652</v>
      </c>
      <c r="F72" s="208" t="s">
        <v>2337</v>
      </c>
      <c r="G72" s="208" t="s">
        <v>2304</v>
      </c>
      <c r="H72" s="47"/>
      <c r="I72" s="47"/>
      <c r="J72" s="47"/>
      <c r="K72" s="47"/>
      <c r="L72" s="47"/>
      <c r="M72" s="47"/>
      <c r="N72" s="47"/>
      <c r="O72" s="47"/>
      <c r="P72" s="47"/>
      <c r="Q72" s="47"/>
      <c r="R72" s="47"/>
      <c r="S72" s="47"/>
      <c r="T72" s="47"/>
      <c r="U72" s="47"/>
      <c r="V72" s="47"/>
      <c r="W72" s="47"/>
      <c r="X72" s="47"/>
      <c r="Y72" s="47"/>
      <c r="Z72" s="208"/>
      <c r="AA72" s="47"/>
      <c r="AB72" s="47"/>
      <c r="AC72" s="47"/>
      <c r="AD72" s="47"/>
      <c r="AE72" s="47"/>
    </row>
    <row r="73" spans="1:31" ht="18" customHeight="1">
      <c r="A73" s="208">
        <v>2016</v>
      </c>
      <c r="B73" s="208" t="s">
        <v>184</v>
      </c>
      <c r="C73" s="208" t="s">
        <v>2311</v>
      </c>
      <c r="D73" s="222">
        <v>14.11</v>
      </c>
      <c r="E73" s="208">
        <v>9944</v>
      </c>
      <c r="F73" s="208" t="s">
        <v>2312</v>
      </c>
      <c r="G73" s="208" t="s">
        <v>2304</v>
      </c>
      <c r="H73" s="47"/>
      <c r="I73" s="47"/>
      <c r="J73" s="47"/>
      <c r="K73" s="47"/>
      <c r="L73" s="47"/>
      <c r="M73" s="47"/>
      <c r="N73" s="47"/>
      <c r="O73" s="47"/>
      <c r="P73" s="47"/>
      <c r="Q73" s="47"/>
      <c r="R73" s="47"/>
      <c r="S73" s="47"/>
      <c r="T73" s="47"/>
      <c r="U73" s="47"/>
      <c r="V73" s="47"/>
      <c r="W73" s="47"/>
      <c r="X73" s="47"/>
      <c r="Y73" s="47"/>
      <c r="Z73" s="208"/>
      <c r="AA73" s="47"/>
      <c r="AB73" s="47"/>
      <c r="AC73" s="47"/>
      <c r="AD73" s="47"/>
      <c r="AE73" s="47"/>
    </row>
    <row r="74" spans="1:31" ht="18" customHeight="1">
      <c r="A74" s="208">
        <v>2016</v>
      </c>
      <c r="B74" s="208" t="s">
        <v>184</v>
      </c>
      <c r="C74" s="208" t="s">
        <v>2315</v>
      </c>
      <c r="D74" s="222">
        <v>20.190000000000001</v>
      </c>
      <c r="E74" s="208">
        <v>6684</v>
      </c>
      <c r="F74" s="208" t="s">
        <v>2342</v>
      </c>
      <c r="G74" s="208" t="s">
        <v>2304</v>
      </c>
      <c r="H74" s="47"/>
      <c r="I74" s="47"/>
      <c r="J74" s="47"/>
      <c r="K74" s="47"/>
      <c r="L74" s="47"/>
      <c r="M74" s="47"/>
      <c r="N74" s="47"/>
      <c r="O74" s="47"/>
      <c r="P74" s="47"/>
      <c r="Q74" s="47"/>
      <c r="R74" s="47"/>
      <c r="S74" s="47"/>
      <c r="T74" s="47"/>
      <c r="U74" s="47"/>
      <c r="V74" s="47"/>
      <c r="W74" s="47"/>
      <c r="X74" s="47"/>
      <c r="Y74" s="47"/>
      <c r="Z74" s="208"/>
      <c r="AA74" s="47"/>
      <c r="AB74" s="47"/>
      <c r="AC74" s="47"/>
      <c r="AD74" s="47"/>
      <c r="AE74" s="47"/>
    </row>
    <row r="75" spans="1:31" ht="18" customHeight="1">
      <c r="A75" s="208">
        <v>2015</v>
      </c>
      <c r="B75" s="208" t="s">
        <v>99</v>
      </c>
      <c r="C75" s="208" t="s">
        <v>2302</v>
      </c>
      <c r="D75" s="222">
        <v>36.200000000000003</v>
      </c>
      <c r="E75" s="208">
        <v>8648</v>
      </c>
      <c r="F75" s="208" t="s">
        <v>2303</v>
      </c>
      <c r="G75" s="208" t="s">
        <v>2304</v>
      </c>
      <c r="H75" s="47"/>
      <c r="I75" s="47"/>
      <c r="J75" s="47"/>
      <c r="K75" s="47"/>
      <c r="L75" s="47"/>
      <c r="M75" s="47"/>
      <c r="N75" s="47"/>
      <c r="O75" s="47"/>
      <c r="P75" s="47"/>
      <c r="Q75" s="47"/>
      <c r="R75" s="47"/>
      <c r="S75" s="47"/>
      <c r="T75" s="47"/>
      <c r="U75" s="47"/>
      <c r="V75" s="47"/>
      <c r="W75" s="47"/>
      <c r="X75" s="47"/>
      <c r="Y75" s="47"/>
      <c r="Z75" s="208"/>
      <c r="AA75" s="47"/>
      <c r="AB75" s="47"/>
      <c r="AC75" s="47"/>
      <c r="AD75" s="47"/>
      <c r="AE75" s="47"/>
    </row>
    <row r="76" spans="1:31" ht="18" customHeight="1">
      <c r="A76" s="208">
        <v>2015</v>
      </c>
      <c r="B76" s="208" t="s">
        <v>99</v>
      </c>
      <c r="C76" s="208" t="s">
        <v>2307</v>
      </c>
      <c r="D76" s="222">
        <v>17.260000000000002</v>
      </c>
      <c r="E76" s="208">
        <v>8702</v>
      </c>
      <c r="F76" s="208" t="s">
        <v>2337</v>
      </c>
      <c r="G76" s="208" t="s">
        <v>2304</v>
      </c>
      <c r="H76" s="47"/>
      <c r="I76" s="47"/>
      <c r="J76" s="47"/>
      <c r="K76" s="47"/>
      <c r="L76" s="47"/>
      <c r="M76" s="47"/>
      <c r="N76" s="47"/>
      <c r="O76" s="47"/>
      <c r="P76" s="47"/>
      <c r="Q76" s="47"/>
      <c r="R76" s="47"/>
      <c r="S76" s="47"/>
      <c r="T76" s="47"/>
      <c r="U76" s="47"/>
      <c r="V76" s="47"/>
      <c r="W76" s="47"/>
      <c r="X76" s="47"/>
      <c r="Y76" s="47"/>
      <c r="Z76" s="208"/>
      <c r="AA76" s="47"/>
      <c r="AB76" s="47"/>
      <c r="AC76" s="47"/>
      <c r="AD76" s="47"/>
      <c r="AE76" s="47"/>
    </row>
    <row r="77" spans="1:31" ht="18" customHeight="1">
      <c r="A77" s="208">
        <v>2015</v>
      </c>
      <c r="B77" s="208" t="s">
        <v>99</v>
      </c>
      <c r="C77" s="208" t="s">
        <v>2311</v>
      </c>
      <c r="D77" s="222">
        <v>14.32</v>
      </c>
      <c r="E77" s="208">
        <v>9262</v>
      </c>
      <c r="F77" s="208" t="s">
        <v>2343</v>
      </c>
      <c r="G77" s="208" t="s">
        <v>2304</v>
      </c>
      <c r="H77" s="47"/>
      <c r="I77" s="47"/>
      <c r="J77" s="47"/>
      <c r="K77" s="47"/>
      <c r="L77" s="47"/>
      <c r="M77" s="47"/>
      <c r="N77" s="47"/>
      <c r="O77" s="47"/>
      <c r="P77" s="47"/>
      <c r="Q77" s="47"/>
      <c r="R77" s="47"/>
      <c r="S77" s="47"/>
      <c r="T77" s="47"/>
      <c r="U77" s="47"/>
      <c r="V77" s="47"/>
      <c r="W77" s="47"/>
      <c r="X77" s="47"/>
      <c r="Y77" s="47"/>
      <c r="Z77" s="208"/>
      <c r="AA77" s="47"/>
      <c r="AB77" s="47"/>
      <c r="AC77" s="47"/>
      <c r="AD77" s="47"/>
      <c r="AE77" s="47"/>
    </row>
    <row r="78" spans="1:31" ht="18" customHeight="1">
      <c r="A78" s="208">
        <v>2015</v>
      </c>
      <c r="B78" s="208" t="s">
        <v>99</v>
      </c>
      <c r="C78" s="208" t="s">
        <v>2315</v>
      </c>
      <c r="D78" s="222">
        <v>18.63</v>
      </c>
      <c r="E78" s="208">
        <v>6128</v>
      </c>
      <c r="F78" s="208" t="s">
        <v>2342</v>
      </c>
      <c r="G78" s="208" t="s">
        <v>2304</v>
      </c>
      <c r="H78" s="47"/>
      <c r="I78" s="47"/>
      <c r="J78" s="47"/>
      <c r="K78" s="47"/>
      <c r="L78" s="47"/>
      <c r="M78" s="47"/>
      <c r="N78" s="47"/>
      <c r="O78" s="47"/>
      <c r="P78" s="47"/>
      <c r="Q78" s="47"/>
      <c r="R78" s="47"/>
      <c r="S78" s="47"/>
      <c r="T78" s="47"/>
      <c r="U78" s="47"/>
      <c r="V78" s="47"/>
      <c r="W78" s="47"/>
      <c r="X78" s="47"/>
      <c r="Y78" s="47"/>
      <c r="Z78" s="208"/>
      <c r="AA78" s="47"/>
      <c r="AB78" s="47"/>
      <c r="AC78" s="47"/>
      <c r="AD78" s="47"/>
      <c r="AE78" s="47"/>
    </row>
    <row r="79" spans="1:31" ht="18" customHeight="1">
      <c r="A79" s="208">
        <v>2015</v>
      </c>
      <c r="B79" s="208" t="s">
        <v>184</v>
      </c>
      <c r="C79" s="208" t="s">
        <v>2302</v>
      </c>
      <c r="D79" s="222">
        <v>35.6</v>
      </c>
      <c r="E79" s="208">
        <v>11328</v>
      </c>
      <c r="F79" s="208" t="s">
        <v>2303</v>
      </c>
      <c r="G79" s="208" t="s">
        <v>2304</v>
      </c>
      <c r="H79" s="47"/>
      <c r="I79" s="47"/>
      <c r="J79" s="47"/>
      <c r="K79" s="47"/>
      <c r="L79" s="47"/>
      <c r="M79" s="47"/>
      <c r="N79" s="47"/>
      <c r="O79" s="47"/>
      <c r="P79" s="47"/>
      <c r="Q79" s="47"/>
      <c r="R79" s="47"/>
      <c r="S79" s="47"/>
      <c r="T79" s="47"/>
      <c r="U79" s="47"/>
      <c r="V79" s="47"/>
      <c r="W79" s="47"/>
      <c r="X79" s="47"/>
      <c r="Y79" s="47"/>
      <c r="Z79" s="208"/>
      <c r="AA79" s="47"/>
      <c r="AB79" s="47"/>
      <c r="AC79" s="47"/>
      <c r="AD79" s="47"/>
      <c r="AE79" s="47"/>
    </row>
    <row r="80" spans="1:31" ht="18" customHeight="1">
      <c r="A80" s="208">
        <v>2015</v>
      </c>
      <c r="B80" s="208" t="s">
        <v>184</v>
      </c>
      <c r="C80" s="208" t="s">
        <v>2307</v>
      </c>
      <c r="D80" s="222">
        <v>11.85</v>
      </c>
      <c r="E80" s="208">
        <v>11500</v>
      </c>
      <c r="F80" s="208" t="s">
        <v>2337</v>
      </c>
      <c r="G80" s="208" t="s">
        <v>2304</v>
      </c>
      <c r="H80" s="47"/>
      <c r="I80" s="47"/>
      <c r="J80" s="47"/>
      <c r="K80" s="47"/>
      <c r="L80" s="47"/>
      <c r="M80" s="47"/>
      <c r="N80" s="47"/>
      <c r="O80" s="47"/>
      <c r="P80" s="47"/>
      <c r="Q80" s="47"/>
      <c r="R80" s="47"/>
      <c r="S80" s="47"/>
      <c r="T80" s="47"/>
      <c r="U80" s="47"/>
      <c r="V80" s="47"/>
      <c r="W80" s="47"/>
      <c r="X80" s="47"/>
      <c r="Y80" s="47"/>
      <c r="Z80" s="208"/>
      <c r="AA80" s="47"/>
      <c r="AB80" s="47"/>
      <c r="AC80" s="47"/>
      <c r="AD80" s="47"/>
      <c r="AE80" s="47"/>
    </row>
    <row r="81" spans="1:31" ht="18" customHeight="1">
      <c r="A81" s="208">
        <v>2015</v>
      </c>
      <c r="B81" s="208" t="s">
        <v>184</v>
      </c>
      <c r="C81" s="208" t="s">
        <v>2311</v>
      </c>
      <c r="D81" s="222">
        <v>14.98</v>
      </c>
      <c r="E81" s="208">
        <v>11858</v>
      </c>
      <c r="F81" s="208" t="s">
        <v>2343</v>
      </c>
      <c r="G81" s="208" t="s">
        <v>2304</v>
      </c>
      <c r="H81" s="47"/>
      <c r="I81" s="47"/>
      <c r="J81" s="47"/>
      <c r="K81" s="47"/>
      <c r="L81" s="47"/>
      <c r="M81" s="47"/>
      <c r="N81" s="47"/>
      <c r="O81" s="47"/>
      <c r="P81" s="47"/>
      <c r="Q81" s="47"/>
      <c r="R81" s="47"/>
      <c r="S81" s="47"/>
      <c r="T81" s="47"/>
      <c r="U81" s="47"/>
      <c r="V81" s="47"/>
      <c r="W81" s="47"/>
      <c r="X81" s="47"/>
      <c r="Y81" s="47"/>
      <c r="Z81" s="208"/>
      <c r="AA81" s="47"/>
      <c r="AB81" s="47"/>
      <c r="AC81" s="47"/>
      <c r="AD81" s="47"/>
      <c r="AE81" s="47"/>
    </row>
    <row r="82" spans="1:31" ht="18" customHeight="1">
      <c r="A82" s="208">
        <v>2015</v>
      </c>
      <c r="B82" s="208" t="s">
        <v>184</v>
      </c>
      <c r="C82" s="208" t="s">
        <v>2315</v>
      </c>
      <c r="D82" s="222">
        <v>21.55</v>
      </c>
      <c r="E82" s="208">
        <v>7174</v>
      </c>
      <c r="F82" s="208" t="s">
        <v>2342</v>
      </c>
      <c r="G82" s="208" t="s">
        <v>2304</v>
      </c>
      <c r="H82" s="47"/>
      <c r="I82" s="47"/>
      <c r="J82" s="47"/>
      <c r="K82" s="47"/>
      <c r="L82" s="47"/>
      <c r="M82" s="47"/>
      <c r="N82" s="47"/>
      <c r="O82" s="47"/>
      <c r="P82" s="47"/>
      <c r="Q82" s="47"/>
      <c r="R82" s="47"/>
      <c r="S82" s="47"/>
      <c r="T82" s="47"/>
      <c r="U82" s="47"/>
      <c r="V82" s="47"/>
      <c r="W82" s="47"/>
      <c r="X82" s="47"/>
      <c r="Y82" s="47"/>
      <c r="Z82" s="208"/>
      <c r="AA82" s="47"/>
      <c r="AB82" s="47"/>
      <c r="AC82" s="47"/>
      <c r="AD82" s="47"/>
      <c r="AE82" s="47"/>
    </row>
    <row r="83" spans="1:31" ht="18" customHeight="1">
      <c r="A83" s="208">
        <v>2014</v>
      </c>
      <c r="B83" s="208" t="s">
        <v>99</v>
      </c>
      <c r="C83" s="208" t="s">
        <v>2302</v>
      </c>
      <c r="D83" s="222">
        <v>34.869999999999997</v>
      </c>
      <c r="E83" s="208">
        <v>12732</v>
      </c>
      <c r="F83" s="208" t="s">
        <v>2303</v>
      </c>
      <c r="G83" s="208" t="s">
        <v>2304</v>
      </c>
      <c r="H83" s="47"/>
      <c r="I83" s="47"/>
      <c r="J83" s="47"/>
      <c r="K83" s="47"/>
      <c r="L83" s="47"/>
      <c r="M83" s="47"/>
      <c r="N83" s="47"/>
      <c r="O83" s="47"/>
      <c r="P83" s="47"/>
      <c r="Q83" s="47"/>
      <c r="R83" s="47"/>
      <c r="S83" s="47"/>
      <c r="T83" s="47"/>
      <c r="U83" s="47"/>
      <c r="V83" s="47"/>
      <c r="W83" s="47"/>
      <c r="X83" s="47"/>
      <c r="Y83" s="47"/>
      <c r="Z83" s="208"/>
      <c r="AA83" s="47"/>
      <c r="AB83" s="47"/>
      <c r="AC83" s="47"/>
      <c r="AD83" s="47"/>
      <c r="AE83" s="47"/>
    </row>
    <row r="84" spans="1:31" ht="18" customHeight="1">
      <c r="A84" s="208">
        <v>2014</v>
      </c>
      <c r="B84" s="208" t="s">
        <v>99</v>
      </c>
      <c r="C84" s="208" t="s">
        <v>2307</v>
      </c>
      <c r="D84" s="222">
        <v>16</v>
      </c>
      <c r="E84" s="208">
        <v>12730</v>
      </c>
      <c r="F84" s="208" t="s">
        <v>2337</v>
      </c>
      <c r="G84" s="208" t="s">
        <v>2304</v>
      </c>
      <c r="H84" s="47"/>
      <c r="I84" s="47"/>
      <c r="J84" s="47"/>
      <c r="K84" s="47"/>
      <c r="L84" s="47"/>
      <c r="M84" s="47"/>
      <c r="N84" s="47"/>
      <c r="O84" s="47"/>
      <c r="P84" s="47"/>
      <c r="Q84" s="47"/>
      <c r="R84" s="47"/>
      <c r="S84" s="47"/>
      <c r="T84" s="47"/>
      <c r="U84" s="47"/>
      <c r="V84" s="47"/>
      <c r="W84" s="47"/>
      <c r="X84" s="47"/>
      <c r="Y84" s="47"/>
      <c r="Z84" s="208"/>
      <c r="AA84" s="47"/>
      <c r="AB84" s="47"/>
      <c r="AC84" s="47"/>
      <c r="AD84" s="47"/>
      <c r="AE84" s="47"/>
    </row>
    <row r="85" spans="1:31" ht="18" customHeight="1">
      <c r="A85" s="208">
        <v>2014</v>
      </c>
      <c r="B85" s="208" t="s">
        <v>99</v>
      </c>
      <c r="C85" s="208" t="s">
        <v>2311</v>
      </c>
      <c r="D85" s="222">
        <v>12.57</v>
      </c>
      <c r="E85" s="208">
        <v>13288</v>
      </c>
      <c r="F85" s="208" t="s">
        <v>2343</v>
      </c>
      <c r="G85" s="208" t="s">
        <v>2304</v>
      </c>
      <c r="H85" s="47"/>
      <c r="I85" s="47"/>
      <c r="J85" s="47"/>
      <c r="K85" s="47"/>
      <c r="L85" s="47"/>
      <c r="M85" s="47"/>
      <c r="N85" s="47"/>
      <c r="O85" s="47"/>
      <c r="P85" s="47"/>
      <c r="Q85" s="47"/>
      <c r="R85" s="47"/>
      <c r="S85" s="47"/>
      <c r="T85" s="47"/>
      <c r="U85" s="47"/>
      <c r="V85" s="47"/>
      <c r="W85" s="47"/>
      <c r="X85" s="47"/>
      <c r="Y85" s="47"/>
      <c r="Z85" s="208"/>
      <c r="AA85" s="47"/>
      <c r="AB85" s="47"/>
      <c r="AC85" s="47"/>
      <c r="AD85" s="47"/>
      <c r="AE85" s="47"/>
    </row>
    <row r="86" spans="1:31" ht="18" customHeight="1">
      <c r="A86" s="208">
        <v>2014</v>
      </c>
      <c r="B86" s="208" t="s">
        <v>99</v>
      </c>
      <c r="C86" s="208" t="s">
        <v>2315</v>
      </c>
      <c r="D86" s="222">
        <v>22.73</v>
      </c>
      <c r="E86" s="208">
        <v>9232</v>
      </c>
      <c r="F86" s="208" t="s">
        <v>2342</v>
      </c>
      <c r="G86" s="208" t="s">
        <v>2304</v>
      </c>
      <c r="H86" s="47"/>
      <c r="I86" s="47"/>
      <c r="J86" s="47"/>
      <c r="K86" s="47"/>
      <c r="L86" s="47"/>
      <c r="M86" s="47"/>
      <c r="N86" s="47"/>
      <c r="O86" s="47"/>
      <c r="P86" s="47"/>
      <c r="Q86" s="47"/>
      <c r="R86" s="47"/>
      <c r="S86" s="47"/>
      <c r="T86" s="47"/>
      <c r="U86" s="47"/>
      <c r="V86" s="47"/>
      <c r="W86" s="47"/>
      <c r="X86" s="47"/>
      <c r="Y86" s="47"/>
      <c r="Z86" s="208"/>
      <c r="AA86" s="47"/>
      <c r="AB86" s="47"/>
      <c r="AC86" s="47"/>
      <c r="AD86" s="47"/>
      <c r="AE86" s="47"/>
    </row>
    <row r="87" spans="1:31" ht="18" customHeight="1">
      <c r="A87" s="208">
        <v>2014</v>
      </c>
      <c r="B87" s="208" t="s">
        <v>184</v>
      </c>
      <c r="C87" s="208" t="s">
        <v>2302</v>
      </c>
      <c r="D87" s="222">
        <v>35.47</v>
      </c>
      <c r="E87" s="208">
        <v>7950</v>
      </c>
      <c r="F87" s="208" t="s">
        <v>2303</v>
      </c>
      <c r="G87" s="208" t="s">
        <v>2304</v>
      </c>
      <c r="H87" s="47"/>
      <c r="I87" s="47"/>
      <c r="J87" s="47"/>
      <c r="K87" s="47"/>
      <c r="L87" s="47"/>
      <c r="M87" s="47"/>
      <c r="N87" s="47"/>
      <c r="O87" s="47"/>
      <c r="P87" s="47"/>
      <c r="Q87" s="47"/>
      <c r="R87" s="47"/>
      <c r="S87" s="47"/>
      <c r="T87" s="47"/>
      <c r="U87" s="47"/>
      <c r="V87" s="47"/>
      <c r="W87" s="47"/>
      <c r="X87" s="47"/>
      <c r="Y87" s="47"/>
      <c r="Z87" s="208"/>
      <c r="AA87" s="47"/>
      <c r="AB87" s="47"/>
      <c r="AC87" s="47"/>
      <c r="AD87" s="47"/>
      <c r="AE87" s="47"/>
    </row>
    <row r="88" spans="1:31" ht="18" customHeight="1">
      <c r="A88" s="208">
        <v>2014</v>
      </c>
      <c r="B88" s="208" t="s">
        <v>184</v>
      </c>
      <c r="C88" s="208" t="s">
        <v>2307</v>
      </c>
      <c r="D88" s="222">
        <v>12.81</v>
      </c>
      <c r="E88" s="208">
        <v>7986</v>
      </c>
      <c r="F88" s="208" t="s">
        <v>2337</v>
      </c>
      <c r="G88" s="208" t="s">
        <v>2304</v>
      </c>
      <c r="H88" s="47"/>
      <c r="I88" s="47"/>
      <c r="J88" s="47"/>
      <c r="K88" s="47"/>
      <c r="L88" s="47"/>
      <c r="M88" s="47"/>
      <c r="N88" s="47"/>
      <c r="O88" s="47"/>
      <c r="P88" s="47"/>
      <c r="Q88" s="47"/>
      <c r="R88" s="47"/>
      <c r="S88" s="47"/>
      <c r="T88" s="47"/>
      <c r="U88" s="47"/>
      <c r="V88" s="47"/>
      <c r="W88" s="47"/>
      <c r="X88" s="47"/>
      <c r="Y88" s="47"/>
      <c r="Z88" s="208"/>
      <c r="AA88" s="47"/>
      <c r="AB88" s="47"/>
      <c r="AC88" s="47"/>
      <c r="AD88" s="47"/>
      <c r="AE88" s="47"/>
    </row>
    <row r="89" spans="1:31" ht="18" customHeight="1">
      <c r="A89" s="208">
        <v>2014</v>
      </c>
      <c r="B89" s="208" t="s">
        <v>184</v>
      </c>
      <c r="C89" s="208" t="s">
        <v>2311</v>
      </c>
      <c r="D89" s="222">
        <v>13.7</v>
      </c>
      <c r="E89" s="208">
        <v>8248</v>
      </c>
      <c r="F89" s="208" t="s">
        <v>2343</v>
      </c>
      <c r="G89" s="208" t="s">
        <v>2304</v>
      </c>
      <c r="H89" s="47"/>
      <c r="I89" s="47"/>
      <c r="J89" s="47"/>
      <c r="K89" s="47"/>
      <c r="L89" s="47"/>
      <c r="M89" s="47"/>
      <c r="N89" s="47"/>
      <c r="O89" s="47"/>
      <c r="P89" s="47"/>
      <c r="Q89" s="47"/>
      <c r="R89" s="47"/>
      <c r="S89" s="47"/>
      <c r="T89" s="47"/>
      <c r="U89" s="47"/>
      <c r="V89" s="47"/>
      <c r="W89" s="47"/>
      <c r="X89" s="47"/>
      <c r="Y89" s="47"/>
      <c r="Z89" s="208"/>
      <c r="AA89" s="47"/>
      <c r="AB89" s="47"/>
      <c r="AC89" s="47"/>
      <c r="AD89" s="47"/>
      <c r="AE89" s="47"/>
    </row>
    <row r="90" spans="1:31" ht="18" customHeight="1">
      <c r="A90" s="208">
        <v>2014</v>
      </c>
      <c r="B90" s="208" t="s">
        <v>184</v>
      </c>
      <c r="C90" s="208" t="s">
        <v>2315</v>
      </c>
      <c r="D90" s="222">
        <v>22.96</v>
      </c>
      <c r="E90" s="208">
        <v>5196</v>
      </c>
      <c r="F90" s="208" t="s">
        <v>2342</v>
      </c>
      <c r="G90" s="208" t="s">
        <v>2304</v>
      </c>
      <c r="H90" s="47"/>
      <c r="I90" s="47"/>
      <c r="J90" s="47"/>
      <c r="K90" s="47"/>
      <c r="L90" s="47"/>
      <c r="M90" s="47"/>
      <c r="N90" s="47"/>
      <c r="O90" s="47"/>
      <c r="P90" s="47"/>
      <c r="Q90" s="47"/>
      <c r="R90" s="47"/>
      <c r="S90" s="47"/>
      <c r="T90" s="47"/>
      <c r="U90" s="47"/>
      <c r="V90" s="47"/>
      <c r="W90" s="47"/>
      <c r="X90" s="47"/>
      <c r="Y90" s="47"/>
      <c r="Z90" s="208"/>
      <c r="AA90" s="47"/>
      <c r="AB90" s="47"/>
      <c r="AC90" s="47"/>
      <c r="AD90" s="47"/>
      <c r="AE90" s="47"/>
    </row>
    <row r="91" spans="1:31" ht="18" customHeight="1">
      <c r="A91" s="208">
        <v>2013</v>
      </c>
      <c r="B91" s="208" t="s">
        <v>99</v>
      </c>
      <c r="C91" s="208" t="s">
        <v>2302</v>
      </c>
      <c r="D91" s="222">
        <v>33.1</v>
      </c>
      <c r="E91" s="208">
        <v>10028</v>
      </c>
      <c r="F91" s="208" t="s">
        <v>2303</v>
      </c>
      <c r="G91" s="208" t="s">
        <v>2304</v>
      </c>
      <c r="H91" s="47"/>
      <c r="I91" s="47"/>
      <c r="J91" s="47"/>
      <c r="K91" s="47"/>
      <c r="L91" s="47"/>
      <c r="M91" s="47"/>
      <c r="N91" s="47"/>
      <c r="O91" s="47"/>
      <c r="P91" s="47"/>
      <c r="Q91" s="47"/>
      <c r="R91" s="47"/>
      <c r="S91" s="47"/>
      <c r="T91" s="47"/>
      <c r="U91" s="47"/>
      <c r="V91" s="47"/>
      <c r="W91" s="47"/>
      <c r="X91" s="47"/>
      <c r="Y91" s="47"/>
      <c r="Z91" s="208"/>
      <c r="AA91" s="47"/>
      <c r="AB91" s="47"/>
      <c r="AC91" s="47"/>
      <c r="AD91" s="47"/>
      <c r="AE91" s="47"/>
    </row>
    <row r="92" spans="1:31" ht="18" customHeight="1">
      <c r="A92" s="208">
        <v>2013</v>
      </c>
      <c r="B92" s="208" t="s">
        <v>99</v>
      </c>
      <c r="C92" s="208" t="s">
        <v>2307</v>
      </c>
      <c r="D92" s="222">
        <v>16.32</v>
      </c>
      <c r="E92" s="208">
        <v>10064</v>
      </c>
      <c r="F92" s="208" t="s">
        <v>2337</v>
      </c>
      <c r="G92" s="208" t="s">
        <v>2304</v>
      </c>
      <c r="H92" s="47"/>
      <c r="I92" s="47"/>
      <c r="J92" s="47"/>
      <c r="K92" s="47"/>
      <c r="L92" s="47"/>
      <c r="M92" s="47"/>
      <c r="N92" s="47"/>
      <c r="O92" s="47"/>
      <c r="P92" s="47"/>
      <c r="Q92" s="47"/>
      <c r="R92" s="47"/>
      <c r="S92" s="47"/>
      <c r="T92" s="47"/>
      <c r="U92" s="47"/>
      <c r="V92" s="47"/>
      <c r="W92" s="47"/>
      <c r="X92" s="47"/>
      <c r="Y92" s="47"/>
      <c r="Z92" s="208"/>
      <c r="AA92" s="47"/>
      <c r="AB92" s="47"/>
      <c r="AC92" s="47"/>
      <c r="AD92" s="47"/>
      <c r="AE92" s="47"/>
    </row>
    <row r="93" spans="1:31" ht="18" customHeight="1">
      <c r="A93" s="208">
        <v>2013</v>
      </c>
      <c r="B93" s="208" t="s">
        <v>99</v>
      </c>
      <c r="C93" s="208" t="s">
        <v>2311</v>
      </c>
      <c r="D93" s="222">
        <v>13.57</v>
      </c>
      <c r="E93" s="208">
        <v>10294</v>
      </c>
      <c r="F93" s="208" t="s">
        <v>2343</v>
      </c>
      <c r="G93" s="208" t="s">
        <v>2304</v>
      </c>
      <c r="H93" s="47"/>
      <c r="I93" s="47"/>
      <c r="J93" s="47"/>
      <c r="K93" s="47"/>
      <c r="L93" s="47"/>
      <c r="M93" s="47"/>
      <c r="N93" s="47"/>
      <c r="O93" s="47"/>
      <c r="P93" s="47"/>
      <c r="Q93" s="47"/>
      <c r="R93" s="47"/>
      <c r="S93" s="47"/>
      <c r="T93" s="47"/>
      <c r="U93" s="47"/>
      <c r="V93" s="47"/>
      <c r="W93" s="47"/>
      <c r="X93" s="47"/>
      <c r="Y93" s="47"/>
      <c r="Z93" s="208"/>
      <c r="AA93" s="47"/>
      <c r="AB93" s="47"/>
      <c r="AC93" s="47"/>
      <c r="AD93" s="47"/>
      <c r="AE93" s="47"/>
    </row>
    <row r="94" spans="1:31" ht="18" customHeight="1">
      <c r="A94" s="208">
        <v>2013</v>
      </c>
      <c r="B94" s="208" t="s">
        <v>99</v>
      </c>
      <c r="C94" s="208" t="s">
        <v>2315</v>
      </c>
      <c r="D94" s="222">
        <v>25.97</v>
      </c>
      <c r="E94" s="208">
        <v>6632</v>
      </c>
      <c r="F94" s="208" t="s">
        <v>2342</v>
      </c>
      <c r="G94" s="208" t="s">
        <v>2304</v>
      </c>
      <c r="H94" s="47"/>
      <c r="I94" s="47"/>
      <c r="J94" s="47"/>
      <c r="K94" s="47"/>
      <c r="L94" s="47"/>
      <c r="M94" s="47"/>
      <c r="N94" s="47"/>
      <c r="O94" s="47"/>
      <c r="P94" s="47"/>
      <c r="Q94" s="47"/>
      <c r="R94" s="47"/>
      <c r="S94" s="47"/>
      <c r="T94" s="47"/>
      <c r="U94" s="47"/>
      <c r="V94" s="47"/>
      <c r="W94" s="47"/>
      <c r="X94" s="47"/>
      <c r="Y94" s="47"/>
      <c r="Z94" s="208"/>
      <c r="AA94" s="47"/>
      <c r="AB94" s="47"/>
      <c r="AC94" s="47"/>
      <c r="AD94" s="47"/>
      <c r="AE94" s="47"/>
    </row>
    <row r="95" spans="1:31" ht="18" customHeight="1">
      <c r="A95" s="208">
        <v>2013</v>
      </c>
      <c r="B95" s="208" t="s">
        <v>184</v>
      </c>
      <c r="C95" s="208" t="s">
        <v>2302</v>
      </c>
      <c r="D95" s="222">
        <v>35.090000000000003</v>
      </c>
      <c r="E95" s="208">
        <v>14064</v>
      </c>
      <c r="F95" s="208" t="s">
        <v>2303</v>
      </c>
      <c r="G95" s="208" t="s">
        <v>2304</v>
      </c>
      <c r="H95" s="47"/>
      <c r="I95" s="47"/>
      <c r="J95" s="47"/>
      <c r="K95" s="47"/>
      <c r="L95" s="47"/>
      <c r="M95" s="47"/>
      <c r="N95" s="47"/>
      <c r="O95" s="47"/>
      <c r="P95" s="47"/>
      <c r="Q95" s="47"/>
      <c r="R95" s="47"/>
      <c r="S95" s="47"/>
      <c r="T95" s="47"/>
      <c r="U95" s="47"/>
      <c r="V95" s="47"/>
      <c r="W95" s="47"/>
      <c r="X95" s="47"/>
      <c r="Y95" s="47"/>
      <c r="Z95" s="208"/>
      <c r="AA95" s="47"/>
      <c r="AB95" s="47"/>
      <c r="AC95" s="47"/>
      <c r="AD95" s="47"/>
      <c r="AE95" s="47"/>
    </row>
    <row r="96" spans="1:31" ht="18" customHeight="1">
      <c r="A96" s="208">
        <v>2013</v>
      </c>
      <c r="B96" s="208" t="s">
        <v>184</v>
      </c>
      <c r="C96" s="208" t="s">
        <v>2307</v>
      </c>
      <c r="D96" s="222">
        <v>12.37</v>
      </c>
      <c r="E96" s="208">
        <v>14226</v>
      </c>
      <c r="F96" s="208" t="s">
        <v>2337</v>
      </c>
      <c r="G96" s="208" t="s">
        <v>2304</v>
      </c>
      <c r="H96" s="47"/>
      <c r="I96" s="47"/>
      <c r="J96" s="47"/>
      <c r="K96" s="47"/>
      <c r="L96" s="47"/>
      <c r="M96" s="47"/>
      <c r="N96" s="47"/>
      <c r="O96" s="47"/>
      <c r="P96" s="47"/>
      <c r="Q96" s="47"/>
      <c r="R96" s="47"/>
      <c r="S96" s="47"/>
      <c r="T96" s="47"/>
      <c r="U96" s="47"/>
      <c r="V96" s="47"/>
      <c r="W96" s="47"/>
      <c r="X96" s="47"/>
      <c r="Y96" s="47"/>
      <c r="Z96" s="208"/>
      <c r="AA96" s="47"/>
      <c r="AB96" s="47"/>
      <c r="AC96" s="47"/>
      <c r="AD96" s="47"/>
      <c r="AE96" s="47"/>
    </row>
    <row r="97" spans="1:31" ht="18" customHeight="1">
      <c r="A97" s="208">
        <v>2013</v>
      </c>
      <c r="B97" s="208" t="s">
        <v>184</v>
      </c>
      <c r="C97" s="208" t="s">
        <v>2311</v>
      </c>
      <c r="D97" s="222">
        <v>14.21</v>
      </c>
      <c r="E97" s="208">
        <v>14596</v>
      </c>
      <c r="F97" s="208" t="s">
        <v>2343</v>
      </c>
      <c r="G97" s="208" t="s">
        <v>2304</v>
      </c>
      <c r="H97" s="47"/>
      <c r="I97" s="47"/>
      <c r="J97" s="47"/>
      <c r="K97" s="47"/>
      <c r="L97" s="47"/>
      <c r="M97" s="47"/>
      <c r="N97" s="47"/>
      <c r="O97" s="47"/>
      <c r="P97" s="47"/>
      <c r="Q97" s="47"/>
      <c r="R97" s="47"/>
      <c r="S97" s="47"/>
      <c r="T97" s="47"/>
      <c r="U97" s="47"/>
      <c r="V97" s="47"/>
      <c r="W97" s="47"/>
      <c r="X97" s="47"/>
      <c r="Y97" s="47"/>
      <c r="Z97" s="208"/>
      <c r="AA97" s="47"/>
      <c r="AB97" s="47"/>
      <c r="AC97" s="47"/>
      <c r="AD97" s="47"/>
      <c r="AE97" s="47"/>
    </row>
    <row r="98" spans="1:31" ht="18" customHeight="1">
      <c r="A98" s="208">
        <v>2013</v>
      </c>
      <c r="B98" s="208" t="s">
        <v>184</v>
      </c>
      <c r="C98" s="208" t="s">
        <v>2315</v>
      </c>
      <c r="D98" s="222">
        <v>28.11</v>
      </c>
      <c r="E98" s="208">
        <v>9290</v>
      </c>
      <c r="F98" s="208" t="s">
        <v>2342</v>
      </c>
      <c r="G98" s="208" t="s">
        <v>2304</v>
      </c>
      <c r="H98" s="47"/>
      <c r="I98" s="47"/>
      <c r="J98" s="47"/>
      <c r="K98" s="47"/>
      <c r="L98" s="47"/>
      <c r="M98" s="47"/>
      <c r="N98" s="47"/>
      <c r="O98" s="47"/>
      <c r="P98" s="47"/>
      <c r="Q98" s="47"/>
      <c r="R98" s="47"/>
      <c r="S98" s="47"/>
      <c r="T98" s="47"/>
      <c r="U98" s="47"/>
      <c r="V98" s="47"/>
      <c r="W98" s="47"/>
      <c r="X98" s="47"/>
      <c r="Y98" s="47"/>
      <c r="Z98" s="208"/>
      <c r="AA98" s="47"/>
      <c r="AB98" s="47"/>
      <c r="AC98" s="47"/>
      <c r="AD98" s="47"/>
      <c r="AE98" s="47"/>
    </row>
    <row r="99" spans="1:31" ht="18" customHeight="1">
      <c r="A99" s="208">
        <v>2012</v>
      </c>
      <c r="B99" s="208" t="s">
        <v>99</v>
      </c>
      <c r="C99" s="208" t="s">
        <v>2302</v>
      </c>
      <c r="D99" s="222">
        <v>34.72</v>
      </c>
      <c r="E99" s="208">
        <v>17312</v>
      </c>
      <c r="F99" s="208" t="s">
        <v>2303</v>
      </c>
      <c r="G99" s="208" t="s">
        <v>2304</v>
      </c>
      <c r="H99" s="47"/>
      <c r="I99" s="47"/>
      <c r="J99" s="47"/>
      <c r="K99" s="47"/>
      <c r="L99" s="47"/>
      <c r="M99" s="47"/>
      <c r="N99" s="47"/>
      <c r="O99" s="47"/>
      <c r="P99" s="47"/>
      <c r="Q99" s="47"/>
      <c r="R99" s="47"/>
      <c r="S99" s="47"/>
      <c r="T99" s="47"/>
      <c r="U99" s="47"/>
      <c r="V99" s="47"/>
      <c r="W99" s="47"/>
      <c r="X99" s="47"/>
      <c r="Y99" s="47"/>
      <c r="Z99" s="208"/>
      <c r="AA99" s="47"/>
      <c r="AB99" s="47"/>
      <c r="AC99" s="47"/>
      <c r="AD99" s="47"/>
      <c r="AE99" s="47"/>
    </row>
    <row r="100" spans="1:31" ht="18" customHeight="1">
      <c r="A100" s="208">
        <v>2012</v>
      </c>
      <c r="B100" s="208" t="s">
        <v>99</v>
      </c>
      <c r="C100" s="208" t="s">
        <v>2307</v>
      </c>
      <c r="D100" s="222">
        <v>16.54</v>
      </c>
      <c r="E100" s="208">
        <v>17636</v>
      </c>
      <c r="F100" s="208" t="s">
        <v>2337</v>
      </c>
      <c r="G100" s="208" t="s">
        <v>2304</v>
      </c>
      <c r="H100" s="47"/>
      <c r="I100" s="47"/>
      <c r="J100" s="47"/>
      <c r="K100" s="47"/>
      <c r="L100" s="47"/>
      <c r="M100" s="47"/>
      <c r="N100" s="47"/>
      <c r="O100" s="47"/>
      <c r="P100" s="47"/>
      <c r="Q100" s="47"/>
      <c r="R100" s="47"/>
      <c r="S100" s="47"/>
      <c r="T100" s="47"/>
      <c r="U100" s="47"/>
      <c r="V100" s="47"/>
      <c r="W100" s="47"/>
      <c r="X100" s="47"/>
      <c r="Y100" s="47"/>
      <c r="Z100" s="208"/>
      <c r="AA100" s="47"/>
      <c r="AB100" s="47"/>
      <c r="AC100" s="47"/>
      <c r="AD100" s="47"/>
      <c r="AE100" s="47"/>
    </row>
    <row r="101" spans="1:31" ht="18" customHeight="1">
      <c r="A101" s="208">
        <v>2012</v>
      </c>
      <c r="B101" s="208" t="s">
        <v>99</v>
      </c>
      <c r="C101" s="208" t="s">
        <v>2311</v>
      </c>
      <c r="D101" s="222">
        <v>13.31</v>
      </c>
      <c r="E101" s="208">
        <v>17868</v>
      </c>
      <c r="F101" s="208" t="s">
        <v>2343</v>
      </c>
      <c r="G101" s="208" t="s">
        <v>2304</v>
      </c>
      <c r="H101" s="47"/>
      <c r="I101" s="47"/>
      <c r="J101" s="47"/>
      <c r="K101" s="47"/>
      <c r="L101" s="47"/>
      <c r="M101" s="47"/>
      <c r="N101" s="47"/>
      <c r="O101" s="47"/>
      <c r="P101" s="47"/>
      <c r="Q101" s="47"/>
      <c r="R101" s="47"/>
      <c r="S101" s="47"/>
      <c r="T101" s="47"/>
      <c r="U101" s="47"/>
      <c r="V101" s="47"/>
      <c r="W101" s="47"/>
      <c r="X101" s="47"/>
      <c r="Y101" s="47"/>
      <c r="Z101" s="208"/>
      <c r="AA101" s="47"/>
      <c r="AB101" s="47"/>
      <c r="AC101" s="47"/>
      <c r="AD101" s="47"/>
      <c r="AE101" s="47"/>
    </row>
    <row r="102" spans="1:31" ht="18" customHeight="1">
      <c r="A102" s="208">
        <v>2012</v>
      </c>
      <c r="B102" s="208" t="s">
        <v>99</v>
      </c>
      <c r="C102" s="208" t="s">
        <v>2315</v>
      </c>
      <c r="D102" s="222">
        <v>25.66</v>
      </c>
      <c r="E102" s="208">
        <v>11538</v>
      </c>
      <c r="F102" s="208" t="s">
        <v>2342</v>
      </c>
      <c r="G102" s="208" t="s">
        <v>2304</v>
      </c>
      <c r="H102" s="47"/>
      <c r="I102" s="47"/>
      <c r="J102" s="47"/>
      <c r="K102" s="47"/>
      <c r="L102" s="47"/>
      <c r="M102" s="47"/>
      <c r="N102" s="47"/>
      <c r="O102" s="47"/>
      <c r="P102" s="47"/>
      <c r="Q102" s="47"/>
      <c r="R102" s="47"/>
      <c r="S102" s="47"/>
      <c r="T102" s="47"/>
      <c r="U102" s="47"/>
      <c r="V102" s="47"/>
      <c r="W102" s="47"/>
      <c r="X102" s="47"/>
      <c r="Y102" s="47"/>
      <c r="Z102" s="208"/>
      <c r="AA102" s="47"/>
      <c r="AB102" s="47"/>
      <c r="AC102" s="47"/>
      <c r="AD102" s="47"/>
      <c r="AE102" s="47"/>
    </row>
    <row r="103" spans="1:31" ht="18" customHeight="1">
      <c r="A103" s="208">
        <v>2012</v>
      </c>
      <c r="B103" s="208" t="s">
        <v>184</v>
      </c>
      <c r="C103" s="208" t="s">
        <v>2302</v>
      </c>
      <c r="D103" s="222">
        <v>34.6</v>
      </c>
      <c r="E103" s="208">
        <v>14858</v>
      </c>
      <c r="F103" s="208" t="s">
        <v>2303</v>
      </c>
      <c r="G103" s="208" t="s">
        <v>2304</v>
      </c>
      <c r="H103" s="47"/>
      <c r="I103" s="47"/>
      <c r="J103" s="47"/>
      <c r="K103" s="47"/>
      <c r="L103" s="47"/>
      <c r="M103" s="47"/>
      <c r="N103" s="47"/>
      <c r="O103" s="47"/>
      <c r="P103" s="47"/>
      <c r="Q103" s="47"/>
      <c r="R103" s="47"/>
      <c r="S103" s="47"/>
      <c r="T103" s="47"/>
      <c r="U103" s="47"/>
      <c r="V103" s="47"/>
      <c r="W103" s="47"/>
      <c r="X103" s="47"/>
      <c r="Y103" s="47"/>
      <c r="Z103" s="208"/>
      <c r="AA103" s="47"/>
      <c r="AB103" s="47"/>
      <c r="AC103" s="47"/>
      <c r="AD103" s="47"/>
      <c r="AE103" s="47"/>
    </row>
    <row r="104" spans="1:31" ht="18" customHeight="1">
      <c r="A104" s="208">
        <v>2012</v>
      </c>
      <c r="B104" s="208" t="s">
        <v>184</v>
      </c>
      <c r="C104" s="208" t="s">
        <v>2307</v>
      </c>
      <c r="D104" s="222">
        <v>12.12</v>
      </c>
      <c r="E104" s="208">
        <v>15132</v>
      </c>
      <c r="F104" s="208" t="s">
        <v>2337</v>
      </c>
      <c r="G104" s="208" t="s">
        <v>2304</v>
      </c>
      <c r="H104" s="47"/>
      <c r="I104" s="47"/>
      <c r="J104" s="47"/>
      <c r="K104" s="47"/>
      <c r="L104" s="47"/>
      <c r="M104" s="47"/>
      <c r="N104" s="47"/>
      <c r="O104" s="47"/>
      <c r="P104" s="47"/>
      <c r="Q104" s="47"/>
      <c r="R104" s="47"/>
      <c r="S104" s="47"/>
      <c r="T104" s="47"/>
      <c r="U104" s="47"/>
      <c r="V104" s="47"/>
      <c r="W104" s="47"/>
      <c r="X104" s="47"/>
      <c r="Y104" s="47"/>
      <c r="Z104" s="208"/>
      <c r="AA104" s="47"/>
      <c r="AB104" s="47"/>
      <c r="AC104" s="47"/>
      <c r="AD104" s="47"/>
      <c r="AE104" s="47"/>
    </row>
    <row r="105" spans="1:31" ht="18" customHeight="1">
      <c r="A105" s="208">
        <v>2012</v>
      </c>
      <c r="B105" s="208" t="s">
        <v>184</v>
      </c>
      <c r="C105" s="208" t="s">
        <v>2311</v>
      </c>
      <c r="D105" s="222">
        <v>14.28</v>
      </c>
      <c r="E105" s="208">
        <v>15242</v>
      </c>
      <c r="F105" s="208" t="s">
        <v>2343</v>
      </c>
      <c r="G105" s="208" t="s">
        <v>2304</v>
      </c>
      <c r="H105" s="47"/>
      <c r="I105" s="47"/>
      <c r="J105" s="47"/>
      <c r="K105" s="47"/>
      <c r="L105" s="47"/>
      <c r="M105" s="47"/>
      <c r="N105" s="47"/>
      <c r="O105" s="47"/>
      <c r="P105" s="47"/>
      <c r="Q105" s="47"/>
      <c r="R105" s="47"/>
      <c r="S105" s="47"/>
      <c r="T105" s="47"/>
      <c r="U105" s="47"/>
      <c r="V105" s="47"/>
      <c r="W105" s="47"/>
      <c r="X105" s="47"/>
      <c r="Y105" s="47"/>
      <c r="Z105" s="208"/>
      <c r="AA105" s="47"/>
      <c r="AB105" s="47"/>
      <c r="AC105" s="47"/>
      <c r="AD105" s="47"/>
      <c r="AE105" s="47"/>
    </row>
    <row r="106" spans="1:31" ht="18" customHeight="1">
      <c r="A106" s="208">
        <v>2012</v>
      </c>
      <c r="B106" s="208" t="s">
        <v>184</v>
      </c>
      <c r="C106" s="208" t="s">
        <v>2315</v>
      </c>
      <c r="D106" s="222">
        <v>27.28</v>
      </c>
      <c r="E106" s="208">
        <v>9738</v>
      </c>
      <c r="F106" s="208" t="s">
        <v>2342</v>
      </c>
      <c r="G106" s="208" t="s">
        <v>2304</v>
      </c>
      <c r="H106" s="47"/>
      <c r="I106" s="47"/>
      <c r="J106" s="47"/>
      <c r="K106" s="47"/>
      <c r="L106" s="47"/>
      <c r="M106" s="47"/>
      <c r="N106" s="47"/>
      <c r="O106" s="47"/>
      <c r="P106" s="47"/>
      <c r="Q106" s="47"/>
      <c r="R106" s="47"/>
      <c r="S106" s="47"/>
      <c r="T106" s="47"/>
      <c r="U106" s="47"/>
      <c r="V106" s="47"/>
      <c r="W106" s="47"/>
      <c r="X106" s="47"/>
      <c r="Y106" s="47"/>
      <c r="Z106" s="208"/>
      <c r="AA106" s="47"/>
      <c r="AB106" s="47"/>
      <c r="AC106" s="47"/>
      <c r="AD106" s="47"/>
      <c r="AE106" s="47"/>
    </row>
    <row r="107" spans="1:31" ht="18" customHeight="1">
      <c r="A107" s="208">
        <v>2011</v>
      </c>
      <c r="B107" s="208" t="s">
        <v>99</v>
      </c>
      <c r="C107" s="208" t="s">
        <v>2302</v>
      </c>
      <c r="D107" s="222">
        <v>33.43</v>
      </c>
      <c r="E107" s="208">
        <v>20808</v>
      </c>
      <c r="F107" s="208" t="s">
        <v>2303</v>
      </c>
      <c r="G107" s="208" t="s">
        <v>2304</v>
      </c>
      <c r="H107" s="47"/>
      <c r="I107" s="47"/>
      <c r="J107" s="47"/>
      <c r="K107" s="47"/>
      <c r="L107" s="47"/>
      <c r="M107" s="47"/>
      <c r="N107" s="47"/>
      <c r="O107" s="47"/>
      <c r="P107" s="47"/>
      <c r="Q107" s="47"/>
      <c r="R107" s="47"/>
      <c r="S107" s="47"/>
      <c r="T107" s="47"/>
      <c r="U107" s="47"/>
      <c r="V107" s="47"/>
      <c r="W107" s="47"/>
      <c r="X107" s="47"/>
      <c r="Y107" s="47"/>
      <c r="Z107" s="208"/>
      <c r="AA107" s="47"/>
      <c r="AB107" s="47"/>
      <c r="AC107" s="47"/>
      <c r="AD107" s="47"/>
      <c r="AE107" s="47"/>
    </row>
    <row r="108" spans="1:31" ht="18" customHeight="1">
      <c r="A108" s="208">
        <v>2011</v>
      </c>
      <c r="B108" s="208" t="s">
        <v>99</v>
      </c>
      <c r="C108" s="208" t="s">
        <v>2307</v>
      </c>
      <c r="D108" s="222">
        <v>16.07</v>
      </c>
      <c r="E108" s="208">
        <v>20550</v>
      </c>
      <c r="F108" s="208" t="s">
        <v>2337</v>
      </c>
      <c r="G108" s="208" t="s">
        <v>2304</v>
      </c>
      <c r="H108" s="47"/>
      <c r="I108" s="47"/>
      <c r="J108" s="47"/>
      <c r="K108" s="47"/>
      <c r="L108" s="47"/>
      <c r="M108" s="47"/>
      <c r="N108" s="47"/>
      <c r="O108" s="47"/>
      <c r="P108" s="47"/>
      <c r="Q108" s="47"/>
      <c r="R108" s="47"/>
      <c r="S108" s="47"/>
      <c r="T108" s="47"/>
      <c r="U108" s="47"/>
      <c r="V108" s="47"/>
      <c r="W108" s="47"/>
      <c r="X108" s="47"/>
      <c r="Y108" s="47"/>
      <c r="Z108" s="208"/>
      <c r="AA108" s="47"/>
      <c r="AB108" s="47"/>
      <c r="AC108" s="47"/>
      <c r="AD108" s="47"/>
      <c r="AE108" s="47"/>
    </row>
    <row r="109" spans="1:31" ht="18" customHeight="1">
      <c r="A109" s="208">
        <v>2011</v>
      </c>
      <c r="B109" s="208" t="s">
        <v>99</v>
      </c>
      <c r="C109" s="208" t="s">
        <v>2311</v>
      </c>
      <c r="D109" s="222">
        <v>14.58</v>
      </c>
      <c r="E109" s="208">
        <v>21518</v>
      </c>
      <c r="F109" s="208" t="s">
        <v>2343</v>
      </c>
      <c r="G109" s="208" t="s">
        <v>2304</v>
      </c>
      <c r="H109" s="47"/>
      <c r="I109" s="47"/>
      <c r="J109" s="47"/>
      <c r="K109" s="47"/>
      <c r="L109" s="47"/>
      <c r="M109" s="47"/>
      <c r="N109" s="47"/>
      <c r="O109" s="47"/>
      <c r="P109" s="47"/>
      <c r="Q109" s="47"/>
      <c r="R109" s="47"/>
      <c r="S109" s="47"/>
      <c r="T109" s="47"/>
      <c r="U109" s="47"/>
      <c r="V109" s="47"/>
      <c r="W109" s="47"/>
      <c r="X109" s="47"/>
      <c r="Y109" s="47"/>
      <c r="Z109" s="208"/>
      <c r="AA109" s="47"/>
      <c r="AB109" s="47"/>
      <c r="AC109" s="47"/>
      <c r="AD109" s="47"/>
      <c r="AE109" s="47"/>
    </row>
    <row r="110" spans="1:31" ht="18" customHeight="1">
      <c r="A110" s="208">
        <v>2011</v>
      </c>
      <c r="B110" s="208" t="s">
        <v>99</v>
      </c>
      <c r="C110" s="208" t="s">
        <v>2315</v>
      </c>
      <c r="D110" s="222">
        <v>26.78</v>
      </c>
      <c r="E110" s="208">
        <v>14272</v>
      </c>
      <c r="F110" s="208" t="s">
        <v>2342</v>
      </c>
      <c r="G110" s="208" t="s">
        <v>2304</v>
      </c>
      <c r="H110" s="47"/>
      <c r="I110" s="47"/>
      <c r="J110" s="47"/>
      <c r="K110" s="47"/>
      <c r="L110" s="47"/>
      <c r="M110" s="47"/>
      <c r="N110" s="47"/>
      <c r="O110" s="47"/>
      <c r="P110" s="47"/>
      <c r="Q110" s="47"/>
      <c r="R110" s="47"/>
      <c r="S110" s="47"/>
      <c r="T110" s="47"/>
      <c r="U110" s="47"/>
      <c r="V110" s="47"/>
      <c r="W110" s="47"/>
      <c r="X110" s="47"/>
      <c r="Y110" s="47"/>
      <c r="Z110" s="208"/>
      <c r="AA110" s="47"/>
      <c r="AB110" s="47"/>
      <c r="AC110" s="47"/>
      <c r="AD110" s="47"/>
      <c r="AE110" s="47"/>
    </row>
    <row r="111" spans="1:31" ht="18" customHeight="1">
      <c r="A111" s="208">
        <v>2011</v>
      </c>
      <c r="B111" s="208" t="s">
        <v>184</v>
      </c>
      <c r="C111" s="208" t="s">
        <v>2302</v>
      </c>
      <c r="D111" s="222">
        <v>34.9</v>
      </c>
      <c r="E111" s="208">
        <v>17008</v>
      </c>
      <c r="F111" s="208" t="s">
        <v>2303</v>
      </c>
      <c r="G111" s="208" t="s">
        <v>2304</v>
      </c>
      <c r="H111" s="47"/>
      <c r="I111" s="47"/>
      <c r="J111" s="47"/>
      <c r="K111" s="47"/>
      <c r="L111" s="47"/>
      <c r="M111" s="47"/>
      <c r="N111" s="47"/>
      <c r="O111" s="47"/>
      <c r="P111" s="47"/>
      <c r="Q111" s="47"/>
      <c r="R111" s="47"/>
      <c r="S111" s="47"/>
      <c r="T111" s="47"/>
      <c r="U111" s="47"/>
      <c r="V111" s="47"/>
      <c r="W111" s="47"/>
      <c r="X111" s="47"/>
      <c r="Y111" s="47"/>
      <c r="Z111" s="208"/>
      <c r="AA111" s="47"/>
      <c r="AB111" s="47"/>
      <c r="AC111" s="47"/>
      <c r="AD111" s="47"/>
      <c r="AE111" s="47"/>
    </row>
    <row r="112" spans="1:31" ht="18" customHeight="1">
      <c r="A112" s="208">
        <v>2011</v>
      </c>
      <c r="B112" s="208" t="s">
        <v>184</v>
      </c>
      <c r="C112" s="208" t="s">
        <v>2307</v>
      </c>
      <c r="D112" s="222">
        <v>14.23</v>
      </c>
      <c r="E112" s="208">
        <v>16670</v>
      </c>
      <c r="F112" s="208" t="s">
        <v>2337</v>
      </c>
      <c r="G112" s="208" t="s">
        <v>2304</v>
      </c>
      <c r="H112" s="47"/>
      <c r="I112" s="47"/>
      <c r="J112" s="47"/>
      <c r="K112" s="47"/>
      <c r="L112" s="47"/>
      <c r="M112" s="47"/>
      <c r="N112" s="47"/>
      <c r="O112" s="47"/>
      <c r="P112" s="47"/>
      <c r="Q112" s="47"/>
      <c r="R112" s="47"/>
      <c r="S112" s="47"/>
      <c r="T112" s="47"/>
      <c r="U112" s="47"/>
      <c r="V112" s="47"/>
      <c r="W112" s="47"/>
      <c r="X112" s="47"/>
      <c r="Y112" s="47"/>
      <c r="Z112" s="208"/>
      <c r="AA112" s="47"/>
      <c r="AB112" s="47"/>
      <c r="AC112" s="47"/>
      <c r="AD112" s="47"/>
      <c r="AE112" s="47"/>
    </row>
    <row r="113" spans="1:31" ht="18" customHeight="1">
      <c r="A113" s="208">
        <v>2011</v>
      </c>
      <c r="B113" s="208" t="s">
        <v>184</v>
      </c>
      <c r="C113" s="208" t="s">
        <v>2311</v>
      </c>
      <c r="D113" s="222">
        <v>14.35</v>
      </c>
      <c r="E113" s="208">
        <v>17508</v>
      </c>
      <c r="F113" s="208" t="s">
        <v>2343</v>
      </c>
      <c r="G113" s="208" t="s">
        <v>2304</v>
      </c>
      <c r="H113" s="47"/>
      <c r="I113" s="47"/>
      <c r="J113" s="47"/>
      <c r="K113" s="47"/>
      <c r="L113" s="47"/>
      <c r="M113" s="47"/>
      <c r="N113" s="47"/>
      <c r="O113" s="47"/>
      <c r="P113" s="47"/>
      <c r="Q113" s="47"/>
      <c r="R113" s="47"/>
      <c r="S113" s="47"/>
      <c r="T113" s="47"/>
      <c r="U113" s="47"/>
      <c r="V113" s="47"/>
      <c r="W113" s="47"/>
      <c r="X113" s="47"/>
      <c r="Y113" s="47"/>
      <c r="Z113" s="208"/>
      <c r="AA113" s="47"/>
      <c r="AB113" s="47"/>
      <c r="AC113" s="47"/>
      <c r="AD113" s="47"/>
      <c r="AE113" s="47"/>
    </row>
    <row r="114" spans="1:31" ht="18" customHeight="1">
      <c r="A114" s="208">
        <v>2011</v>
      </c>
      <c r="B114" s="208" t="s">
        <v>184</v>
      </c>
      <c r="C114" s="208" t="s">
        <v>2315</v>
      </c>
      <c r="D114" s="222">
        <v>30.74</v>
      </c>
      <c r="E114" s="208">
        <v>11676</v>
      </c>
      <c r="F114" s="208" t="s">
        <v>2342</v>
      </c>
      <c r="G114" s="208" t="s">
        <v>2304</v>
      </c>
      <c r="H114" s="47"/>
      <c r="I114" s="47"/>
      <c r="J114" s="47"/>
      <c r="K114" s="47"/>
      <c r="L114" s="47"/>
      <c r="M114" s="47"/>
      <c r="N114" s="47"/>
      <c r="O114" s="47"/>
      <c r="P114" s="47"/>
      <c r="Q114" s="47"/>
      <c r="R114" s="47"/>
      <c r="S114" s="47"/>
      <c r="T114" s="47"/>
      <c r="U114" s="47"/>
      <c r="V114" s="47"/>
      <c r="W114" s="47"/>
      <c r="X114" s="47"/>
      <c r="Y114" s="47"/>
      <c r="Z114" s="208"/>
      <c r="AA114" s="47"/>
      <c r="AB114" s="47"/>
      <c r="AC114" s="47"/>
      <c r="AD114" s="47"/>
      <c r="AE114" s="47"/>
    </row>
    <row r="115" spans="1:31" ht="18" customHeight="1">
      <c r="A115" s="208">
        <v>2010</v>
      </c>
      <c r="B115" s="208" t="s">
        <v>99</v>
      </c>
      <c r="C115" s="208" t="s">
        <v>2302</v>
      </c>
      <c r="D115" s="222">
        <v>31.72</v>
      </c>
      <c r="E115" s="208">
        <v>13432</v>
      </c>
      <c r="F115" s="208" t="s">
        <v>2344</v>
      </c>
      <c r="G115" s="208" t="s">
        <v>2345</v>
      </c>
      <c r="H115" s="47"/>
      <c r="I115" s="47"/>
      <c r="J115" s="47"/>
      <c r="K115" s="47"/>
      <c r="L115" s="47"/>
      <c r="M115" s="47"/>
      <c r="N115" s="47"/>
      <c r="O115" s="47"/>
      <c r="P115" s="47"/>
      <c r="Q115" s="47"/>
      <c r="R115" s="47"/>
      <c r="S115" s="47"/>
      <c r="T115" s="47"/>
      <c r="U115" s="47"/>
      <c r="V115" s="47"/>
      <c r="W115" s="47"/>
      <c r="X115" s="47"/>
      <c r="Y115" s="47"/>
      <c r="Z115" s="208"/>
      <c r="AA115" s="47"/>
      <c r="AB115" s="47"/>
      <c r="AC115" s="47"/>
      <c r="AD115" s="47"/>
      <c r="AE115" s="47"/>
    </row>
    <row r="116" spans="1:31" ht="18" customHeight="1">
      <c r="A116" s="208">
        <v>2010</v>
      </c>
      <c r="B116" s="208" t="s">
        <v>99</v>
      </c>
      <c r="C116" s="208" t="s">
        <v>2307</v>
      </c>
      <c r="D116" s="222">
        <v>14.98</v>
      </c>
      <c r="E116" s="208">
        <v>13806</v>
      </c>
      <c r="F116" s="208" t="s">
        <v>2346</v>
      </c>
      <c r="G116" s="208" t="s">
        <v>2345</v>
      </c>
      <c r="H116" s="47"/>
      <c r="I116" s="47"/>
      <c r="J116" s="47"/>
      <c r="K116" s="47"/>
      <c r="L116" s="47"/>
      <c r="M116" s="47"/>
      <c r="N116" s="47"/>
      <c r="O116" s="47"/>
      <c r="P116" s="47"/>
      <c r="Q116" s="47"/>
      <c r="R116" s="47"/>
      <c r="S116" s="47"/>
      <c r="T116" s="47"/>
      <c r="U116" s="47"/>
      <c r="V116" s="47"/>
      <c r="W116" s="47"/>
      <c r="X116" s="47"/>
      <c r="Y116" s="47"/>
      <c r="Z116" s="208"/>
      <c r="AA116" s="47"/>
      <c r="AB116" s="47"/>
      <c r="AC116" s="47"/>
      <c r="AD116" s="47"/>
      <c r="AE116" s="47"/>
    </row>
    <row r="117" spans="1:31" ht="18" customHeight="1">
      <c r="A117" s="208">
        <v>2010</v>
      </c>
      <c r="B117" s="208" t="s">
        <v>99</v>
      </c>
      <c r="C117" s="208" t="s">
        <v>2311</v>
      </c>
      <c r="D117" s="222">
        <v>12.6</v>
      </c>
      <c r="E117" s="208">
        <v>13842</v>
      </c>
      <c r="F117" s="208" t="s">
        <v>2343</v>
      </c>
      <c r="G117" s="208" t="s">
        <v>2345</v>
      </c>
      <c r="H117" s="47"/>
      <c r="I117" s="47"/>
      <c r="J117" s="47"/>
      <c r="K117" s="47"/>
      <c r="L117" s="47"/>
      <c r="M117" s="47"/>
      <c r="N117" s="47"/>
      <c r="O117" s="47"/>
      <c r="P117" s="47"/>
      <c r="Q117" s="47"/>
      <c r="R117" s="47"/>
      <c r="S117" s="47"/>
      <c r="T117" s="47"/>
      <c r="U117" s="47"/>
      <c r="V117" s="47"/>
      <c r="W117" s="47"/>
      <c r="X117" s="47"/>
      <c r="Y117" s="47"/>
      <c r="Z117" s="208"/>
      <c r="AA117" s="47"/>
      <c r="AB117" s="47"/>
      <c r="AC117" s="47"/>
      <c r="AD117" s="47"/>
      <c r="AE117" s="47"/>
    </row>
    <row r="118" spans="1:31" ht="18" customHeight="1">
      <c r="A118" s="208">
        <v>2010</v>
      </c>
      <c r="B118" s="208" t="s">
        <v>99</v>
      </c>
      <c r="C118" s="208" t="s">
        <v>2315</v>
      </c>
      <c r="D118" s="222">
        <v>24.52</v>
      </c>
      <c r="E118" s="208">
        <v>9608</v>
      </c>
      <c r="F118" s="208" t="s">
        <v>2347</v>
      </c>
      <c r="G118" s="208" t="s">
        <v>2345</v>
      </c>
      <c r="H118" s="47"/>
      <c r="I118" s="47"/>
      <c r="J118" s="47"/>
      <c r="K118" s="47"/>
      <c r="L118" s="47"/>
      <c r="M118" s="47"/>
      <c r="N118" s="47"/>
      <c r="O118" s="47"/>
      <c r="P118" s="47"/>
      <c r="Q118" s="47"/>
      <c r="R118" s="47"/>
      <c r="S118" s="47"/>
      <c r="T118" s="47"/>
      <c r="U118" s="47"/>
      <c r="V118" s="47"/>
      <c r="W118" s="47"/>
      <c r="X118" s="47"/>
      <c r="Y118" s="47"/>
      <c r="Z118" s="208"/>
      <c r="AA118" s="47"/>
      <c r="AB118" s="47"/>
      <c r="AC118" s="47"/>
      <c r="AD118" s="47"/>
      <c r="AE118" s="47"/>
    </row>
    <row r="119" spans="1:31" ht="18" customHeight="1">
      <c r="A119" s="208">
        <v>2010</v>
      </c>
      <c r="B119" s="208" t="s">
        <v>184</v>
      </c>
      <c r="C119" s="208" t="s">
        <v>2302</v>
      </c>
      <c r="D119" s="222">
        <v>34.5</v>
      </c>
      <c r="E119" s="208">
        <v>15492</v>
      </c>
      <c r="F119" s="208" t="s">
        <v>2344</v>
      </c>
      <c r="G119" s="208" t="s">
        <v>2345</v>
      </c>
      <c r="H119" s="47"/>
      <c r="I119" s="47"/>
      <c r="J119" s="47"/>
      <c r="K119" s="47"/>
      <c r="L119" s="47"/>
      <c r="M119" s="47"/>
      <c r="N119" s="47"/>
      <c r="O119" s="47"/>
      <c r="P119" s="47"/>
      <c r="Q119" s="47"/>
      <c r="R119" s="47"/>
      <c r="S119" s="47"/>
      <c r="T119" s="47"/>
      <c r="U119" s="47"/>
      <c r="V119" s="47"/>
      <c r="W119" s="47"/>
      <c r="X119" s="47"/>
      <c r="Y119" s="47"/>
      <c r="Z119" s="208"/>
      <c r="AA119" s="47"/>
      <c r="AB119" s="47"/>
      <c r="AC119" s="47"/>
      <c r="AD119" s="47"/>
      <c r="AE119" s="47"/>
    </row>
    <row r="120" spans="1:31" ht="18" customHeight="1">
      <c r="A120" s="208">
        <v>2010</v>
      </c>
      <c r="B120" s="208" t="s">
        <v>184</v>
      </c>
      <c r="C120" s="208" t="s">
        <v>2307</v>
      </c>
      <c r="D120" s="222">
        <v>9.92</v>
      </c>
      <c r="E120" s="208">
        <v>15968</v>
      </c>
      <c r="F120" s="208" t="s">
        <v>2346</v>
      </c>
      <c r="G120" s="208" t="s">
        <v>2345</v>
      </c>
      <c r="H120" s="47"/>
      <c r="I120" s="47"/>
      <c r="J120" s="47"/>
      <c r="K120" s="47"/>
      <c r="L120" s="47"/>
      <c r="M120" s="47"/>
      <c r="N120" s="47"/>
      <c r="O120" s="47"/>
      <c r="P120" s="47"/>
      <c r="Q120" s="47"/>
      <c r="R120" s="47"/>
      <c r="S120" s="47"/>
      <c r="T120" s="47"/>
      <c r="U120" s="47"/>
      <c r="V120" s="47"/>
      <c r="W120" s="47"/>
      <c r="X120" s="47"/>
      <c r="Y120" s="47"/>
      <c r="Z120" s="208"/>
      <c r="AA120" s="47"/>
      <c r="AB120" s="47"/>
      <c r="AC120" s="47"/>
      <c r="AD120" s="47"/>
      <c r="AE120" s="47"/>
    </row>
    <row r="121" spans="1:31" ht="18" customHeight="1">
      <c r="A121" s="208">
        <v>2010</v>
      </c>
      <c r="B121" s="208" t="s">
        <v>184</v>
      </c>
      <c r="C121" s="208" t="s">
        <v>2311</v>
      </c>
      <c r="D121" s="222">
        <v>12.59</v>
      </c>
      <c r="E121" s="208">
        <v>15860</v>
      </c>
      <c r="F121" s="208" t="s">
        <v>2343</v>
      </c>
      <c r="G121" s="208" t="s">
        <v>2345</v>
      </c>
      <c r="H121" s="47"/>
      <c r="I121" s="47"/>
      <c r="J121" s="47"/>
      <c r="K121" s="47"/>
      <c r="L121" s="47"/>
      <c r="M121" s="47"/>
      <c r="N121" s="47"/>
      <c r="O121" s="47"/>
      <c r="P121" s="47"/>
      <c r="Q121" s="47"/>
      <c r="R121" s="47"/>
      <c r="S121" s="47"/>
      <c r="T121" s="47"/>
      <c r="U121" s="47"/>
      <c r="V121" s="47"/>
      <c r="W121" s="47"/>
      <c r="X121" s="47"/>
      <c r="Y121" s="47"/>
      <c r="Z121" s="208"/>
      <c r="AA121" s="47"/>
      <c r="AB121" s="47"/>
      <c r="AC121" s="47"/>
      <c r="AD121" s="47"/>
      <c r="AE121" s="47"/>
    </row>
    <row r="122" spans="1:31" ht="18" customHeight="1">
      <c r="A122" s="208">
        <v>2010</v>
      </c>
      <c r="B122" s="208" t="s">
        <v>184</v>
      </c>
      <c r="C122" s="208" t="s">
        <v>2315</v>
      </c>
      <c r="D122" s="222">
        <v>25.81</v>
      </c>
      <c r="E122" s="208">
        <v>10124</v>
      </c>
      <c r="F122" s="208" t="s">
        <v>2347</v>
      </c>
      <c r="G122" s="208" t="s">
        <v>2345</v>
      </c>
      <c r="H122" s="47"/>
      <c r="I122" s="47"/>
      <c r="J122" s="47"/>
      <c r="K122" s="47"/>
      <c r="L122" s="47"/>
      <c r="M122" s="47"/>
      <c r="N122" s="47"/>
      <c r="O122" s="47"/>
      <c r="P122" s="47"/>
      <c r="Q122" s="47"/>
      <c r="R122" s="47"/>
      <c r="S122" s="47"/>
      <c r="T122" s="47"/>
      <c r="U122" s="47"/>
      <c r="V122" s="47"/>
      <c r="W122" s="47"/>
      <c r="X122" s="47"/>
      <c r="Y122" s="47"/>
      <c r="Z122" s="208"/>
      <c r="AA122" s="47"/>
      <c r="AB122" s="47"/>
      <c r="AC122" s="47"/>
      <c r="AD122" s="47"/>
      <c r="AE122" s="47"/>
    </row>
    <row r="123" spans="1:31" ht="18" customHeight="1">
      <c r="A123" s="208">
        <v>2009</v>
      </c>
      <c r="B123" s="208" t="s">
        <v>99</v>
      </c>
      <c r="C123" s="208" t="s">
        <v>2302</v>
      </c>
      <c r="D123" s="222">
        <v>33.9</v>
      </c>
      <c r="E123" s="208">
        <v>17060</v>
      </c>
      <c r="F123" s="208" t="s">
        <v>2344</v>
      </c>
      <c r="G123" s="208" t="s">
        <v>2345</v>
      </c>
      <c r="H123" s="47"/>
      <c r="I123" s="47"/>
      <c r="J123" s="47"/>
      <c r="K123" s="47"/>
      <c r="L123" s="47"/>
      <c r="M123" s="47"/>
      <c r="N123" s="47"/>
      <c r="O123" s="47"/>
      <c r="P123" s="47"/>
      <c r="Q123" s="47"/>
      <c r="R123" s="47"/>
      <c r="S123" s="47"/>
      <c r="T123" s="47"/>
      <c r="U123" s="47"/>
      <c r="V123" s="47"/>
      <c r="W123" s="47"/>
      <c r="X123" s="47"/>
      <c r="Y123" s="47"/>
      <c r="Z123" s="208"/>
      <c r="AA123" s="47"/>
      <c r="AB123" s="47"/>
      <c r="AC123" s="47"/>
      <c r="AD123" s="47"/>
      <c r="AE123" s="47"/>
    </row>
    <row r="124" spans="1:31" ht="18" customHeight="1">
      <c r="A124" s="208">
        <v>2009</v>
      </c>
      <c r="B124" s="208" t="s">
        <v>99</v>
      </c>
      <c r="C124" s="208" t="s">
        <v>2307</v>
      </c>
      <c r="D124" s="222">
        <v>14.38</v>
      </c>
      <c r="E124" s="208">
        <v>17472</v>
      </c>
      <c r="F124" s="208" t="s">
        <v>2346</v>
      </c>
      <c r="G124" s="208" t="s">
        <v>2345</v>
      </c>
      <c r="H124" s="47"/>
      <c r="I124" s="47"/>
      <c r="J124" s="47"/>
      <c r="K124" s="47"/>
      <c r="L124" s="47"/>
      <c r="M124" s="47"/>
      <c r="N124" s="47"/>
      <c r="O124" s="47"/>
      <c r="P124" s="47"/>
      <c r="Q124" s="47"/>
      <c r="R124" s="47"/>
      <c r="S124" s="47"/>
      <c r="T124" s="47"/>
      <c r="U124" s="47"/>
      <c r="V124" s="47"/>
      <c r="W124" s="47"/>
      <c r="X124" s="47"/>
      <c r="Y124" s="47"/>
      <c r="Z124" s="208"/>
      <c r="AA124" s="47"/>
      <c r="AB124" s="47"/>
      <c r="AC124" s="47"/>
      <c r="AD124" s="47"/>
      <c r="AE124" s="47"/>
    </row>
    <row r="125" spans="1:31" ht="18" customHeight="1">
      <c r="A125" s="208">
        <v>2009</v>
      </c>
      <c r="B125" s="208" t="s">
        <v>99</v>
      </c>
      <c r="C125" s="208" t="s">
        <v>2311</v>
      </c>
      <c r="D125" s="222">
        <v>11.03</v>
      </c>
      <c r="E125" s="208">
        <v>17530</v>
      </c>
      <c r="F125" s="208" t="s">
        <v>2343</v>
      </c>
      <c r="G125" s="208" t="s">
        <v>2345</v>
      </c>
      <c r="H125" s="47"/>
      <c r="I125" s="47"/>
      <c r="J125" s="47"/>
      <c r="K125" s="47"/>
      <c r="L125" s="47"/>
      <c r="M125" s="47"/>
      <c r="N125" s="47"/>
      <c r="O125" s="47"/>
      <c r="P125" s="47"/>
      <c r="Q125" s="47"/>
      <c r="R125" s="47"/>
      <c r="S125" s="47"/>
      <c r="T125" s="47"/>
      <c r="U125" s="47"/>
      <c r="V125" s="47"/>
      <c r="W125" s="47"/>
      <c r="X125" s="47"/>
      <c r="Y125" s="47"/>
      <c r="Z125" s="208"/>
      <c r="AA125" s="47"/>
      <c r="AB125" s="47"/>
      <c r="AC125" s="47"/>
      <c r="AD125" s="47"/>
      <c r="AE125" s="47"/>
    </row>
    <row r="126" spans="1:31" ht="18" customHeight="1">
      <c r="A126" s="208">
        <v>2009</v>
      </c>
      <c r="B126" s="208" t="s">
        <v>99</v>
      </c>
      <c r="C126" s="208" t="s">
        <v>2315</v>
      </c>
      <c r="D126" s="222">
        <v>23.15</v>
      </c>
      <c r="E126" s="208">
        <v>12074</v>
      </c>
      <c r="F126" s="208" t="s">
        <v>2347</v>
      </c>
      <c r="G126" s="208" t="s">
        <v>2345</v>
      </c>
      <c r="H126" s="47"/>
      <c r="I126" s="47"/>
      <c r="J126" s="47"/>
      <c r="K126" s="47"/>
      <c r="L126" s="47"/>
      <c r="M126" s="47"/>
      <c r="N126" s="47"/>
      <c r="O126" s="47"/>
      <c r="P126" s="47"/>
      <c r="Q126" s="47"/>
      <c r="R126" s="47"/>
      <c r="S126" s="47"/>
      <c r="T126" s="47"/>
      <c r="U126" s="47"/>
      <c r="V126" s="47"/>
      <c r="W126" s="47"/>
      <c r="X126" s="47"/>
      <c r="Y126" s="47"/>
      <c r="Z126" s="208"/>
      <c r="AA126" s="47"/>
      <c r="AB126" s="47"/>
      <c r="AC126" s="47"/>
      <c r="AD126" s="47"/>
      <c r="AE126" s="47"/>
    </row>
    <row r="127" spans="1:31" ht="18" customHeight="1">
      <c r="A127" s="208">
        <v>2009</v>
      </c>
      <c r="B127" s="208" t="s">
        <v>184</v>
      </c>
      <c r="C127" s="208" t="s">
        <v>2302</v>
      </c>
      <c r="D127" s="222">
        <v>35.380000000000003</v>
      </c>
      <c r="E127" s="208">
        <v>21480</v>
      </c>
      <c r="F127" s="208" t="s">
        <v>2344</v>
      </c>
      <c r="G127" s="208" t="s">
        <v>2345</v>
      </c>
      <c r="H127" s="47"/>
      <c r="I127" s="47"/>
      <c r="J127" s="47"/>
      <c r="K127" s="47"/>
      <c r="L127" s="47"/>
      <c r="M127" s="47"/>
      <c r="N127" s="47"/>
      <c r="O127" s="47"/>
      <c r="P127" s="47"/>
      <c r="Q127" s="47"/>
      <c r="R127" s="47"/>
      <c r="S127" s="47"/>
      <c r="T127" s="47"/>
      <c r="U127" s="47"/>
      <c r="V127" s="47"/>
      <c r="W127" s="47"/>
      <c r="X127" s="47"/>
      <c r="Y127" s="47"/>
      <c r="Z127" s="208"/>
      <c r="AA127" s="47"/>
      <c r="AB127" s="47"/>
      <c r="AC127" s="47"/>
      <c r="AD127" s="47"/>
      <c r="AE127" s="47"/>
    </row>
    <row r="128" spans="1:31" ht="18" customHeight="1">
      <c r="A128" s="208">
        <v>2009</v>
      </c>
      <c r="B128" s="208" t="s">
        <v>184</v>
      </c>
      <c r="C128" s="208" t="s">
        <v>2307</v>
      </c>
      <c r="D128" s="222">
        <v>10.09</v>
      </c>
      <c r="E128" s="208">
        <v>21876</v>
      </c>
      <c r="F128" s="208" t="s">
        <v>2346</v>
      </c>
      <c r="G128" s="208" t="s">
        <v>2345</v>
      </c>
      <c r="H128" s="47"/>
      <c r="I128" s="47"/>
      <c r="J128" s="47"/>
      <c r="K128" s="47"/>
      <c r="L128" s="47"/>
      <c r="M128" s="47"/>
      <c r="N128" s="47"/>
      <c r="O128" s="47"/>
      <c r="P128" s="47"/>
      <c r="Q128" s="47"/>
      <c r="R128" s="47"/>
      <c r="S128" s="47"/>
      <c r="T128" s="47"/>
      <c r="U128" s="47"/>
      <c r="V128" s="47"/>
      <c r="W128" s="47"/>
      <c r="X128" s="47"/>
      <c r="Y128" s="47"/>
      <c r="Z128" s="208"/>
      <c r="AA128" s="47"/>
      <c r="AB128" s="47"/>
      <c r="AC128" s="47"/>
      <c r="AD128" s="47"/>
      <c r="AE128" s="47"/>
    </row>
    <row r="129" spans="1:31" ht="18" customHeight="1">
      <c r="A129" s="208">
        <v>2009</v>
      </c>
      <c r="B129" s="208" t="s">
        <v>184</v>
      </c>
      <c r="C129" s="208" t="s">
        <v>2311</v>
      </c>
      <c r="D129" s="222">
        <v>13.48</v>
      </c>
      <c r="E129" s="208">
        <v>21994</v>
      </c>
      <c r="F129" s="208" t="s">
        <v>2343</v>
      </c>
      <c r="G129" s="208" t="s">
        <v>2345</v>
      </c>
      <c r="H129" s="47"/>
      <c r="I129" s="47"/>
      <c r="J129" s="47"/>
      <c r="K129" s="47"/>
      <c r="L129" s="47"/>
      <c r="M129" s="47"/>
      <c r="N129" s="47"/>
      <c r="O129" s="47"/>
      <c r="P129" s="47"/>
      <c r="Q129" s="47"/>
      <c r="R129" s="47"/>
      <c r="S129" s="47"/>
      <c r="T129" s="47"/>
      <c r="U129" s="47"/>
      <c r="V129" s="47"/>
      <c r="W129" s="47"/>
      <c r="X129" s="47"/>
      <c r="Y129" s="47"/>
      <c r="Z129" s="208"/>
      <c r="AA129" s="47"/>
      <c r="AB129" s="47"/>
      <c r="AC129" s="47"/>
      <c r="AD129" s="47"/>
      <c r="AE129" s="47"/>
    </row>
    <row r="130" spans="1:31" ht="18" customHeight="1">
      <c r="A130" s="208">
        <v>2009</v>
      </c>
      <c r="B130" s="208" t="s">
        <v>184</v>
      </c>
      <c r="C130" s="208" t="s">
        <v>2315</v>
      </c>
      <c r="D130" s="222">
        <v>23.96</v>
      </c>
      <c r="E130" s="208">
        <v>14330</v>
      </c>
      <c r="F130" s="208" t="s">
        <v>2347</v>
      </c>
      <c r="G130" s="208" t="s">
        <v>2345</v>
      </c>
      <c r="H130" s="47"/>
      <c r="I130" s="47"/>
      <c r="J130" s="47"/>
      <c r="K130" s="47"/>
      <c r="L130" s="47"/>
      <c r="M130" s="47"/>
      <c r="N130" s="47"/>
      <c r="O130" s="47"/>
      <c r="P130" s="47"/>
      <c r="Q130" s="47"/>
      <c r="R130" s="47"/>
      <c r="S130" s="47"/>
      <c r="T130" s="47"/>
      <c r="U130" s="47"/>
      <c r="V130" s="47"/>
      <c r="W130" s="47"/>
      <c r="X130" s="47"/>
      <c r="Y130" s="47"/>
      <c r="Z130" s="208"/>
      <c r="AA130" s="47"/>
      <c r="AB130" s="47"/>
      <c r="AC130" s="47"/>
      <c r="AD130" s="47"/>
      <c r="AE130" s="47"/>
    </row>
    <row r="131" spans="1:31" ht="18" customHeight="1">
      <c r="A131" s="208">
        <v>2008</v>
      </c>
      <c r="B131" s="208" t="s">
        <v>99</v>
      </c>
      <c r="C131" s="208" t="s">
        <v>2302</v>
      </c>
      <c r="D131" s="222">
        <v>28.98</v>
      </c>
      <c r="E131" s="208">
        <v>11614</v>
      </c>
      <c r="F131" s="208" t="s">
        <v>2344</v>
      </c>
      <c r="G131" s="208" t="s">
        <v>2345</v>
      </c>
      <c r="H131" s="47"/>
      <c r="I131" s="47"/>
      <c r="J131" s="47"/>
      <c r="K131" s="47"/>
      <c r="L131" s="47"/>
      <c r="M131" s="47"/>
      <c r="N131" s="47"/>
      <c r="O131" s="47"/>
      <c r="P131" s="47"/>
      <c r="Q131" s="47"/>
      <c r="R131" s="47"/>
      <c r="S131" s="47"/>
      <c r="T131" s="47"/>
      <c r="U131" s="47"/>
      <c r="V131" s="47"/>
      <c r="W131" s="47"/>
      <c r="X131" s="47"/>
      <c r="Y131" s="47"/>
      <c r="Z131" s="208"/>
      <c r="AA131" s="47"/>
      <c r="AB131" s="47"/>
      <c r="AC131" s="47"/>
      <c r="AD131" s="47"/>
      <c r="AE131" s="47"/>
    </row>
    <row r="132" spans="1:31" ht="18" customHeight="1">
      <c r="A132" s="208">
        <v>2008</v>
      </c>
      <c r="B132" s="208" t="s">
        <v>99</v>
      </c>
      <c r="C132" s="208" t="s">
        <v>2307</v>
      </c>
      <c r="D132" s="222">
        <v>13.52</v>
      </c>
      <c r="E132" s="208">
        <v>11978</v>
      </c>
      <c r="F132" s="208" t="s">
        <v>2346</v>
      </c>
      <c r="G132" s="208" t="s">
        <v>2345</v>
      </c>
      <c r="H132" s="47"/>
      <c r="I132" s="47"/>
      <c r="J132" s="47"/>
      <c r="K132" s="47"/>
      <c r="L132" s="47"/>
      <c r="M132" s="47"/>
      <c r="N132" s="47"/>
      <c r="O132" s="47"/>
      <c r="P132" s="47"/>
      <c r="Q132" s="47"/>
      <c r="R132" s="47"/>
      <c r="S132" s="47"/>
      <c r="T132" s="47"/>
      <c r="U132" s="47"/>
      <c r="V132" s="47"/>
      <c r="W132" s="47"/>
      <c r="X132" s="47"/>
      <c r="Y132" s="47"/>
      <c r="Z132" s="208"/>
      <c r="AA132" s="47"/>
      <c r="AB132" s="47"/>
      <c r="AC132" s="47"/>
      <c r="AD132" s="47"/>
      <c r="AE132" s="47"/>
    </row>
    <row r="133" spans="1:31" ht="18" customHeight="1">
      <c r="A133" s="208">
        <v>2008</v>
      </c>
      <c r="B133" s="208" t="s">
        <v>99</v>
      </c>
      <c r="C133" s="208" t="s">
        <v>2311</v>
      </c>
      <c r="D133" s="222">
        <v>9.2799999999999994</v>
      </c>
      <c r="E133" s="208">
        <v>12166</v>
      </c>
      <c r="F133" s="208" t="s">
        <v>2343</v>
      </c>
      <c r="G133" s="208" t="s">
        <v>2345</v>
      </c>
      <c r="H133" s="47"/>
      <c r="I133" s="47"/>
      <c r="J133" s="47"/>
      <c r="K133" s="47"/>
      <c r="L133" s="47"/>
      <c r="M133" s="47"/>
      <c r="N133" s="47"/>
      <c r="O133" s="47"/>
      <c r="P133" s="47"/>
      <c r="Q133" s="47"/>
      <c r="R133" s="47"/>
      <c r="S133" s="47"/>
      <c r="T133" s="47"/>
      <c r="U133" s="47"/>
      <c r="V133" s="47"/>
      <c r="W133" s="47"/>
      <c r="X133" s="47"/>
      <c r="Y133" s="47"/>
      <c r="Z133" s="208"/>
      <c r="AA133" s="47"/>
      <c r="AB133" s="47"/>
      <c r="AC133" s="47"/>
      <c r="AD133" s="47"/>
      <c r="AE133" s="47"/>
    </row>
    <row r="134" spans="1:31" ht="18" customHeight="1">
      <c r="A134" s="208">
        <v>2008</v>
      </c>
      <c r="B134" s="208" t="s">
        <v>99</v>
      </c>
      <c r="C134" s="208" t="s">
        <v>2315</v>
      </c>
      <c r="D134" s="222">
        <v>22.41</v>
      </c>
      <c r="E134" s="208">
        <v>8998</v>
      </c>
      <c r="F134" s="208" t="s">
        <v>2347</v>
      </c>
      <c r="G134" s="208" t="s">
        <v>2345</v>
      </c>
      <c r="H134" s="47"/>
      <c r="I134" s="47"/>
      <c r="J134" s="47"/>
      <c r="K134" s="47"/>
      <c r="L134" s="47"/>
      <c r="M134" s="47"/>
      <c r="N134" s="47"/>
      <c r="O134" s="47"/>
      <c r="P134" s="47"/>
      <c r="Q134" s="47"/>
      <c r="R134" s="47"/>
      <c r="S134" s="47"/>
      <c r="T134" s="47"/>
      <c r="U134" s="47"/>
      <c r="V134" s="47"/>
      <c r="W134" s="47"/>
      <c r="X134" s="47"/>
      <c r="Y134" s="47"/>
      <c r="Z134" s="208"/>
      <c r="AA134" s="47"/>
      <c r="AB134" s="47"/>
      <c r="AC134" s="47"/>
      <c r="AD134" s="47"/>
      <c r="AE134" s="47"/>
    </row>
    <row r="135" spans="1:31" ht="18" customHeight="1">
      <c r="A135" s="208">
        <v>2008</v>
      </c>
      <c r="B135" s="208" t="s">
        <v>184</v>
      </c>
      <c r="C135" s="208" t="s">
        <v>2302</v>
      </c>
      <c r="D135" s="222">
        <v>33.35</v>
      </c>
      <c r="E135" s="208">
        <v>15294</v>
      </c>
      <c r="F135" s="208" t="s">
        <v>2344</v>
      </c>
      <c r="G135" s="208" t="s">
        <v>2345</v>
      </c>
      <c r="H135" s="47"/>
      <c r="I135" s="47"/>
      <c r="J135" s="47"/>
      <c r="K135" s="47"/>
      <c r="L135" s="47"/>
      <c r="M135" s="47"/>
      <c r="N135" s="47"/>
      <c r="O135" s="47"/>
      <c r="P135" s="47"/>
      <c r="Q135" s="47"/>
      <c r="R135" s="47"/>
      <c r="S135" s="47"/>
      <c r="T135" s="47"/>
      <c r="U135" s="47"/>
      <c r="V135" s="47"/>
      <c r="W135" s="47"/>
      <c r="X135" s="47"/>
      <c r="Y135" s="47"/>
      <c r="Z135" s="208"/>
      <c r="AA135" s="47"/>
      <c r="AB135" s="47"/>
      <c r="AC135" s="47"/>
      <c r="AD135" s="47"/>
      <c r="AE135" s="47"/>
    </row>
    <row r="136" spans="1:31" ht="18" customHeight="1">
      <c r="A136" s="208">
        <v>2008</v>
      </c>
      <c r="B136" s="208" t="s">
        <v>184</v>
      </c>
      <c r="C136" s="208" t="s">
        <v>2307</v>
      </c>
      <c r="D136" s="222">
        <v>10.81</v>
      </c>
      <c r="E136" s="208">
        <v>15686</v>
      </c>
      <c r="F136" s="208" t="s">
        <v>2346</v>
      </c>
      <c r="G136" s="208" t="s">
        <v>2345</v>
      </c>
      <c r="H136" s="47"/>
      <c r="I136" s="47"/>
      <c r="J136" s="47"/>
      <c r="K136" s="47"/>
      <c r="L136" s="47"/>
      <c r="M136" s="47"/>
      <c r="N136" s="47"/>
      <c r="O136" s="47"/>
      <c r="P136" s="47"/>
      <c r="Q136" s="47"/>
      <c r="R136" s="47"/>
      <c r="S136" s="47"/>
      <c r="T136" s="47"/>
      <c r="U136" s="47"/>
      <c r="V136" s="47"/>
      <c r="W136" s="47"/>
      <c r="X136" s="47"/>
      <c r="Y136" s="47"/>
      <c r="Z136" s="208"/>
      <c r="AA136" s="47"/>
      <c r="AB136" s="47"/>
      <c r="AC136" s="47"/>
      <c r="AD136" s="47"/>
      <c r="AE136" s="47"/>
    </row>
    <row r="137" spans="1:31" ht="18" customHeight="1">
      <c r="A137" s="208">
        <v>2008</v>
      </c>
      <c r="B137" s="208" t="s">
        <v>184</v>
      </c>
      <c r="C137" s="208" t="s">
        <v>2311</v>
      </c>
      <c r="D137" s="222">
        <v>13.51</v>
      </c>
      <c r="E137" s="208">
        <v>15572</v>
      </c>
      <c r="F137" s="208" t="s">
        <v>2343</v>
      </c>
      <c r="G137" s="208" t="s">
        <v>2345</v>
      </c>
      <c r="H137" s="47"/>
      <c r="I137" s="47"/>
      <c r="J137" s="47"/>
      <c r="K137" s="47"/>
      <c r="L137" s="47"/>
      <c r="M137" s="47"/>
      <c r="N137" s="47"/>
      <c r="O137" s="47"/>
      <c r="P137" s="47"/>
      <c r="Q137" s="47"/>
      <c r="R137" s="47"/>
      <c r="S137" s="47"/>
      <c r="T137" s="47"/>
      <c r="U137" s="47"/>
      <c r="V137" s="47"/>
      <c r="W137" s="47"/>
      <c r="X137" s="47"/>
      <c r="Y137" s="47"/>
      <c r="Z137" s="208"/>
      <c r="AA137" s="47"/>
      <c r="AB137" s="47"/>
      <c r="AC137" s="47"/>
      <c r="AD137" s="47"/>
      <c r="AE137" s="47"/>
    </row>
    <row r="138" spans="1:31" ht="18" customHeight="1">
      <c r="A138" s="208">
        <v>2008</v>
      </c>
      <c r="B138" s="208" t="s">
        <v>184</v>
      </c>
      <c r="C138" s="208" t="s">
        <v>2315</v>
      </c>
      <c r="D138" s="222">
        <v>23.06</v>
      </c>
      <c r="E138" s="208">
        <v>10668</v>
      </c>
      <c r="F138" s="208" t="s">
        <v>2347</v>
      </c>
      <c r="G138" s="208" t="s">
        <v>2345</v>
      </c>
      <c r="H138" s="47"/>
      <c r="I138" s="47"/>
      <c r="J138" s="47"/>
      <c r="K138" s="47"/>
      <c r="L138" s="47"/>
      <c r="M138" s="47"/>
      <c r="N138" s="47"/>
      <c r="O138" s="47"/>
      <c r="P138" s="47"/>
      <c r="Q138" s="47"/>
      <c r="R138" s="47"/>
      <c r="S138" s="47"/>
      <c r="T138" s="47"/>
      <c r="U138" s="47"/>
      <c r="V138" s="47"/>
      <c r="W138" s="47"/>
      <c r="X138" s="47"/>
      <c r="Y138" s="47"/>
      <c r="Z138" s="208"/>
      <c r="AA138" s="47"/>
      <c r="AB138" s="47"/>
      <c r="AC138" s="47"/>
      <c r="AD138" s="47"/>
      <c r="AE138" s="47"/>
    </row>
    <row r="139" spans="1:31" ht="18" customHeight="1">
      <c r="A139" s="208">
        <v>2007</v>
      </c>
      <c r="B139" s="208" t="s">
        <v>99</v>
      </c>
      <c r="C139" s="208" t="s">
        <v>2302</v>
      </c>
      <c r="D139" s="222">
        <v>30.69</v>
      </c>
      <c r="E139" s="208">
        <v>12470</v>
      </c>
      <c r="F139" s="208" t="s">
        <v>2344</v>
      </c>
      <c r="G139" s="208" t="s">
        <v>2345</v>
      </c>
      <c r="H139" s="47"/>
      <c r="I139" s="47"/>
      <c r="J139" s="47"/>
      <c r="K139" s="47"/>
      <c r="L139" s="47"/>
      <c r="M139" s="47"/>
      <c r="N139" s="47"/>
      <c r="O139" s="47"/>
      <c r="P139" s="47"/>
      <c r="Q139" s="47"/>
      <c r="R139" s="47"/>
      <c r="S139" s="47"/>
      <c r="T139" s="47"/>
      <c r="U139" s="47"/>
      <c r="V139" s="47"/>
      <c r="W139" s="47"/>
      <c r="X139" s="47"/>
      <c r="Y139" s="47"/>
      <c r="Z139" s="208"/>
      <c r="AA139" s="47"/>
      <c r="AB139" s="47"/>
      <c r="AC139" s="47"/>
      <c r="AD139" s="47"/>
      <c r="AE139" s="47"/>
    </row>
    <row r="140" spans="1:31" ht="18" customHeight="1">
      <c r="A140" s="208">
        <v>2007</v>
      </c>
      <c r="B140" s="208" t="s">
        <v>99</v>
      </c>
      <c r="C140" s="208" t="s">
        <v>2307</v>
      </c>
      <c r="D140" s="222">
        <v>13.43</v>
      </c>
      <c r="E140" s="208">
        <v>12932</v>
      </c>
      <c r="F140" s="208" t="s">
        <v>2346</v>
      </c>
      <c r="G140" s="208" t="s">
        <v>2345</v>
      </c>
      <c r="H140" s="47"/>
      <c r="I140" s="47"/>
      <c r="J140" s="47"/>
      <c r="K140" s="47"/>
      <c r="L140" s="47"/>
      <c r="M140" s="47"/>
      <c r="N140" s="47"/>
      <c r="O140" s="47"/>
      <c r="P140" s="47"/>
      <c r="Q140" s="47"/>
      <c r="R140" s="47"/>
      <c r="S140" s="47"/>
      <c r="T140" s="47"/>
      <c r="U140" s="47"/>
      <c r="V140" s="47"/>
      <c r="W140" s="47"/>
      <c r="X140" s="47"/>
      <c r="Y140" s="47"/>
      <c r="Z140" s="208"/>
      <c r="AA140" s="47"/>
      <c r="AB140" s="47"/>
      <c r="AC140" s="47"/>
      <c r="AD140" s="47"/>
      <c r="AE140" s="47"/>
    </row>
    <row r="141" spans="1:31" ht="18" customHeight="1">
      <c r="A141" s="208">
        <v>2007</v>
      </c>
      <c r="B141" s="208" t="s">
        <v>99</v>
      </c>
      <c r="C141" s="208" t="s">
        <v>2311</v>
      </c>
      <c r="D141" s="222">
        <v>9.66</v>
      </c>
      <c r="E141" s="208">
        <v>12958</v>
      </c>
      <c r="F141" s="208" t="s">
        <v>2343</v>
      </c>
      <c r="G141" s="208" t="s">
        <v>2345</v>
      </c>
      <c r="H141" s="47"/>
      <c r="I141" s="47"/>
      <c r="J141" s="47"/>
      <c r="K141" s="47"/>
      <c r="L141" s="47"/>
      <c r="M141" s="47"/>
      <c r="N141" s="47"/>
      <c r="O141" s="47"/>
      <c r="P141" s="47"/>
      <c r="Q141" s="47"/>
      <c r="R141" s="47"/>
      <c r="S141" s="47"/>
      <c r="T141" s="47"/>
      <c r="U141" s="47"/>
      <c r="V141" s="47"/>
      <c r="W141" s="47"/>
      <c r="X141" s="47"/>
      <c r="Y141" s="47"/>
      <c r="Z141" s="208"/>
      <c r="AA141" s="47"/>
      <c r="AB141" s="47"/>
      <c r="AC141" s="47"/>
      <c r="AD141" s="47"/>
      <c r="AE141" s="47"/>
    </row>
    <row r="142" spans="1:31" ht="18" customHeight="1">
      <c r="A142" s="208">
        <v>2007</v>
      </c>
      <c r="B142" s="208" t="s">
        <v>99</v>
      </c>
      <c r="C142" s="208" t="s">
        <v>2315</v>
      </c>
      <c r="D142" s="222">
        <v>23.77</v>
      </c>
      <c r="E142" s="208">
        <v>10036</v>
      </c>
      <c r="F142" s="208" t="s">
        <v>2347</v>
      </c>
      <c r="G142" s="208" t="s">
        <v>2345</v>
      </c>
      <c r="H142" s="47"/>
      <c r="I142" s="47"/>
      <c r="J142" s="47"/>
      <c r="K142" s="47"/>
      <c r="L142" s="47"/>
      <c r="M142" s="47"/>
      <c r="N142" s="47"/>
      <c r="O142" s="47"/>
      <c r="P142" s="47"/>
      <c r="Q142" s="47"/>
      <c r="R142" s="47"/>
      <c r="S142" s="47"/>
      <c r="T142" s="47"/>
      <c r="U142" s="47"/>
      <c r="V142" s="47"/>
      <c r="W142" s="47"/>
      <c r="X142" s="47"/>
      <c r="Y142" s="47"/>
      <c r="Z142" s="208"/>
      <c r="AA142" s="47"/>
      <c r="AB142" s="47"/>
      <c r="AC142" s="47"/>
      <c r="AD142" s="47"/>
      <c r="AE142" s="47"/>
    </row>
    <row r="143" spans="1:31" ht="18" customHeight="1">
      <c r="A143" s="208">
        <v>2007</v>
      </c>
      <c r="B143" s="208" t="s">
        <v>184</v>
      </c>
      <c r="C143" s="208" t="s">
        <v>2302</v>
      </c>
      <c r="D143" s="222">
        <v>32.61</v>
      </c>
      <c r="E143" s="208">
        <v>15014</v>
      </c>
      <c r="F143" s="208" t="s">
        <v>2344</v>
      </c>
      <c r="G143" s="208" t="s">
        <v>2345</v>
      </c>
      <c r="H143" s="47"/>
      <c r="I143" s="47"/>
      <c r="J143" s="47"/>
      <c r="K143" s="47"/>
      <c r="L143" s="47"/>
      <c r="M143" s="47"/>
      <c r="N143" s="47"/>
      <c r="O143" s="47"/>
      <c r="P143" s="47"/>
      <c r="Q143" s="47"/>
      <c r="R143" s="47"/>
      <c r="S143" s="47"/>
      <c r="T143" s="47"/>
      <c r="U143" s="47"/>
      <c r="V143" s="47"/>
      <c r="W143" s="47"/>
      <c r="X143" s="47"/>
      <c r="Y143" s="47"/>
      <c r="Z143" s="208"/>
      <c r="AA143" s="47"/>
      <c r="AB143" s="47"/>
      <c r="AC143" s="47"/>
      <c r="AD143" s="47"/>
      <c r="AE143" s="47"/>
    </row>
    <row r="144" spans="1:31" ht="18" customHeight="1">
      <c r="A144" s="208">
        <v>2007</v>
      </c>
      <c r="B144" s="208" t="s">
        <v>184</v>
      </c>
      <c r="C144" s="208" t="s">
        <v>2307</v>
      </c>
      <c r="D144" s="222">
        <v>11.27</v>
      </c>
      <c r="E144" s="208">
        <v>15426</v>
      </c>
      <c r="F144" s="208" t="s">
        <v>2346</v>
      </c>
      <c r="G144" s="208" t="s">
        <v>2345</v>
      </c>
      <c r="H144" s="47"/>
      <c r="I144" s="47"/>
      <c r="J144" s="47"/>
      <c r="K144" s="47"/>
      <c r="L144" s="47"/>
      <c r="M144" s="47"/>
      <c r="N144" s="47"/>
      <c r="O144" s="47"/>
      <c r="P144" s="47"/>
      <c r="Q144" s="47"/>
      <c r="R144" s="47"/>
      <c r="S144" s="47"/>
      <c r="T144" s="47"/>
      <c r="U144" s="47"/>
      <c r="V144" s="47"/>
      <c r="W144" s="47"/>
      <c r="X144" s="47"/>
      <c r="Y144" s="47"/>
      <c r="Z144" s="208"/>
      <c r="AA144" s="47"/>
      <c r="AB144" s="47"/>
      <c r="AC144" s="47"/>
      <c r="AD144" s="47"/>
      <c r="AE144" s="47"/>
    </row>
    <row r="145" spans="1:31" ht="18" customHeight="1">
      <c r="A145" s="208">
        <v>2007</v>
      </c>
      <c r="B145" s="208" t="s">
        <v>184</v>
      </c>
      <c r="C145" s="208" t="s">
        <v>2311</v>
      </c>
      <c r="D145" s="222">
        <v>13.24</v>
      </c>
      <c r="E145" s="208">
        <v>15284</v>
      </c>
      <c r="F145" s="208" t="s">
        <v>2343</v>
      </c>
      <c r="G145" s="208" t="s">
        <v>2345</v>
      </c>
      <c r="H145" s="47"/>
      <c r="I145" s="47"/>
      <c r="J145" s="47"/>
      <c r="K145" s="47"/>
      <c r="L145" s="47"/>
      <c r="M145" s="47"/>
      <c r="N145" s="47"/>
      <c r="O145" s="47"/>
      <c r="P145" s="47"/>
      <c r="Q145" s="47"/>
      <c r="R145" s="47"/>
      <c r="S145" s="47"/>
      <c r="T145" s="47"/>
      <c r="U145" s="47"/>
      <c r="V145" s="47"/>
      <c r="W145" s="47"/>
      <c r="X145" s="47"/>
      <c r="Y145" s="47"/>
      <c r="Z145" s="208"/>
      <c r="AA145" s="47"/>
      <c r="AB145" s="47"/>
      <c r="AC145" s="47"/>
      <c r="AD145" s="47"/>
      <c r="AE145" s="47"/>
    </row>
    <row r="146" spans="1:31" ht="18" customHeight="1">
      <c r="A146" s="208">
        <v>2007</v>
      </c>
      <c r="B146" s="208" t="s">
        <v>184</v>
      </c>
      <c r="C146" s="208" t="s">
        <v>2315</v>
      </c>
      <c r="D146" s="222">
        <v>22.91</v>
      </c>
      <c r="E146" s="208">
        <v>10814</v>
      </c>
      <c r="F146" s="208" t="s">
        <v>2347</v>
      </c>
      <c r="G146" s="208" t="s">
        <v>2345</v>
      </c>
      <c r="H146" s="47"/>
      <c r="I146" s="47"/>
      <c r="J146" s="47"/>
      <c r="K146" s="47"/>
      <c r="L146" s="47"/>
      <c r="M146" s="47"/>
      <c r="N146" s="47"/>
      <c r="O146" s="47"/>
      <c r="P146" s="47"/>
      <c r="Q146" s="47"/>
      <c r="R146" s="47"/>
      <c r="S146" s="47"/>
      <c r="T146" s="47"/>
      <c r="U146" s="47"/>
      <c r="V146" s="47"/>
      <c r="W146" s="47"/>
      <c r="X146" s="47"/>
      <c r="Y146" s="47"/>
      <c r="Z146" s="208"/>
      <c r="AA146" s="47"/>
      <c r="AB146" s="47"/>
      <c r="AC146" s="47"/>
      <c r="AD146" s="47"/>
      <c r="AE146" s="47"/>
    </row>
    <row r="147" spans="1:31" ht="18"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208"/>
      <c r="AA147" s="47"/>
      <c r="AB147" s="47"/>
      <c r="AC147" s="47"/>
      <c r="AD147" s="47"/>
      <c r="AE147" s="47"/>
    </row>
    <row r="148" spans="1:31" ht="18"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208"/>
      <c r="AA148" s="47"/>
      <c r="AB148" s="47"/>
      <c r="AC148" s="47"/>
      <c r="AD148" s="47"/>
      <c r="AE148" s="47"/>
    </row>
    <row r="149" spans="1:31" ht="18" customHeight="1">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5"/>
      <c r="AA149" s="151"/>
      <c r="AB149" s="151"/>
      <c r="AC149" s="151"/>
      <c r="AD149" s="151"/>
      <c r="AE149" s="15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2F3A56"/>
  </sheetPr>
  <dimension ref="A1:S362"/>
  <sheetViews>
    <sheetView showGridLines="0" workbookViewId="0"/>
  </sheetViews>
  <sheetFormatPr defaultColWidth="9.125" defaultRowHeight="15.75"/>
  <cols>
    <col min="1" max="1" width="5" style="87" customWidth="1"/>
    <col min="2" max="2" width="5.125" style="87" customWidth="1"/>
    <col min="3" max="3" width="42.875" style="148" customWidth="1"/>
    <col min="4" max="4" width="11.625" style="228" customWidth="1"/>
    <col min="5" max="6" width="15" style="87" customWidth="1"/>
    <col min="7" max="7" width="6" style="196" customWidth="1"/>
    <col min="8" max="8" width="11" style="196" customWidth="1"/>
    <col min="9" max="9" width="38.125" style="180" customWidth="1"/>
    <col min="10" max="10" width="7" style="87" customWidth="1"/>
    <col min="11" max="19" width="15" style="87" customWidth="1"/>
    <col min="20" max="16384" width="9.125" style="148"/>
  </cols>
  <sheetData>
    <row r="1" spans="1:19" s="93" customFormat="1" ht="30.75" customHeight="1">
      <c r="B1" s="167"/>
      <c r="D1" s="226"/>
      <c r="E1" s="167"/>
      <c r="F1" s="52" t="s">
        <v>4330</v>
      </c>
      <c r="G1" s="189"/>
      <c r="H1" s="189"/>
      <c r="I1" s="227"/>
      <c r="J1" s="167"/>
      <c r="K1" s="167"/>
      <c r="L1" s="167"/>
      <c r="M1" s="167"/>
      <c r="N1" s="167"/>
      <c r="O1" s="167"/>
      <c r="P1" s="167"/>
      <c r="Q1" s="167"/>
      <c r="R1" s="167"/>
      <c r="S1" s="167"/>
    </row>
    <row r="2" spans="1:19" s="93" customFormat="1" ht="15" customHeight="1">
      <c r="A2" s="217" t="s">
        <v>477</v>
      </c>
      <c r="B2" s="217" t="s">
        <v>35</v>
      </c>
      <c r="C2" s="217" t="s">
        <v>2297</v>
      </c>
      <c r="D2" s="217" t="s">
        <v>2298</v>
      </c>
      <c r="E2" s="149"/>
      <c r="F2" s="149"/>
      <c r="G2" s="218"/>
      <c r="H2" s="218"/>
      <c r="I2" s="217"/>
      <c r="J2" s="149"/>
      <c r="K2" s="149"/>
      <c r="L2" s="149"/>
      <c r="M2" s="149"/>
      <c r="N2" s="149"/>
      <c r="O2" s="149"/>
      <c r="P2" s="149"/>
      <c r="Q2" s="149"/>
      <c r="R2" s="149"/>
      <c r="S2" s="149"/>
    </row>
    <row r="3" spans="1:19" ht="18" customHeight="1">
      <c r="A3" s="172">
        <v>2024</v>
      </c>
      <c r="B3" s="172" t="s">
        <v>45</v>
      </c>
      <c r="C3" s="172" t="s">
        <v>2348</v>
      </c>
      <c r="D3" s="172">
        <v>15828</v>
      </c>
      <c r="E3" s="98"/>
      <c r="F3" s="98"/>
      <c r="G3" s="195"/>
      <c r="H3" s="195"/>
      <c r="I3" s="172"/>
      <c r="J3" s="98"/>
      <c r="K3" s="98"/>
      <c r="L3" s="98"/>
      <c r="M3" s="98"/>
      <c r="N3" s="98"/>
      <c r="O3" s="98"/>
      <c r="P3" s="98"/>
      <c r="Q3" s="98"/>
      <c r="R3" s="98"/>
      <c r="S3" s="98"/>
    </row>
    <row r="4" spans="1:19" ht="18" customHeight="1">
      <c r="A4" s="172">
        <v>2024</v>
      </c>
      <c r="B4" s="172" t="s">
        <v>68</v>
      </c>
      <c r="C4" s="172" t="s">
        <v>2348</v>
      </c>
      <c r="D4" s="172">
        <v>11384</v>
      </c>
      <c r="E4" s="98"/>
      <c r="F4" s="98"/>
      <c r="G4" s="195"/>
      <c r="H4" s="195"/>
      <c r="I4" s="152"/>
      <c r="J4" s="98"/>
      <c r="K4" s="98"/>
      <c r="L4" s="98"/>
      <c r="M4" s="98"/>
      <c r="N4" s="98"/>
      <c r="O4" s="98"/>
      <c r="P4" s="98"/>
      <c r="Q4" s="98"/>
      <c r="R4" s="98"/>
      <c r="S4" s="98"/>
    </row>
    <row r="5" spans="1:19" ht="18" customHeight="1">
      <c r="A5" s="172">
        <v>2024</v>
      </c>
      <c r="B5" s="172" t="s">
        <v>45</v>
      </c>
      <c r="C5" s="172" t="s">
        <v>2349</v>
      </c>
      <c r="D5" s="172">
        <v>33.5</v>
      </c>
      <c r="E5" s="98"/>
      <c r="F5" s="98"/>
      <c r="G5" s="195"/>
      <c r="H5" s="195"/>
      <c r="I5" s="152"/>
      <c r="J5" s="98"/>
      <c r="K5" s="98"/>
      <c r="L5" s="98"/>
      <c r="M5" s="98"/>
      <c r="N5" s="98"/>
      <c r="O5" s="98"/>
      <c r="P5" s="98"/>
      <c r="Q5" s="98"/>
      <c r="R5" s="98"/>
      <c r="S5" s="98"/>
    </row>
    <row r="6" spans="1:19" ht="18" customHeight="1">
      <c r="A6" s="172">
        <v>2024</v>
      </c>
      <c r="B6" s="172" t="s">
        <v>68</v>
      </c>
      <c r="C6" s="172" t="s">
        <v>2349</v>
      </c>
      <c r="D6" s="172">
        <v>18.600000000000001</v>
      </c>
      <c r="E6" s="98"/>
      <c r="F6" s="98"/>
      <c r="G6" s="195"/>
      <c r="H6" s="195"/>
      <c r="I6" s="152"/>
      <c r="J6" s="98"/>
      <c r="K6" s="98"/>
      <c r="L6" s="98"/>
      <c r="M6" s="98"/>
      <c r="N6" s="98"/>
      <c r="O6" s="98"/>
      <c r="P6" s="98"/>
      <c r="Q6" s="98"/>
      <c r="R6" s="98"/>
      <c r="S6" s="98"/>
    </row>
    <row r="7" spans="1:19" ht="18" customHeight="1">
      <c r="A7" s="172">
        <v>2024</v>
      </c>
      <c r="B7" s="172" t="s">
        <v>45</v>
      </c>
      <c r="C7" s="172" t="s">
        <v>1787</v>
      </c>
      <c r="D7" s="172">
        <v>59.2</v>
      </c>
      <c r="E7" s="98"/>
      <c r="F7" s="98"/>
      <c r="G7" s="195"/>
      <c r="H7" s="195"/>
      <c r="I7" s="152"/>
      <c r="J7" s="98"/>
      <c r="K7" s="98"/>
      <c r="L7" s="98"/>
      <c r="M7" s="98"/>
      <c r="N7" s="98"/>
      <c r="O7" s="98"/>
      <c r="P7" s="98"/>
      <c r="Q7" s="98"/>
      <c r="R7" s="98"/>
      <c r="S7" s="98"/>
    </row>
    <row r="8" spans="1:19" ht="18" customHeight="1">
      <c r="A8" s="172">
        <v>2024</v>
      </c>
      <c r="B8" s="172" t="s">
        <v>68</v>
      </c>
      <c r="C8" s="172" t="s">
        <v>1787</v>
      </c>
      <c r="D8" s="172">
        <v>61.4</v>
      </c>
      <c r="E8" s="98"/>
      <c r="F8" s="98"/>
      <c r="G8" s="195"/>
      <c r="H8" s="195"/>
      <c r="I8" s="152"/>
      <c r="J8" s="98"/>
      <c r="K8" s="98"/>
      <c r="L8" s="98"/>
      <c r="M8" s="98"/>
      <c r="N8" s="98"/>
      <c r="O8" s="98"/>
      <c r="P8" s="98"/>
      <c r="Q8" s="98"/>
      <c r="R8" s="98"/>
      <c r="S8" s="98"/>
    </row>
    <row r="9" spans="1:19" ht="18" customHeight="1">
      <c r="A9" s="172">
        <v>2024</v>
      </c>
      <c r="B9" s="172" t="s">
        <v>45</v>
      </c>
      <c r="C9" s="172" t="s">
        <v>2350</v>
      </c>
      <c r="D9" s="172">
        <v>26.9</v>
      </c>
      <c r="E9" s="98"/>
      <c r="F9" s="98"/>
      <c r="G9" s="195"/>
      <c r="H9" s="195"/>
      <c r="I9" s="152"/>
      <c r="J9" s="98"/>
      <c r="K9" s="98"/>
      <c r="L9" s="98"/>
      <c r="M9" s="98"/>
      <c r="N9" s="98"/>
      <c r="O9" s="98"/>
      <c r="P9" s="98"/>
      <c r="Q9" s="98"/>
      <c r="R9" s="98"/>
      <c r="S9" s="98"/>
    </row>
    <row r="10" spans="1:19" ht="18" customHeight="1">
      <c r="A10" s="172">
        <v>2024</v>
      </c>
      <c r="B10" s="172" t="s">
        <v>68</v>
      </c>
      <c r="C10" s="172" t="s">
        <v>2350</v>
      </c>
      <c r="D10" s="172">
        <v>29.6</v>
      </c>
      <c r="E10" s="98"/>
      <c r="F10" s="98"/>
      <c r="G10" s="195"/>
      <c r="H10" s="195"/>
      <c r="I10" s="152"/>
      <c r="J10" s="98"/>
      <c r="K10" s="98"/>
      <c r="L10" s="98"/>
      <c r="M10" s="98"/>
      <c r="N10" s="98"/>
      <c r="O10" s="98"/>
      <c r="P10" s="98"/>
      <c r="Q10" s="98"/>
      <c r="R10" s="98"/>
      <c r="S10" s="98"/>
    </row>
    <row r="11" spans="1:19" ht="18" customHeight="1">
      <c r="A11" s="172">
        <v>2024</v>
      </c>
      <c r="B11" s="172" t="s">
        <v>45</v>
      </c>
      <c r="C11" s="172" t="s">
        <v>2351</v>
      </c>
      <c r="D11" s="172">
        <v>11.9</v>
      </c>
      <c r="E11" s="98"/>
      <c r="F11" s="98"/>
      <c r="G11" s="195"/>
      <c r="H11" s="195"/>
      <c r="I11" s="152"/>
      <c r="J11" s="98"/>
      <c r="K11" s="98"/>
      <c r="L11" s="98"/>
      <c r="M11" s="98"/>
      <c r="N11" s="98"/>
      <c r="O11" s="98"/>
      <c r="P11" s="98"/>
      <c r="Q11" s="98"/>
      <c r="R11" s="98"/>
      <c r="S11" s="98"/>
    </row>
    <row r="12" spans="1:19" ht="18" customHeight="1">
      <c r="A12" s="172">
        <v>2024</v>
      </c>
      <c r="B12" s="172" t="s">
        <v>68</v>
      </c>
      <c r="C12" s="172" t="s">
        <v>2351</v>
      </c>
      <c r="D12" s="172">
        <v>17</v>
      </c>
      <c r="E12" s="98"/>
      <c r="F12" s="98"/>
      <c r="G12" s="195"/>
      <c r="H12" s="195"/>
      <c r="I12" s="152"/>
      <c r="J12" s="98"/>
      <c r="K12" s="98"/>
      <c r="L12" s="98"/>
      <c r="M12" s="98"/>
      <c r="N12" s="98"/>
      <c r="O12" s="98"/>
      <c r="P12" s="98"/>
      <c r="Q12" s="98"/>
      <c r="R12" s="98"/>
      <c r="S12" s="98"/>
    </row>
    <row r="13" spans="1:19" ht="18" customHeight="1">
      <c r="A13" s="172">
        <v>2024</v>
      </c>
      <c r="B13" s="172" t="s">
        <v>45</v>
      </c>
      <c r="C13" s="172" t="s">
        <v>2352</v>
      </c>
      <c r="D13" s="172">
        <v>19.7</v>
      </c>
      <c r="E13" s="98"/>
      <c r="F13" s="98"/>
      <c r="G13" s="195"/>
      <c r="H13" s="195"/>
      <c r="I13" s="152"/>
      <c r="J13" s="98"/>
      <c r="K13" s="98"/>
      <c r="L13" s="98"/>
      <c r="M13" s="98"/>
      <c r="N13" s="98"/>
      <c r="O13" s="98"/>
      <c r="P13" s="98"/>
      <c r="Q13" s="98"/>
      <c r="R13" s="98"/>
      <c r="S13" s="98"/>
    </row>
    <row r="14" spans="1:19" ht="18" customHeight="1">
      <c r="A14" s="172">
        <v>2024</v>
      </c>
      <c r="B14" s="172" t="s">
        <v>68</v>
      </c>
      <c r="C14" s="172" t="s">
        <v>2352</v>
      </c>
      <c r="D14" s="172">
        <v>19.7</v>
      </c>
      <c r="E14" s="98"/>
      <c r="F14" s="98"/>
      <c r="G14" s="195"/>
      <c r="H14" s="195"/>
      <c r="I14" s="152"/>
      <c r="J14" s="98"/>
      <c r="K14" s="98"/>
      <c r="L14" s="98"/>
      <c r="M14" s="98"/>
      <c r="N14" s="98"/>
      <c r="O14" s="98"/>
      <c r="P14" s="98"/>
      <c r="Q14" s="98"/>
      <c r="R14" s="98"/>
      <c r="S14" s="98"/>
    </row>
    <row r="15" spans="1:19" ht="18" customHeight="1">
      <c r="A15" s="172">
        <v>2024</v>
      </c>
      <c r="B15" s="172" t="s">
        <v>45</v>
      </c>
      <c r="C15" s="172" t="s">
        <v>2307</v>
      </c>
      <c r="D15" s="172">
        <v>17.329999999999998</v>
      </c>
      <c r="E15" s="98"/>
      <c r="F15" s="98"/>
      <c r="G15" s="195"/>
      <c r="H15" s="195"/>
      <c r="I15" s="152"/>
      <c r="J15" s="98"/>
      <c r="K15" s="98"/>
      <c r="L15" s="98"/>
      <c r="M15" s="98"/>
      <c r="N15" s="98"/>
      <c r="O15" s="98"/>
      <c r="P15" s="98"/>
      <c r="Q15" s="98"/>
      <c r="R15" s="98"/>
      <c r="S15" s="98"/>
    </row>
    <row r="16" spans="1:19" ht="18" customHeight="1">
      <c r="A16" s="172">
        <v>2024</v>
      </c>
      <c r="B16" s="172" t="s">
        <v>68</v>
      </c>
      <c r="C16" s="172" t="s">
        <v>2307</v>
      </c>
      <c r="D16" s="172">
        <v>13.25</v>
      </c>
      <c r="E16" s="98"/>
      <c r="F16" s="98"/>
      <c r="G16" s="195"/>
      <c r="H16" s="195"/>
      <c r="I16" s="152"/>
      <c r="J16" s="98"/>
      <c r="K16" s="98"/>
      <c r="L16" s="98"/>
      <c r="M16" s="98"/>
      <c r="N16" s="98"/>
      <c r="O16" s="98"/>
      <c r="P16" s="98"/>
      <c r="Q16" s="98"/>
      <c r="R16" s="98"/>
      <c r="S16" s="98"/>
    </row>
    <row r="17" spans="1:19" ht="18" customHeight="1">
      <c r="A17" s="172">
        <v>2024</v>
      </c>
      <c r="B17" s="172" t="s">
        <v>45</v>
      </c>
      <c r="C17" s="172" t="s">
        <v>2311</v>
      </c>
      <c r="D17" s="172">
        <v>19.8</v>
      </c>
      <c r="E17" s="98"/>
      <c r="F17" s="98"/>
      <c r="G17" s="195"/>
      <c r="H17" s="195"/>
      <c r="I17" s="152"/>
      <c r="J17" s="98"/>
      <c r="K17" s="98"/>
      <c r="L17" s="98"/>
      <c r="M17" s="98"/>
      <c r="N17" s="98"/>
      <c r="O17" s="98"/>
      <c r="P17" s="98"/>
      <c r="Q17" s="98"/>
      <c r="R17" s="98"/>
      <c r="S17" s="98"/>
    </row>
    <row r="18" spans="1:19" ht="18" customHeight="1">
      <c r="A18" s="172">
        <v>2024</v>
      </c>
      <c r="B18" s="172" t="s">
        <v>68</v>
      </c>
      <c r="C18" s="172" t="s">
        <v>2311</v>
      </c>
      <c r="D18" s="172">
        <v>13.55</v>
      </c>
      <c r="E18" s="98"/>
      <c r="F18" s="98"/>
      <c r="G18" s="195"/>
      <c r="H18" s="195"/>
      <c r="I18" s="152"/>
      <c r="J18" s="98"/>
      <c r="K18" s="98"/>
      <c r="L18" s="98"/>
      <c r="M18" s="98"/>
      <c r="N18" s="98"/>
      <c r="O18" s="98"/>
      <c r="P18" s="98"/>
      <c r="Q18" s="98"/>
      <c r="R18" s="98"/>
      <c r="S18" s="98"/>
    </row>
    <row r="19" spans="1:19" ht="18" customHeight="1">
      <c r="A19" s="172">
        <v>2024</v>
      </c>
      <c r="B19" s="172" t="s">
        <v>45</v>
      </c>
      <c r="C19" s="172" t="s">
        <v>2302</v>
      </c>
      <c r="D19" s="172">
        <v>39.22</v>
      </c>
      <c r="E19" s="98"/>
      <c r="F19" s="98"/>
      <c r="G19" s="195"/>
      <c r="H19" s="195"/>
      <c r="I19" s="152"/>
      <c r="J19" s="98"/>
      <c r="K19" s="98"/>
      <c r="L19" s="98"/>
      <c r="M19" s="98"/>
      <c r="N19" s="98"/>
      <c r="O19" s="98"/>
      <c r="P19" s="98"/>
      <c r="Q19" s="98"/>
      <c r="R19" s="98"/>
      <c r="S19" s="98"/>
    </row>
    <row r="20" spans="1:19" ht="18" customHeight="1">
      <c r="A20" s="172">
        <v>2024</v>
      </c>
      <c r="B20" s="172" t="s">
        <v>68</v>
      </c>
      <c r="C20" s="172" t="s">
        <v>2302</v>
      </c>
      <c r="D20" s="172">
        <v>40.39</v>
      </c>
      <c r="E20" s="98"/>
      <c r="F20" s="98"/>
      <c r="G20" s="195"/>
      <c r="H20" s="195"/>
      <c r="I20" s="152"/>
      <c r="J20" s="98"/>
      <c r="K20" s="98"/>
      <c r="L20" s="98"/>
      <c r="M20" s="98"/>
      <c r="N20" s="98"/>
      <c r="O20" s="98"/>
      <c r="P20" s="98"/>
      <c r="Q20" s="98"/>
      <c r="R20" s="98"/>
      <c r="S20" s="98"/>
    </row>
    <row r="21" spans="1:19" ht="18" customHeight="1">
      <c r="A21" s="172">
        <v>2024</v>
      </c>
      <c r="B21" s="172" t="s">
        <v>45</v>
      </c>
      <c r="C21" s="172" t="s">
        <v>2315</v>
      </c>
      <c r="D21" s="172">
        <v>7.77</v>
      </c>
      <c r="E21" s="98"/>
      <c r="F21" s="98"/>
      <c r="G21" s="195"/>
      <c r="H21" s="195"/>
      <c r="I21" s="152"/>
      <c r="J21" s="98"/>
      <c r="K21" s="98"/>
      <c r="L21" s="98"/>
      <c r="M21" s="98"/>
      <c r="N21" s="98"/>
      <c r="O21" s="98"/>
      <c r="P21" s="98"/>
      <c r="Q21" s="98"/>
      <c r="R21" s="98"/>
      <c r="S21" s="98"/>
    </row>
    <row r="22" spans="1:19" ht="18" customHeight="1">
      <c r="A22" s="172">
        <v>2024</v>
      </c>
      <c r="B22" s="172" t="s">
        <v>68</v>
      </c>
      <c r="C22" s="172" t="s">
        <v>2315</v>
      </c>
      <c r="D22" s="172">
        <v>10.119999999999999</v>
      </c>
      <c r="E22" s="98"/>
      <c r="F22" s="98"/>
      <c r="G22" s="195"/>
      <c r="H22" s="195"/>
      <c r="I22" s="152"/>
      <c r="J22" s="98"/>
      <c r="K22" s="98"/>
      <c r="L22" s="98"/>
      <c r="M22" s="98"/>
      <c r="N22" s="98"/>
      <c r="O22" s="98"/>
      <c r="P22" s="98"/>
      <c r="Q22" s="98"/>
      <c r="R22" s="98"/>
      <c r="S22" s="98"/>
    </row>
    <row r="23" spans="1:19" ht="18" customHeight="1">
      <c r="A23" s="172">
        <v>2023</v>
      </c>
      <c r="B23" s="172" t="s">
        <v>45</v>
      </c>
      <c r="C23" s="172" t="s">
        <v>2348</v>
      </c>
      <c r="D23" s="172">
        <v>18338</v>
      </c>
      <c r="E23" s="98"/>
      <c r="F23" s="98"/>
      <c r="G23" s="195"/>
      <c r="H23" s="195"/>
      <c r="I23" s="152"/>
      <c r="J23" s="98"/>
      <c r="K23" s="98"/>
      <c r="L23" s="98"/>
      <c r="M23" s="98"/>
      <c r="N23" s="98"/>
      <c r="O23" s="98"/>
      <c r="P23" s="98"/>
      <c r="Q23" s="98"/>
      <c r="R23" s="98"/>
      <c r="S23" s="98"/>
    </row>
    <row r="24" spans="1:19" ht="18" customHeight="1">
      <c r="A24" s="172">
        <v>2023</v>
      </c>
      <c r="B24" s="172" t="s">
        <v>68</v>
      </c>
      <c r="C24" s="172" t="s">
        <v>2348</v>
      </c>
      <c r="D24" s="172">
        <v>8677</v>
      </c>
      <c r="E24" s="98"/>
      <c r="F24" s="98"/>
      <c r="G24" s="195"/>
      <c r="H24" s="195"/>
      <c r="I24" s="152"/>
      <c r="J24" s="98"/>
      <c r="K24" s="98"/>
      <c r="L24" s="98"/>
      <c r="M24" s="98"/>
      <c r="N24" s="98"/>
      <c r="O24" s="98"/>
      <c r="P24" s="98"/>
      <c r="Q24" s="98"/>
      <c r="R24" s="98"/>
      <c r="S24" s="98"/>
    </row>
    <row r="25" spans="1:19" ht="18" customHeight="1">
      <c r="A25" s="172">
        <v>2023</v>
      </c>
      <c r="B25" s="172" t="s">
        <v>45</v>
      </c>
      <c r="C25" s="172" t="s">
        <v>2349</v>
      </c>
      <c r="D25" s="172">
        <v>50.6</v>
      </c>
      <c r="E25" s="98"/>
      <c r="F25" s="98"/>
      <c r="G25" s="195"/>
      <c r="H25" s="195"/>
      <c r="I25" s="152"/>
      <c r="J25" s="98"/>
      <c r="K25" s="98"/>
      <c r="L25" s="98"/>
      <c r="M25" s="98"/>
      <c r="N25" s="98"/>
      <c r="O25" s="98"/>
      <c r="P25" s="98"/>
      <c r="Q25" s="98"/>
      <c r="R25" s="98"/>
      <c r="S25" s="98"/>
    </row>
    <row r="26" spans="1:19" ht="18" customHeight="1">
      <c r="A26" s="172">
        <v>2023</v>
      </c>
      <c r="B26" s="172" t="s">
        <v>68</v>
      </c>
      <c r="C26" s="172" t="s">
        <v>2349</v>
      </c>
      <c r="D26" s="172">
        <v>25.3</v>
      </c>
      <c r="E26" s="98"/>
      <c r="F26" s="98"/>
      <c r="G26" s="195"/>
      <c r="H26" s="195"/>
      <c r="I26" s="152"/>
      <c r="J26" s="98"/>
      <c r="K26" s="98"/>
      <c r="L26" s="98"/>
      <c r="M26" s="98"/>
      <c r="N26" s="98"/>
      <c r="O26" s="98"/>
      <c r="P26" s="98"/>
      <c r="Q26" s="98"/>
      <c r="R26" s="98"/>
      <c r="S26" s="98"/>
    </row>
    <row r="27" spans="1:19" ht="18" customHeight="1">
      <c r="A27" s="172">
        <v>2023</v>
      </c>
      <c r="B27" s="172" t="s">
        <v>45</v>
      </c>
      <c r="C27" s="172" t="s">
        <v>1787</v>
      </c>
      <c r="D27" s="172">
        <v>62.5</v>
      </c>
      <c r="E27" s="98"/>
      <c r="F27" s="98"/>
      <c r="G27" s="195"/>
      <c r="H27" s="195"/>
      <c r="I27" s="152"/>
      <c r="J27" s="98"/>
      <c r="K27" s="98"/>
      <c r="L27" s="98"/>
      <c r="M27" s="98"/>
      <c r="N27" s="98"/>
      <c r="O27" s="98"/>
      <c r="P27" s="98"/>
      <c r="Q27" s="98"/>
      <c r="R27" s="98"/>
      <c r="S27" s="98"/>
    </row>
    <row r="28" spans="1:19" ht="18" customHeight="1">
      <c r="A28" s="172">
        <v>2023</v>
      </c>
      <c r="B28" s="172" t="s">
        <v>68</v>
      </c>
      <c r="C28" s="172" t="s">
        <v>1787</v>
      </c>
      <c r="D28" s="172">
        <v>63</v>
      </c>
      <c r="E28" s="98"/>
      <c r="F28" s="98"/>
      <c r="G28" s="195"/>
      <c r="H28" s="195"/>
      <c r="I28" s="152"/>
      <c r="J28" s="98"/>
      <c r="K28" s="98"/>
      <c r="L28" s="98"/>
      <c r="M28" s="98"/>
      <c r="N28" s="98"/>
      <c r="O28" s="98"/>
      <c r="P28" s="98"/>
      <c r="Q28" s="98"/>
      <c r="R28" s="98"/>
      <c r="S28" s="98"/>
    </row>
    <row r="29" spans="1:19" ht="18" customHeight="1">
      <c r="A29" s="172">
        <v>2023</v>
      </c>
      <c r="B29" s="172" t="s">
        <v>45</v>
      </c>
      <c r="C29" s="172" t="s">
        <v>2350</v>
      </c>
      <c r="D29" s="172">
        <v>28.6</v>
      </c>
      <c r="E29" s="98"/>
      <c r="F29" s="98"/>
      <c r="G29" s="195"/>
      <c r="H29" s="195"/>
      <c r="I29" s="152"/>
      <c r="J29" s="98"/>
      <c r="K29" s="98"/>
      <c r="L29" s="98"/>
      <c r="M29" s="98"/>
      <c r="N29" s="98"/>
      <c r="O29" s="98"/>
      <c r="P29" s="98"/>
      <c r="Q29" s="98"/>
      <c r="R29" s="98"/>
      <c r="S29" s="98"/>
    </row>
    <row r="30" spans="1:19" ht="18" customHeight="1">
      <c r="A30" s="172">
        <v>2023</v>
      </c>
      <c r="B30" s="172" t="s">
        <v>68</v>
      </c>
      <c r="C30" s="172" t="s">
        <v>2350</v>
      </c>
      <c r="D30" s="172">
        <v>31.8</v>
      </c>
      <c r="E30" s="98"/>
      <c r="F30" s="98"/>
      <c r="G30" s="195"/>
      <c r="H30" s="195"/>
      <c r="I30" s="152"/>
      <c r="J30" s="98"/>
      <c r="K30" s="98"/>
      <c r="L30" s="98"/>
      <c r="M30" s="98"/>
      <c r="N30" s="98"/>
      <c r="O30" s="98"/>
      <c r="P30" s="98"/>
      <c r="Q30" s="98"/>
      <c r="R30" s="98"/>
      <c r="S30" s="98"/>
    </row>
    <row r="31" spans="1:19" ht="18" customHeight="1">
      <c r="A31" s="172">
        <v>2023</v>
      </c>
      <c r="B31" s="172" t="s">
        <v>45</v>
      </c>
      <c r="C31" s="172" t="s">
        <v>2351</v>
      </c>
      <c r="D31" s="172">
        <v>10.9</v>
      </c>
      <c r="E31" s="98"/>
      <c r="F31" s="98"/>
      <c r="G31" s="195"/>
      <c r="H31" s="195"/>
      <c r="I31" s="152"/>
      <c r="J31" s="98"/>
      <c r="K31" s="98"/>
      <c r="L31" s="98"/>
      <c r="M31" s="98"/>
      <c r="N31" s="98"/>
      <c r="O31" s="98"/>
      <c r="P31" s="98"/>
      <c r="Q31" s="98"/>
      <c r="R31" s="98"/>
      <c r="S31" s="98"/>
    </row>
    <row r="32" spans="1:19" ht="18" customHeight="1">
      <c r="A32" s="172">
        <v>2023</v>
      </c>
      <c r="B32" s="172" t="s">
        <v>68</v>
      </c>
      <c r="C32" s="172" t="s">
        <v>2351</v>
      </c>
      <c r="D32" s="172">
        <v>14.4</v>
      </c>
      <c r="E32" s="98"/>
      <c r="F32" s="98"/>
      <c r="G32" s="195"/>
      <c r="H32" s="195"/>
      <c r="I32" s="152"/>
      <c r="J32" s="98"/>
      <c r="K32" s="98"/>
      <c r="L32" s="98"/>
      <c r="M32" s="98"/>
      <c r="N32" s="98"/>
      <c r="O32" s="98"/>
      <c r="P32" s="98"/>
      <c r="Q32" s="98"/>
      <c r="R32" s="98"/>
      <c r="S32" s="98"/>
    </row>
    <row r="33" spans="1:19" ht="18" customHeight="1">
      <c r="A33" s="172">
        <v>2023</v>
      </c>
      <c r="B33" s="172" t="s">
        <v>45</v>
      </c>
      <c r="C33" s="172" t="s">
        <v>2352</v>
      </c>
      <c r="D33" s="172">
        <v>20</v>
      </c>
      <c r="E33" s="98"/>
      <c r="F33" s="98"/>
      <c r="G33" s="195"/>
      <c r="H33" s="195"/>
      <c r="I33" s="152"/>
      <c r="J33" s="98"/>
      <c r="K33" s="98"/>
      <c r="L33" s="98"/>
      <c r="M33" s="98"/>
      <c r="N33" s="98"/>
      <c r="O33" s="98"/>
      <c r="P33" s="98"/>
      <c r="Q33" s="98"/>
      <c r="R33" s="98"/>
      <c r="S33" s="98"/>
    </row>
    <row r="34" spans="1:19" ht="18" customHeight="1">
      <c r="A34" s="172">
        <v>2023</v>
      </c>
      <c r="B34" s="172" t="s">
        <v>68</v>
      </c>
      <c r="C34" s="172" t="s">
        <v>2352</v>
      </c>
      <c r="D34" s="172">
        <v>18.8</v>
      </c>
      <c r="E34" s="98"/>
      <c r="F34" s="98"/>
      <c r="G34" s="195"/>
      <c r="H34" s="195"/>
      <c r="I34" s="152"/>
      <c r="J34" s="98"/>
      <c r="K34" s="98"/>
      <c r="L34" s="98"/>
      <c r="M34" s="98"/>
      <c r="N34" s="98"/>
      <c r="O34" s="98"/>
      <c r="P34" s="98"/>
      <c r="Q34" s="98"/>
      <c r="R34" s="98"/>
      <c r="S34" s="98"/>
    </row>
    <row r="35" spans="1:19" ht="18" customHeight="1">
      <c r="A35" s="172">
        <v>2023</v>
      </c>
      <c r="B35" s="172" t="s">
        <v>45</v>
      </c>
      <c r="C35" s="172" t="s">
        <v>2307</v>
      </c>
      <c r="D35" s="172">
        <v>15.93</v>
      </c>
      <c r="E35" s="98"/>
      <c r="F35" s="98"/>
      <c r="G35" s="195"/>
      <c r="H35" s="195"/>
      <c r="I35" s="152"/>
      <c r="J35" s="98"/>
      <c r="K35" s="98"/>
      <c r="L35" s="98"/>
      <c r="M35" s="98"/>
      <c r="N35" s="98"/>
      <c r="O35" s="98"/>
      <c r="P35" s="98"/>
      <c r="Q35" s="98"/>
      <c r="R35" s="98"/>
      <c r="S35" s="98"/>
    </row>
    <row r="36" spans="1:19" ht="18" customHeight="1">
      <c r="A36" s="172">
        <v>2023</v>
      </c>
      <c r="B36" s="172" t="s">
        <v>68</v>
      </c>
      <c r="C36" s="172" t="s">
        <v>2307</v>
      </c>
      <c r="D36" s="172">
        <v>13.09</v>
      </c>
      <c r="E36" s="98"/>
      <c r="F36" s="98"/>
      <c r="G36" s="195"/>
      <c r="H36" s="195"/>
      <c r="I36" s="152"/>
      <c r="J36" s="98"/>
      <c r="K36" s="98"/>
      <c r="L36" s="98"/>
      <c r="M36" s="98"/>
      <c r="N36" s="98"/>
      <c r="O36" s="98"/>
      <c r="P36" s="98"/>
      <c r="Q36" s="98"/>
      <c r="R36" s="98"/>
      <c r="S36" s="98"/>
    </row>
    <row r="37" spans="1:19" ht="18" customHeight="1">
      <c r="A37" s="172">
        <v>2023</v>
      </c>
      <c r="B37" s="172" t="s">
        <v>45</v>
      </c>
      <c r="C37" s="172" t="s">
        <v>2311</v>
      </c>
      <c r="D37" s="172">
        <v>18.739999999999998</v>
      </c>
      <c r="E37" s="98"/>
      <c r="F37" s="98"/>
      <c r="G37" s="195"/>
      <c r="H37" s="195"/>
      <c r="I37" s="152"/>
      <c r="J37" s="98"/>
      <c r="K37" s="98"/>
      <c r="L37" s="98"/>
      <c r="M37" s="98"/>
      <c r="N37" s="98"/>
      <c r="O37" s="98"/>
      <c r="P37" s="98"/>
      <c r="Q37" s="98"/>
      <c r="R37" s="98"/>
      <c r="S37" s="98"/>
    </row>
    <row r="38" spans="1:19" ht="18" customHeight="1">
      <c r="A38" s="172">
        <v>2023</v>
      </c>
      <c r="B38" s="172" t="s">
        <v>68</v>
      </c>
      <c r="C38" s="172" t="s">
        <v>2311</v>
      </c>
      <c r="D38" s="172">
        <v>15.37</v>
      </c>
      <c r="E38" s="98"/>
      <c r="F38" s="98"/>
      <c r="G38" s="195"/>
      <c r="H38" s="195"/>
      <c r="I38" s="152"/>
      <c r="J38" s="98"/>
      <c r="K38" s="98"/>
      <c r="L38" s="98"/>
      <c r="M38" s="98"/>
      <c r="N38" s="98"/>
      <c r="O38" s="98"/>
      <c r="P38" s="98"/>
      <c r="Q38" s="98"/>
      <c r="R38" s="98"/>
      <c r="S38" s="98"/>
    </row>
    <row r="39" spans="1:19" ht="18" customHeight="1">
      <c r="A39" s="172">
        <v>2023</v>
      </c>
      <c r="B39" s="172" t="s">
        <v>45</v>
      </c>
      <c r="C39" s="172" t="s">
        <v>2302</v>
      </c>
      <c r="D39" s="172">
        <v>39.89</v>
      </c>
      <c r="E39" s="98"/>
      <c r="F39" s="98"/>
      <c r="G39" s="195"/>
      <c r="H39" s="195"/>
      <c r="I39" s="152"/>
      <c r="J39" s="98"/>
      <c r="K39" s="98"/>
      <c r="L39" s="98"/>
      <c r="M39" s="98"/>
      <c r="N39" s="98"/>
      <c r="O39" s="98"/>
      <c r="P39" s="98"/>
      <c r="Q39" s="98"/>
      <c r="R39" s="98"/>
      <c r="S39" s="98"/>
    </row>
    <row r="40" spans="1:19" ht="18" customHeight="1">
      <c r="A40" s="172">
        <v>2023</v>
      </c>
      <c r="B40" s="172" t="s">
        <v>68</v>
      </c>
      <c r="C40" s="172" t="s">
        <v>2302</v>
      </c>
      <c r="D40" s="172">
        <v>40.049999999999997</v>
      </c>
      <c r="E40" s="98"/>
      <c r="F40" s="98"/>
      <c r="G40" s="195"/>
      <c r="H40" s="195"/>
      <c r="I40" s="152"/>
      <c r="J40" s="98"/>
      <c r="K40" s="98"/>
      <c r="L40" s="98"/>
      <c r="M40" s="98"/>
      <c r="N40" s="98"/>
      <c r="O40" s="98"/>
      <c r="P40" s="98"/>
      <c r="Q40" s="98"/>
      <c r="R40" s="98"/>
      <c r="S40" s="98"/>
    </row>
    <row r="41" spans="1:19" ht="18" customHeight="1">
      <c r="A41" s="172">
        <v>2023</v>
      </c>
      <c r="B41" s="172" t="s">
        <v>45</v>
      </c>
      <c r="C41" s="172" t="s">
        <v>2315</v>
      </c>
      <c r="D41" s="172">
        <v>6.65</v>
      </c>
      <c r="E41" s="98"/>
      <c r="F41" s="98"/>
      <c r="G41" s="195"/>
      <c r="H41" s="195"/>
      <c r="I41" s="152"/>
      <c r="J41" s="98"/>
      <c r="K41" s="98"/>
      <c r="L41" s="98"/>
      <c r="M41" s="98"/>
      <c r="N41" s="98"/>
      <c r="O41" s="98"/>
      <c r="P41" s="98"/>
      <c r="Q41" s="98"/>
      <c r="R41" s="98"/>
      <c r="S41" s="98"/>
    </row>
    <row r="42" spans="1:19" ht="18" customHeight="1">
      <c r="A42" s="172">
        <v>2023</v>
      </c>
      <c r="B42" s="172" t="s">
        <v>68</v>
      </c>
      <c r="C42" s="172" t="s">
        <v>2315</v>
      </c>
      <c r="D42" s="172">
        <v>13.62</v>
      </c>
      <c r="E42" s="98"/>
      <c r="F42" s="98"/>
      <c r="G42" s="195"/>
      <c r="H42" s="195"/>
      <c r="I42" s="152"/>
      <c r="J42" s="98"/>
      <c r="K42" s="98"/>
      <c r="L42" s="98"/>
      <c r="M42" s="98"/>
      <c r="N42" s="98"/>
      <c r="O42" s="98"/>
      <c r="P42" s="98"/>
      <c r="Q42" s="98"/>
      <c r="R42" s="98"/>
      <c r="S42" s="98"/>
    </row>
    <row r="43" spans="1:19" ht="18" customHeight="1">
      <c r="A43" s="172">
        <v>2022</v>
      </c>
      <c r="B43" s="172" t="s">
        <v>45</v>
      </c>
      <c r="C43" s="172" t="s">
        <v>2348</v>
      </c>
      <c r="D43" s="172">
        <v>16281</v>
      </c>
      <c r="E43" s="98"/>
      <c r="F43" s="98"/>
      <c r="G43" s="195"/>
      <c r="H43" s="195"/>
      <c r="I43" s="152"/>
      <c r="J43" s="98"/>
      <c r="K43" s="98"/>
      <c r="L43" s="98"/>
      <c r="M43" s="98"/>
      <c r="N43" s="98"/>
      <c r="O43" s="98"/>
      <c r="P43" s="98"/>
      <c r="Q43" s="98"/>
      <c r="R43" s="98"/>
      <c r="S43" s="98"/>
    </row>
    <row r="44" spans="1:19" ht="18" customHeight="1">
      <c r="A44" s="172">
        <v>2022</v>
      </c>
      <c r="B44" s="172" t="s">
        <v>68</v>
      </c>
      <c r="C44" s="172" t="s">
        <v>2348</v>
      </c>
      <c r="D44" s="172">
        <v>8134</v>
      </c>
      <c r="E44" s="98"/>
      <c r="F44" s="98"/>
      <c r="G44" s="195"/>
      <c r="H44" s="195"/>
      <c r="I44" s="152"/>
      <c r="J44" s="98"/>
      <c r="K44" s="98"/>
      <c r="L44" s="98"/>
      <c r="M44" s="98"/>
      <c r="N44" s="98"/>
      <c r="O44" s="98"/>
      <c r="P44" s="98"/>
      <c r="Q44" s="98"/>
      <c r="R44" s="98"/>
      <c r="S44" s="98"/>
    </row>
    <row r="45" spans="1:19" ht="18" customHeight="1">
      <c r="A45" s="172">
        <v>2022</v>
      </c>
      <c r="B45" s="172" t="s">
        <v>45</v>
      </c>
      <c r="C45" s="172" t="s">
        <v>2349</v>
      </c>
      <c r="D45" s="172">
        <v>54.5</v>
      </c>
      <c r="E45" s="98"/>
      <c r="F45" s="98"/>
      <c r="G45" s="195"/>
      <c r="H45" s="195"/>
      <c r="I45" s="152"/>
      <c r="J45" s="98"/>
      <c r="K45" s="98"/>
      <c r="L45" s="98"/>
      <c r="M45" s="98"/>
      <c r="N45" s="98"/>
      <c r="O45" s="98"/>
      <c r="P45" s="98"/>
      <c r="Q45" s="98"/>
      <c r="R45" s="98"/>
      <c r="S45" s="98"/>
    </row>
    <row r="46" spans="1:19" ht="18" customHeight="1">
      <c r="A46" s="172">
        <v>2022</v>
      </c>
      <c r="B46" s="172" t="s">
        <v>68</v>
      </c>
      <c r="C46" s="172" t="s">
        <v>2349</v>
      </c>
      <c r="D46" s="172">
        <v>27.6</v>
      </c>
      <c r="E46" s="98"/>
      <c r="F46" s="98"/>
      <c r="G46" s="195"/>
      <c r="H46" s="195"/>
      <c r="I46" s="152"/>
      <c r="J46" s="98"/>
      <c r="K46" s="98"/>
      <c r="L46" s="98"/>
      <c r="M46" s="98"/>
      <c r="N46" s="98"/>
      <c r="O46" s="98"/>
      <c r="P46" s="98"/>
      <c r="Q46" s="98"/>
      <c r="R46" s="98"/>
      <c r="S46" s="98"/>
    </row>
    <row r="47" spans="1:19" ht="18" customHeight="1">
      <c r="A47" s="172">
        <v>2022</v>
      </c>
      <c r="B47" s="172" t="s">
        <v>45</v>
      </c>
      <c r="C47" s="172" t="s">
        <v>1787</v>
      </c>
      <c r="D47" s="172">
        <v>65.599999999999994</v>
      </c>
      <c r="E47" s="98"/>
      <c r="F47" s="98"/>
      <c r="G47" s="195"/>
      <c r="H47" s="195"/>
      <c r="I47" s="152"/>
      <c r="J47" s="98"/>
      <c r="K47" s="98"/>
      <c r="L47" s="98"/>
      <c r="M47" s="98"/>
      <c r="N47" s="98"/>
      <c r="O47" s="98"/>
      <c r="P47" s="98"/>
      <c r="Q47" s="98"/>
      <c r="R47" s="98"/>
      <c r="S47" s="98"/>
    </row>
    <row r="48" spans="1:19" ht="18" customHeight="1">
      <c r="A48" s="172">
        <v>2022</v>
      </c>
      <c r="B48" s="172" t="s">
        <v>68</v>
      </c>
      <c r="C48" s="172" t="s">
        <v>1787</v>
      </c>
      <c r="D48" s="172">
        <v>63.9</v>
      </c>
      <c r="E48" s="98"/>
      <c r="F48" s="98"/>
      <c r="G48" s="195"/>
      <c r="H48" s="195"/>
      <c r="I48" s="152"/>
      <c r="J48" s="98"/>
      <c r="K48" s="98"/>
      <c r="L48" s="98"/>
      <c r="M48" s="98"/>
      <c r="N48" s="98"/>
      <c r="O48" s="98"/>
      <c r="P48" s="98"/>
      <c r="Q48" s="98"/>
      <c r="R48" s="98"/>
      <c r="S48" s="98"/>
    </row>
    <row r="49" spans="1:19" ht="18" customHeight="1">
      <c r="A49" s="172">
        <v>2022</v>
      </c>
      <c r="B49" s="172" t="s">
        <v>45</v>
      </c>
      <c r="C49" s="172" t="s">
        <v>2350</v>
      </c>
      <c r="D49" s="172">
        <v>29.9</v>
      </c>
      <c r="E49" s="98"/>
      <c r="F49" s="98"/>
      <c r="G49" s="195"/>
      <c r="H49" s="195"/>
      <c r="I49" s="152"/>
      <c r="J49" s="98"/>
      <c r="K49" s="98"/>
      <c r="L49" s="98"/>
      <c r="M49" s="98"/>
      <c r="N49" s="98"/>
      <c r="O49" s="98"/>
      <c r="P49" s="98"/>
      <c r="Q49" s="98"/>
      <c r="R49" s="98"/>
      <c r="S49" s="98"/>
    </row>
    <row r="50" spans="1:19" ht="18" customHeight="1">
      <c r="A50" s="172">
        <v>2022</v>
      </c>
      <c r="B50" s="172" t="s">
        <v>68</v>
      </c>
      <c r="C50" s="172" t="s">
        <v>2350</v>
      </c>
      <c r="D50" s="172">
        <v>34.700000000000003</v>
      </c>
      <c r="E50" s="98"/>
      <c r="F50" s="98"/>
      <c r="G50" s="195"/>
      <c r="H50" s="195"/>
      <c r="I50" s="152"/>
      <c r="J50" s="98"/>
      <c r="K50" s="98"/>
      <c r="L50" s="98"/>
      <c r="M50" s="98"/>
      <c r="N50" s="98"/>
      <c r="O50" s="98"/>
      <c r="P50" s="98"/>
      <c r="Q50" s="98"/>
      <c r="R50" s="98"/>
      <c r="S50" s="98"/>
    </row>
    <row r="51" spans="1:19" ht="18" customHeight="1">
      <c r="A51" s="172">
        <v>2022</v>
      </c>
      <c r="B51" s="172" t="s">
        <v>45</v>
      </c>
      <c r="C51" s="172" t="s">
        <v>2351</v>
      </c>
      <c r="D51" s="172">
        <v>11.8</v>
      </c>
      <c r="E51" s="98"/>
      <c r="F51" s="98"/>
      <c r="G51" s="195"/>
      <c r="H51" s="195"/>
      <c r="I51" s="152"/>
      <c r="J51" s="98"/>
      <c r="K51" s="98"/>
      <c r="L51" s="98"/>
      <c r="M51" s="98"/>
      <c r="N51" s="98"/>
      <c r="O51" s="98"/>
      <c r="P51" s="98"/>
      <c r="Q51" s="98"/>
      <c r="R51" s="98"/>
      <c r="S51" s="98"/>
    </row>
    <row r="52" spans="1:19" ht="18" customHeight="1">
      <c r="A52" s="172">
        <v>2022</v>
      </c>
      <c r="B52" s="172" t="s">
        <v>68</v>
      </c>
      <c r="C52" s="172" t="s">
        <v>2351</v>
      </c>
      <c r="D52" s="172">
        <v>17</v>
      </c>
      <c r="E52" s="98"/>
      <c r="F52" s="98"/>
      <c r="G52" s="195"/>
      <c r="H52" s="195"/>
      <c r="I52" s="152"/>
      <c r="J52" s="98"/>
      <c r="K52" s="98"/>
      <c r="L52" s="98"/>
      <c r="M52" s="98"/>
      <c r="N52" s="98"/>
      <c r="O52" s="98"/>
      <c r="P52" s="98"/>
      <c r="Q52" s="98"/>
      <c r="R52" s="98"/>
      <c r="S52" s="98"/>
    </row>
    <row r="53" spans="1:19" ht="18" customHeight="1">
      <c r="A53" s="172">
        <v>2022</v>
      </c>
      <c r="B53" s="172" t="s">
        <v>45</v>
      </c>
      <c r="C53" s="172" t="s">
        <v>2352</v>
      </c>
      <c r="D53" s="172">
        <v>19.3</v>
      </c>
      <c r="E53" s="98"/>
      <c r="F53" s="98"/>
      <c r="G53" s="195"/>
      <c r="H53" s="195"/>
      <c r="I53" s="152"/>
      <c r="J53" s="98"/>
      <c r="K53" s="98"/>
      <c r="L53" s="98"/>
      <c r="M53" s="98"/>
      <c r="N53" s="98"/>
      <c r="O53" s="98"/>
      <c r="P53" s="98"/>
      <c r="Q53" s="98"/>
      <c r="R53" s="98"/>
      <c r="S53" s="98"/>
    </row>
    <row r="54" spans="1:19" ht="18" customHeight="1">
      <c r="A54" s="172">
        <v>2022</v>
      </c>
      <c r="B54" s="172" t="s">
        <v>68</v>
      </c>
      <c r="C54" s="172" t="s">
        <v>2352</v>
      </c>
      <c r="D54" s="172">
        <v>21.3</v>
      </c>
      <c r="E54" s="98"/>
      <c r="F54" s="98"/>
      <c r="G54" s="195"/>
      <c r="H54" s="195"/>
      <c r="I54" s="152"/>
      <c r="J54" s="98"/>
      <c r="K54" s="98"/>
      <c r="L54" s="98"/>
      <c r="M54" s="98"/>
      <c r="N54" s="98"/>
      <c r="O54" s="98"/>
      <c r="P54" s="98"/>
      <c r="Q54" s="98"/>
      <c r="R54" s="98"/>
      <c r="S54" s="98"/>
    </row>
    <row r="55" spans="1:19" ht="18" customHeight="1">
      <c r="A55" s="172">
        <v>2022</v>
      </c>
      <c r="B55" s="172" t="s">
        <v>45</v>
      </c>
      <c r="C55" s="172" t="s">
        <v>2307</v>
      </c>
      <c r="D55" s="172">
        <v>16.86</v>
      </c>
      <c r="E55" s="98"/>
      <c r="F55" s="98"/>
      <c r="G55" s="195"/>
      <c r="H55" s="195"/>
      <c r="I55" s="152"/>
      <c r="J55" s="98"/>
      <c r="K55" s="98"/>
      <c r="L55" s="98"/>
      <c r="M55" s="98"/>
      <c r="N55" s="98"/>
      <c r="O55" s="98"/>
      <c r="P55" s="98"/>
      <c r="Q55" s="98"/>
      <c r="R55" s="98"/>
      <c r="S55" s="98"/>
    </row>
    <row r="56" spans="1:19" ht="18" customHeight="1">
      <c r="A56" s="172">
        <v>2022</v>
      </c>
      <c r="B56" s="172" t="s">
        <v>68</v>
      </c>
      <c r="C56" s="172" t="s">
        <v>2307</v>
      </c>
      <c r="D56" s="172">
        <v>13.5</v>
      </c>
      <c r="E56" s="98"/>
      <c r="F56" s="98"/>
      <c r="G56" s="195"/>
      <c r="H56" s="195"/>
      <c r="I56" s="152"/>
      <c r="J56" s="98"/>
      <c r="K56" s="98"/>
      <c r="L56" s="98"/>
      <c r="M56" s="98"/>
      <c r="N56" s="98"/>
      <c r="O56" s="98"/>
      <c r="P56" s="98"/>
      <c r="Q56" s="98"/>
      <c r="R56" s="98"/>
      <c r="S56" s="98"/>
    </row>
    <row r="57" spans="1:19" ht="18" customHeight="1">
      <c r="A57" s="172">
        <v>2022</v>
      </c>
      <c r="B57" s="172" t="s">
        <v>45</v>
      </c>
      <c r="C57" s="172" t="s">
        <v>2311</v>
      </c>
      <c r="D57" s="172">
        <v>20.059999999999999</v>
      </c>
      <c r="E57" s="98"/>
      <c r="F57" s="98"/>
      <c r="G57" s="195"/>
      <c r="H57" s="195"/>
      <c r="I57" s="152"/>
      <c r="J57" s="98"/>
      <c r="K57" s="98"/>
      <c r="L57" s="98"/>
      <c r="M57" s="98"/>
      <c r="N57" s="98"/>
      <c r="O57" s="98"/>
      <c r="P57" s="98"/>
      <c r="Q57" s="98"/>
      <c r="R57" s="98"/>
      <c r="S57" s="98"/>
    </row>
    <row r="58" spans="1:19" ht="18" customHeight="1">
      <c r="A58" s="172">
        <v>2022</v>
      </c>
      <c r="B58" s="172" t="s">
        <v>68</v>
      </c>
      <c r="C58" s="172" t="s">
        <v>2311</v>
      </c>
      <c r="D58" s="172">
        <v>15.73</v>
      </c>
      <c r="E58" s="98"/>
      <c r="F58" s="98"/>
      <c r="G58" s="195"/>
      <c r="H58" s="195"/>
      <c r="I58" s="152"/>
      <c r="J58" s="98"/>
      <c r="K58" s="98"/>
      <c r="L58" s="98"/>
      <c r="M58" s="98"/>
      <c r="N58" s="98"/>
      <c r="O58" s="98"/>
      <c r="P58" s="98"/>
      <c r="Q58" s="98"/>
      <c r="R58" s="98"/>
      <c r="S58" s="98"/>
    </row>
    <row r="59" spans="1:19" ht="18" customHeight="1">
      <c r="A59" s="172">
        <v>2022</v>
      </c>
      <c r="B59" s="172" t="s">
        <v>45</v>
      </c>
      <c r="C59" s="172" t="s">
        <v>2302</v>
      </c>
      <c r="D59" s="172">
        <v>40.08</v>
      </c>
      <c r="E59" s="98"/>
      <c r="F59" s="98"/>
      <c r="G59" s="195"/>
      <c r="H59" s="195"/>
      <c r="I59" s="152"/>
      <c r="J59" s="98"/>
      <c r="K59" s="98"/>
      <c r="L59" s="98"/>
      <c r="M59" s="98"/>
      <c r="N59" s="98"/>
      <c r="O59" s="98"/>
      <c r="P59" s="98"/>
      <c r="Q59" s="98"/>
      <c r="R59" s="98"/>
      <c r="S59" s="98"/>
    </row>
    <row r="60" spans="1:19" ht="18" customHeight="1">
      <c r="A60" s="172">
        <v>2022</v>
      </c>
      <c r="B60" s="172" t="s">
        <v>68</v>
      </c>
      <c r="C60" s="172" t="s">
        <v>2302</v>
      </c>
      <c r="D60" s="172">
        <v>39.450000000000003</v>
      </c>
      <c r="E60" s="98"/>
      <c r="F60" s="98"/>
      <c r="G60" s="195"/>
      <c r="H60" s="195"/>
      <c r="I60" s="152"/>
      <c r="J60" s="98"/>
      <c r="K60" s="98"/>
      <c r="L60" s="98"/>
      <c r="M60" s="98"/>
      <c r="N60" s="98"/>
      <c r="O60" s="98"/>
      <c r="P60" s="98"/>
      <c r="Q60" s="98"/>
      <c r="R60" s="98"/>
      <c r="S60" s="98"/>
    </row>
    <row r="61" spans="1:19" ht="18" customHeight="1">
      <c r="A61" s="172">
        <v>2022</v>
      </c>
      <c r="B61" s="172" t="s">
        <v>45</v>
      </c>
      <c r="C61" s="172" t="s">
        <v>2315</v>
      </c>
      <c r="D61" s="172">
        <v>8.7200000000000006</v>
      </c>
      <c r="E61" s="98"/>
      <c r="F61" s="98"/>
      <c r="G61" s="195"/>
      <c r="H61" s="195"/>
      <c r="I61" s="152"/>
      <c r="J61" s="98"/>
      <c r="K61" s="98"/>
      <c r="L61" s="98"/>
      <c r="M61" s="98"/>
      <c r="N61" s="98"/>
      <c r="O61" s="98"/>
      <c r="P61" s="98"/>
      <c r="Q61" s="98"/>
      <c r="R61" s="98"/>
      <c r="S61" s="98"/>
    </row>
    <row r="62" spans="1:19" ht="18" customHeight="1">
      <c r="A62" s="172">
        <v>2022</v>
      </c>
      <c r="B62" s="172" t="s">
        <v>68</v>
      </c>
      <c r="C62" s="172" t="s">
        <v>2315</v>
      </c>
      <c r="D62" s="172">
        <v>13.29</v>
      </c>
      <c r="E62" s="98"/>
      <c r="F62" s="98"/>
      <c r="G62" s="195"/>
      <c r="H62" s="195"/>
      <c r="I62" s="152"/>
      <c r="J62" s="98"/>
      <c r="K62" s="98"/>
      <c r="L62" s="98"/>
      <c r="M62" s="98"/>
      <c r="N62" s="98"/>
      <c r="O62" s="98"/>
      <c r="P62" s="98"/>
      <c r="Q62" s="98"/>
      <c r="R62" s="98"/>
      <c r="S62" s="98"/>
    </row>
    <row r="63" spans="1:19" ht="18" customHeight="1">
      <c r="A63" s="172">
        <v>2021</v>
      </c>
      <c r="B63" s="172" t="s">
        <v>45</v>
      </c>
      <c r="C63" s="172" t="s">
        <v>2348</v>
      </c>
      <c r="D63" s="172">
        <v>8882</v>
      </c>
      <c r="E63" s="98"/>
      <c r="F63" s="98"/>
      <c r="G63" s="195"/>
      <c r="H63" s="195"/>
      <c r="I63" s="152"/>
      <c r="J63" s="98"/>
      <c r="K63" s="98"/>
      <c r="L63" s="98"/>
      <c r="M63" s="98"/>
      <c r="N63" s="98"/>
      <c r="O63" s="98"/>
      <c r="P63" s="98"/>
      <c r="Q63" s="98"/>
      <c r="R63" s="98"/>
      <c r="S63" s="98"/>
    </row>
    <row r="64" spans="1:19" ht="18" customHeight="1">
      <c r="A64" s="172">
        <v>2021</v>
      </c>
      <c r="B64" s="172" t="s">
        <v>68</v>
      </c>
      <c r="C64" s="172" t="s">
        <v>2348</v>
      </c>
      <c r="D64" s="172">
        <v>4660</v>
      </c>
      <c r="E64" s="98"/>
      <c r="F64" s="98"/>
      <c r="G64" s="195"/>
      <c r="H64" s="195"/>
      <c r="I64" s="152"/>
      <c r="J64" s="98"/>
      <c r="K64" s="98"/>
      <c r="L64" s="98"/>
      <c r="M64" s="98"/>
      <c r="N64" s="98"/>
      <c r="O64" s="98"/>
      <c r="P64" s="98"/>
      <c r="Q64" s="98"/>
      <c r="R64" s="98"/>
      <c r="S64" s="98"/>
    </row>
    <row r="65" spans="1:19" ht="18" customHeight="1">
      <c r="A65" s="172">
        <v>2021</v>
      </c>
      <c r="B65" s="172" t="s">
        <v>45</v>
      </c>
      <c r="C65" s="172" t="s">
        <v>2349</v>
      </c>
      <c r="D65" s="172">
        <v>55.9</v>
      </c>
      <c r="E65" s="98"/>
      <c r="F65" s="98"/>
      <c r="G65" s="195"/>
      <c r="H65" s="195"/>
      <c r="I65" s="152"/>
      <c r="J65" s="98"/>
      <c r="K65" s="98"/>
      <c r="L65" s="98"/>
      <c r="M65" s="98"/>
      <c r="N65" s="98"/>
      <c r="O65" s="98"/>
      <c r="P65" s="98"/>
      <c r="Q65" s="98"/>
      <c r="R65" s="98"/>
      <c r="S65" s="98"/>
    </row>
    <row r="66" spans="1:19" ht="18" customHeight="1">
      <c r="A66" s="172">
        <v>2021</v>
      </c>
      <c r="B66" s="172" t="s">
        <v>68</v>
      </c>
      <c r="C66" s="172" t="s">
        <v>2349</v>
      </c>
      <c r="D66" s="172">
        <v>28.4</v>
      </c>
      <c r="E66" s="98"/>
      <c r="F66" s="98"/>
      <c r="G66" s="195"/>
      <c r="H66" s="195"/>
      <c r="I66" s="152"/>
      <c r="J66" s="98"/>
      <c r="K66" s="98"/>
      <c r="L66" s="98"/>
      <c r="M66" s="98"/>
      <c r="N66" s="98"/>
      <c r="O66" s="98"/>
      <c r="P66" s="98"/>
      <c r="Q66" s="98"/>
      <c r="R66" s="98"/>
      <c r="S66" s="98"/>
    </row>
    <row r="67" spans="1:19" ht="18" customHeight="1">
      <c r="A67" s="172">
        <v>2021</v>
      </c>
      <c r="B67" s="172" t="s">
        <v>45</v>
      </c>
      <c r="C67" s="172" t="s">
        <v>1787</v>
      </c>
      <c r="D67" s="172">
        <v>68.3</v>
      </c>
      <c r="E67" s="98"/>
      <c r="F67" s="98"/>
      <c r="G67" s="195"/>
      <c r="H67" s="195"/>
      <c r="I67" s="152"/>
      <c r="J67" s="98"/>
      <c r="K67" s="98"/>
      <c r="L67" s="98"/>
      <c r="M67" s="98"/>
      <c r="N67" s="98"/>
      <c r="O67" s="98"/>
      <c r="P67" s="98"/>
      <c r="Q67" s="98"/>
      <c r="R67" s="98"/>
      <c r="S67" s="98"/>
    </row>
    <row r="68" spans="1:19" ht="18" customHeight="1">
      <c r="A68" s="172">
        <v>2021</v>
      </c>
      <c r="B68" s="172" t="s">
        <v>68</v>
      </c>
      <c r="C68" s="172" t="s">
        <v>1787</v>
      </c>
      <c r="D68" s="172">
        <v>65.2</v>
      </c>
      <c r="E68" s="98"/>
      <c r="F68" s="98"/>
      <c r="G68" s="195"/>
      <c r="H68" s="195"/>
      <c r="I68" s="152"/>
      <c r="J68" s="98"/>
      <c r="K68" s="98"/>
      <c r="L68" s="98"/>
      <c r="M68" s="98"/>
      <c r="N68" s="98"/>
      <c r="O68" s="98"/>
      <c r="P68" s="98"/>
      <c r="Q68" s="98"/>
      <c r="R68" s="98"/>
      <c r="S68" s="98"/>
    </row>
    <row r="69" spans="1:19" ht="18" customHeight="1">
      <c r="A69" s="172">
        <v>2021</v>
      </c>
      <c r="B69" s="172" t="s">
        <v>45</v>
      </c>
      <c r="C69" s="172" t="s">
        <v>2350</v>
      </c>
      <c r="D69" s="172">
        <v>35.700000000000003</v>
      </c>
      <c r="E69" s="98"/>
      <c r="F69" s="98"/>
      <c r="G69" s="195"/>
      <c r="H69" s="195"/>
      <c r="I69" s="152"/>
      <c r="J69" s="98"/>
      <c r="K69" s="98"/>
      <c r="L69" s="98"/>
      <c r="M69" s="98"/>
      <c r="N69" s="98"/>
      <c r="O69" s="98"/>
      <c r="P69" s="98"/>
      <c r="Q69" s="98"/>
      <c r="R69" s="98"/>
      <c r="S69" s="98"/>
    </row>
    <row r="70" spans="1:19" ht="18" customHeight="1">
      <c r="A70" s="172">
        <v>2021</v>
      </c>
      <c r="B70" s="172" t="s">
        <v>68</v>
      </c>
      <c r="C70" s="172" t="s">
        <v>2350</v>
      </c>
      <c r="D70" s="172">
        <v>42.1</v>
      </c>
      <c r="E70" s="98"/>
      <c r="F70" s="98"/>
      <c r="G70" s="195"/>
      <c r="H70" s="195"/>
      <c r="I70" s="152"/>
      <c r="J70" s="98"/>
      <c r="K70" s="98"/>
      <c r="L70" s="98"/>
      <c r="M70" s="98"/>
      <c r="N70" s="98"/>
      <c r="O70" s="98"/>
      <c r="P70" s="98"/>
      <c r="Q70" s="98"/>
      <c r="R70" s="98"/>
      <c r="S70" s="98"/>
    </row>
    <row r="71" spans="1:19" ht="18" customHeight="1">
      <c r="A71" s="172">
        <v>2021</v>
      </c>
      <c r="B71" s="172" t="s">
        <v>45</v>
      </c>
      <c r="C71" s="172" t="s">
        <v>2351</v>
      </c>
      <c r="D71" s="172">
        <v>12.2</v>
      </c>
      <c r="E71" s="98"/>
      <c r="F71" s="98"/>
      <c r="G71" s="195"/>
      <c r="H71" s="195"/>
      <c r="I71" s="152"/>
      <c r="J71" s="98"/>
      <c r="K71" s="98"/>
      <c r="L71" s="98"/>
      <c r="M71" s="98"/>
      <c r="N71" s="98"/>
      <c r="O71" s="98"/>
      <c r="P71" s="98"/>
      <c r="Q71" s="98"/>
      <c r="R71" s="98"/>
      <c r="S71" s="98"/>
    </row>
    <row r="72" spans="1:19" ht="18" customHeight="1">
      <c r="A72" s="172">
        <v>2021</v>
      </c>
      <c r="B72" s="172" t="s">
        <v>68</v>
      </c>
      <c r="C72" s="172" t="s">
        <v>2351</v>
      </c>
      <c r="D72" s="172">
        <v>17.899999999999999</v>
      </c>
      <c r="E72" s="98"/>
      <c r="F72" s="98"/>
      <c r="G72" s="195"/>
      <c r="H72" s="195"/>
      <c r="I72" s="152"/>
      <c r="J72" s="98"/>
      <c r="K72" s="98"/>
      <c r="L72" s="98"/>
      <c r="M72" s="98"/>
      <c r="N72" s="98"/>
      <c r="O72" s="98"/>
      <c r="P72" s="98"/>
      <c r="Q72" s="98"/>
      <c r="R72" s="98"/>
      <c r="S72" s="98"/>
    </row>
    <row r="73" spans="1:19" ht="18" customHeight="1">
      <c r="A73" s="172">
        <v>2021</v>
      </c>
      <c r="B73" s="172" t="s">
        <v>45</v>
      </c>
      <c r="C73" s="172" t="s">
        <v>2352</v>
      </c>
      <c r="D73" s="172">
        <v>20.6</v>
      </c>
      <c r="E73" s="98"/>
      <c r="F73" s="98"/>
      <c r="G73" s="195"/>
      <c r="H73" s="195"/>
      <c r="I73" s="152"/>
      <c r="J73" s="98"/>
      <c r="K73" s="98"/>
      <c r="L73" s="98"/>
      <c r="M73" s="98"/>
      <c r="N73" s="98"/>
      <c r="O73" s="98"/>
      <c r="P73" s="98"/>
      <c r="Q73" s="98"/>
      <c r="R73" s="98"/>
      <c r="S73" s="98"/>
    </row>
    <row r="74" spans="1:19" ht="18" customHeight="1">
      <c r="A74" s="172">
        <v>2021</v>
      </c>
      <c r="B74" s="172" t="s">
        <v>68</v>
      </c>
      <c r="C74" s="172" t="s">
        <v>2352</v>
      </c>
      <c r="D74" s="172">
        <v>21.4</v>
      </c>
      <c r="E74" s="98"/>
      <c r="F74" s="98"/>
      <c r="G74" s="195"/>
      <c r="H74" s="195"/>
      <c r="I74" s="152"/>
      <c r="J74" s="98"/>
      <c r="K74" s="98"/>
      <c r="L74" s="98"/>
      <c r="M74" s="98"/>
      <c r="N74" s="98"/>
      <c r="O74" s="98"/>
      <c r="P74" s="98"/>
      <c r="Q74" s="98"/>
      <c r="R74" s="98"/>
      <c r="S74" s="98"/>
    </row>
    <row r="75" spans="1:19" ht="18" customHeight="1">
      <c r="A75" s="172">
        <v>2021</v>
      </c>
      <c r="B75" s="172" t="s">
        <v>45</v>
      </c>
      <c r="C75" s="172" t="s">
        <v>2307</v>
      </c>
      <c r="D75" s="172">
        <v>17.149999999999999</v>
      </c>
      <c r="E75" s="98"/>
      <c r="F75" s="98"/>
      <c r="G75" s="195"/>
      <c r="H75" s="195"/>
      <c r="I75" s="152"/>
      <c r="J75" s="98"/>
      <c r="K75" s="98"/>
      <c r="L75" s="98"/>
      <c r="M75" s="98"/>
      <c r="N75" s="98"/>
      <c r="O75" s="98"/>
      <c r="P75" s="98"/>
      <c r="Q75" s="98"/>
      <c r="R75" s="98"/>
      <c r="S75" s="98"/>
    </row>
    <row r="76" spans="1:19" ht="18" customHeight="1">
      <c r="A76" s="172">
        <v>2021</v>
      </c>
      <c r="B76" s="172" t="s">
        <v>68</v>
      </c>
      <c r="C76" s="172" t="s">
        <v>2307</v>
      </c>
      <c r="D76" s="172">
        <v>12.52</v>
      </c>
      <c r="E76" s="98"/>
      <c r="F76" s="98"/>
      <c r="G76" s="195"/>
      <c r="H76" s="195"/>
      <c r="I76" s="152"/>
      <c r="J76" s="98"/>
      <c r="K76" s="98"/>
      <c r="L76" s="98"/>
      <c r="M76" s="98"/>
      <c r="N76" s="98"/>
      <c r="O76" s="98"/>
      <c r="P76" s="98"/>
      <c r="Q76" s="98"/>
      <c r="R76" s="98"/>
      <c r="S76" s="98"/>
    </row>
    <row r="77" spans="1:19" ht="18" customHeight="1">
      <c r="A77" s="172">
        <v>2021</v>
      </c>
      <c r="B77" s="172" t="s">
        <v>45</v>
      </c>
      <c r="C77" s="172" t="s">
        <v>2311</v>
      </c>
      <c r="D77" s="172">
        <v>17.809999999999999</v>
      </c>
      <c r="E77" s="98"/>
      <c r="F77" s="98"/>
      <c r="G77" s="195"/>
      <c r="H77" s="195"/>
      <c r="I77" s="152"/>
      <c r="J77" s="98"/>
      <c r="K77" s="98"/>
      <c r="L77" s="98"/>
      <c r="M77" s="98"/>
      <c r="N77" s="98"/>
      <c r="O77" s="98"/>
      <c r="P77" s="98"/>
      <c r="Q77" s="98"/>
      <c r="R77" s="98"/>
      <c r="S77" s="98"/>
    </row>
    <row r="78" spans="1:19" ht="18" customHeight="1">
      <c r="A78" s="172">
        <v>2021</v>
      </c>
      <c r="B78" s="172" t="s">
        <v>68</v>
      </c>
      <c r="C78" s="172" t="s">
        <v>2311</v>
      </c>
      <c r="D78" s="172">
        <v>14.67</v>
      </c>
      <c r="E78" s="98"/>
      <c r="F78" s="98"/>
      <c r="G78" s="195"/>
      <c r="H78" s="195"/>
      <c r="I78" s="152"/>
      <c r="J78" s="98"/>
      <c r="K78" s="98"/>
      <c r="L78" s="98"/>
      <c r="M78" s="98"/>
      <c r="N78" s="98"/>
      <c r="O78" s="98"/>
      <c r="P78" s="98"/>
      <c r="Q78" s="98"/>
      <c r="R78" s="98"/>
      <c r="S78" s="98"/>
    </row>
    <row r="79" spans="1:19" ht="18" customHeight="1">
      <c r="A79" s="172">
        <v>2021</v>
      </c>
      <c r="B79" s="172" t="s">
        <v>45</v>
      </c>
      <c r="C79" s="172" t="s">
        <v>2302</v>
      </c>
      <c r="D79" s="172">
        <v>38.64</v>
      </c>
      <c r="E79" s="98"/>
      <c r="F79" s="98"/>
      <c r="G79" s="195"/>
      <c r="H79" s="195"/>
      <c r="I79" s="152"/>
      <c r="J79" s="98"/>
      <c r="K79" s="98"/>
      <c r="L79" s="98"/>
      <c r="M79" s="98"/>
      <c r="N79" s="98"/>
      <c r="O79" s="98"/>
      <c r="P79" s="98"/>
      <c r="Q79" s="98"/>
      <c r="R79" s="98"/>
      <c r="S79" s="98"/>
    </row>
    <row r="80" spans="1:19" ht="18" customHeight="1">
      <c r="A80" s="172">
        <v>2021</v>
      </c>
      <c r="B80" s="172" t="s">
        <v>68</v>
      </c>
      <c r="C80" s="172" t="s">
        <v>2302</v>
      </c>
      <c r="D80" s="172">
        <v>39.1</v>
      </c>
      <c r="E80" s="98"/>
      <c r="F80" s="98"/>
      <c r="G80" s="195"/>
      <c r="H80" s="195"/>
      <c r="I80" s="152"/>
      <c r="J80" s="98"/>
      <c r="K80" s="98"/>
      <c r="L80" s="98"/>
      <c r="M80" s="98"/>
      <c r="N80" s="98"/>
      <c r="O80" s="98"/>
      <c r="P80" s="98"/>
      <c r="Q80" s="98"/>
      <c r="R80" s="98"/>
      <c r="S80" s="98"/>
    </row>
    <row r="81" spans="1:19" ht="18" customHeight="1">
      <c r="A81" s="172">
        <v>2021</v>
      </c>
      <c r="B81" s="172" t="s">
        <v>45</v>
      </c>
      <c r="C81" s="172" t="s">
        <v>2315</v>
      </c>
      <c r="D81" s="172">
        <v>7.49</v>
      </c>
      <c r="E81" s="98"/>
      <c r="F81" s="98"/>
      <c r="G81" s="195"/>
      <c r="H81" s="195"/>
      <c r="I81" s="152"/>
      <c r="J81" s="98"/>
      <c r="K81" s="98"/>
      <c r="L81" s="98"/>
      <c r="M81" s="98"/>
      <c r="N81" s="98"/>
      <c r="O81" s="98"/>
      <c r="P81" s="98"/>
      <c r="Q81" s="98"/>
      <c r="R81" s="98"/>
      <c r="S81" s="98"/>
    </row>
    <row r="82" spans="1:19" ht="18" customHeight="1">
      <c r="A82" s="172">
        <v>2021</v>
      </c>
      <c r="B82" s="172" t="s">
        <v>68</v>
      </c>
      <c r="C82" s="172" t="s">
        <v>2315</v>
      </c>
      <c r="D82" s="172">
        <v>13.3</v>
      </c>
      <c r="E82" s="98"/>
      <c r="F82" s="98"/>
      <c r="G82" s="195"/>
      <c r="H82" s="195"/>
      <c r="I82" s="152"/>
      <c r="J82" s="98"/>
      <c r="K82" s="98"/>
      <c r="L82" s="98"/>
      <c r="M82" s="98"/>
      <c r="N82" s="98"/>
      <c r="O82" s="98"/>
      <c r="P82" s="98"/>
      <c r="Q82" s="98"/>
      <c r="R82" s="98"/>
      <c r="S82" s="98"/>
    </row>
    <row r="83" spans="1:19" ht="18" customHeight="1">
      <c r="A83" s="172">
        <v>2020</v>
      </c>
      <c r="B83" s="172" t="s">
        <v>45</v>
      </c>
      <c r="C83" s="172" t="s">
        <v>2348</v>
      </c>
      <c r="D83" s="172">
        <v>8062</v>
      </c>
      <c r="E83" s="98"/>
      <c r="F83" s="98"/>
      <c r="G83" s="195"/>
      <c r="H83" s="195"/>
      <c r="I83" s="152"/>
      <c r="J83" s="98"/>
      <c r="K83" s="98"/>
      <c r="L83" s="98"/>
      <c r="M83" s="98"/>
      <c r="N83" s="98"/>
      <c r="O83" s="98"/>
      <c r="P83" s="98"/>
      <c r="Q83" s="98"/>
      <c r="R83" s="98"/>
      <c r="S83" s="98"/>
    </row>
    <row r="84" spans="1:19" ht="18" customHeight="1">
      <c r="A84" s="172">
        <v>2020</v>
      </c>
      <c r="B84" s="172" t="s">
        <v>68</v>
      </c>
      <c r="C84" s="172" t="s">
        <v>2348</v>
      </c>
      <c r="D84" s="172">
        <v>3556</v>
      </c>
      <c r="E84" s="98"/>
      <c r="F84" s="98"/>
      <c r="G84" s="195"/>
      <c r="H84" s="195"/>
      <c r="I84" s="152"/>
      <c r="J84" s="98"/>
      <c r="K84" s="98"/>
      <c r="L84" s="98"/>
      <c r="M84" s="98"/>
      <c r="N84" s="98"/>
      <c r="O84" s="98"/>
      <c r="P84" s="98"/>
      <c r="Q84" s="98"/>
      <c r="R84" s="98"/>
      <c r="S84" s="98"/>
    </row>
    <row r="85" spans="1:19" ht="18" customHeight="1">
      <c r="A85" s="172">
        <v>2020</v>
      </c>
      <c r="B85" s="172" t="s">
        <v>45</v>
      </c>
      <c r="C85" s="172" t="s">
        <v>2349</v>
      </c>
      <c r="D85" s="172">
        <v>42.7</v>
      </c>
      <c r="E85" s="98"/>
      <c r="F85" s="98"/>
      <c r="G85" s="195"/>
      <c r="H85" s="195"/>
      <c r="I85" s="152"/>
      <c r="J85" s="98"/>
      <c r="K85" s="98"/>
      <c r="L85" s="98"/>
      <c r="M85" s="98"/>
      <c r="N85" s="98"/>
      <c r="O85" s="98"/>
      <c r="P85" s="98"/>
      <c r="Q85" s="98"/>
      <c r="R85" s="98"/>
      <c r="S85" s="98"/>
    </row>
    <row r="86" spans="1:19" ht="18" customHeight="1">
      <c r="A86" s="172">
        <v>2020</v>
      </c>
      <c r="B86" s="172" t="s">
        <v>68</v>
      </c>
      <c r="C86" s="172" t="s">
        <v>2349</v>
      </c>
      <c r="D86" s="172">
        <v>21.1</v>
      </c>
      <c r="E86" s="98"/>
      <c r="F86" s="98"/>
      <c r="G86" s="195"/>
      <c r="H86" s="195"/>
      <c r="I86" s="152"/>
      <c r="J86" s="98"/>
      <c r="K86" s="98"/>
      <c r="L86" s="98"/>
      <c r="M86" s="98"/>
      <c r="N86" s="98"/>
      <c r="O86" s="98"/>
      <c r="P86" s="98"/>
      <c r="Q86" s="98"/>
      <c r="R86" s="98"/>
      <c r="S86" s="98"/>
    </row>
    <row r="87" spans="1:19" ht="18" customHeight="1">
      <c r="A87" s="172">
        <v>2020</v>
      </c>
      <c r="B87" s="172" t="s">
        <v>45</v>
      </c>
      <c r="C87" s="172" t="s">
        <v>1787</v>
      </c>
      <c r="D87" s="172">
        <v>68.3</v>
      </c>
      <c r="E87" s="98"/>
      <c r="F87" s="98"/>
      <c r="G87" s="195"/>
      <c r="H87" s="195"/>
      <c r="I87" s="152"/>
      <c r="J87" s="98"/>
      <c r="K87" s="98"/>
      <c r="L87" s="98"/>
      <c r="M87" s="98"/>
      <c r="N87" s="98"/>
      <c r="O87" s="98"/>
      <c r="P87" s="98"/>
      <c r="Q87" s="98"/>
      <c r="R87" s="98"/>
      <c r="S87" s="98"/>
    </row>
    <row r="88" spans="1:19" ht="18" customHeight="1">
      <c r="A88" s="172">
        <v>2020</v>
      </c>
      <c r="B88" s="172" t="s">
        <v>68</v>
      </c>
      <c r="C88" s="172" t="s">
        <v>1787</v>
      </c>
      <c r="D88" s="172">
        <v>64.5</v>
      </c>
      <c r="E88" s="98"/>
      <c r="F88" s="98"/>
      <c r="G88" s="195"/>
      <c r="H88" s="195"/>
      <c r="I88" s="152"/>
      <c r="J88" s="98"/>
      <c r="K88" s="98"/>
      <c r="L88" s="98"/>
      <c r="M88" s="98"/>
      <c r="N88" s="98"/>
      <c r="O88" s="98"/>
      <c r="P88" s="98"/>
      <c r="Q88" s="98"/>
      <c r="R88" s="98"/>
      <c r="S88" s="98"/>
    </row>
    <row r="89" spans="1:19" ht="18" customHeight="1">
      <c r="A89" s="172">
        <v>2020</v>
      </c>
      <c r="B89" s="172" t="s">
        <v>45</v>
      </c>
      <c r="C89" s="172" t="s">
        <v>2350</v>
      </c>
      <c r="D89" s="172">
        <v>33.1</v>
      </c>
      <c r="E89" s="98"/>
      <c r="F89" s="98"/>
      <c r="G89" s="195"/>
      <c r="H89" s="195"/>
      <c r="I89" s="152"/>
      <c r="J89" s="98"/>
      <c r="K89" s="98"/>
      <c r="L89" s="98"/>
      <c r="M89" s="98"/>
      <c r="N89" s="98"/>
      <c r="O89" s="98"/>
      <c r="P89" s="98"/>
      <c r="Q89" s="98"/>
      <c r="R89" s="98"/>
      <c r="S89" s="98"/>
    </row>
    <row r="90" spans="1:19" ht="18" customHeight="1">
      <c r="A90" s="172">
        <v>2020</v>
      </c>
      <c r="B90" s="172" t="s">
        <v>68</v>
      </c>
      <c r="C90" s="172" t="s">
        <v>2350</v>
      </c>
      <c r="D90" s="172">
        <v>41</v>
      </c>
      <c r="E90" s="98"/>
      <c r="F90" s="98"/>
      <c r="G90" s="195"/>
      <c r="H90" s="195"/>
      <c r="I90" s="152"/>
      <c r="J90" s="98"/>
      <c r="K90" s="98"/>
      <c r="L90" s="98"/>
      <c r="M90" s="98"/>
      <c r="N90" s="98"/>
      <c r="O90" s="98"/>
      <c r="P90" s="98"/>
      <c r="Q90" s="98"/>
      <c r="R90" s="98"/>
      <c r="S90" s="98"/>
    </row>
    <row r="91" spans="1:19" ht="18" customHeight="1">
      <c r="A91" s="172">
        <v>2020</v>
      </c>
      <c r="B91" s="172" t="s">
        <v>45</v>
      </c>
      <c r="C91" s="172" t="s">
        <v>2351</v>
      </c>
      <c r="D91" s="172">
        <v>10.8</v>
      </c>
      <c r="E91" s="98"/>
      <c r="F91" s="98"/>
      <c r="G91" s="195"/>
      <c r="H91" s="195"/>
      <c r="I91" s="152"/>
      <c r="J91" s="98"/>
      <c r="K91" s="98"/>
      <c r="L91" s="98"/>
      <c r="M91" s="98"/>
      <c r="N91" s="98"/>
      <c r="O91" s="98"/>
      <c r="P91" s="98"/>
      <c r="Q91" s="98"/>
      <c r="R91" s="98"/>
      <c r="S91" s="98"/>
    </row>
    <row r="92" spans="1:19" ht="18" customHeight="1">
      <c r="A92" s="172">
        <v>2020</v>
      </c>
      <c r="B92" s="172" t="s">
        <v>68</v>
      </c>
      <c r="C92" s="172" t="s">
        <v>2351</v>
      </c>
      <c r="D92" s="172">
        <v>15.7</v>
      </c>
      <c r="E92" s="98"/>
      <c r="F92" s="98"/>
      <c r="G92" s="195"/>
      <c r="H92" s="195"/>
      <c r="I92" s="152"/>
      <c r="J92" s="98"/>
      <c r="K92" s="98"/>
      <c r="L92" s="98"/>
      <c r="M92" s="98"/>
      <c r="N92" s="98"/>
      <c r="O92" s="98"/>
      <c r="P92" s="98"/>
      <c r="Q92" s="98"/>
      <c r="R92" s="98"/>
      <c r="S92" s="98"/>
    </row>
    <row r="93" spans="1:19" ht="18" customHeight="1">
      <c r="A93" s="172">
        <v>2020</v>
      </c>
      <c r="B93" s="172" t="s">
        <v>45</v>
      </c>
      <c r="C93" s="172" t="s">
        <v>2352</v>
      </c>
      <c r="D93" s="172">
        <v>19.2</v>
      </c>
      <c r="E93" s="98"/>
      <c r="F93" s="98"/>
      <c r="G93" s="195"/>
      <c r="H93" s="195"/>
      <c r="I93" s="152"/>
      <c r="J93" s="98"/>
      <c r="K93" s="98"/>
      <c r="L93" s="98"/>
      <c r="M93" s="98"/>
      <c r="N93" s="98"/>
      <c r="O93" s="98"/>
      <c r="P93" s="98"/>
      <c r="Q93" s="98"/>
      <c r="R93" s="98"/>
      <c r="S93" s="98"/>
    </row>
    <row r="94" spans="1:19" ht="18" customHeight="1">
      <c r="A94" s="172">
        <v>2020</v>
      </c>
      <c r="B94" s="172" t="s">
        <v>68</v>
      </c>
      <c r="C94" s="172" t="s">
        <v>2352</v>
      </c>
      <c r="D94" s="172">
        <v>22.2</v>
      </c>
      <c r="E94" s="98"/>
      <c r="F94" s="98"/>
      <c r="G94" s="195"/>
      <c r="H94" s="195"/>
      <c r="I94" s="152"/>
      <c r="J94" s="98"/>
      <c r="K94" s="98"/>
      <c r="L94" s="98"/>
      <c r="M94" s="98"/>
      <c r="N94" s="98"/>
      <c r="O94" s="98"/>
      <c r="P94" s="98"/>
      <c r="Q94" s="98"/>
      <c r="R94" s="98"/>
      <c r="S94" s="98"/>
    </row>
    <row r="95" spans="1:19" ht="18" customHeight="1">
      <c r="A95" s="172">
        <v>2020</v>
      </c>
      <c r="B95" s="172" t="s">
        <v>45</v>
      </c>
      <c r="C95" s="172" t="s">
        <v>2307</v>
      </c>
      <c r="D95" s="172">
        <v>18.63</v>
      </c>
      <c r="E95" s="98"/>
      <c r="F95" s="98"/>
      <c r="G95" s="195"/>
      <c r="H95" s="195"/>
      <c r="I95" s="152"/>
      <c r="J95" s="98"/>
      <c r="K95" s="98"/>
      <c r="L95" s="98"/>
      <c r="M95" s="98"/>
      <c r="N95" s="98"/>
      <c r="O95" s="98"/>
      <c r="P95" s="98"/>
      <c r="Q95" s="98"/>
      <c r="R95" s="98"/>
      <c r="S95" s="98"/>
    </row>
    <row r="96" spans="1:19" ht="18" customHeight="1">
      <c r="A96" s="172">
        <v>2020</v>
      </c>
      <c r="B96" s="172" t="s">
        <v>68</v>
      </c>
      <c r="C96" s="172" t="s">
        <v>2307</v>
      </c>
      <c r="D96" s="172">
        <v>13.38</v>
      </c>
      <c r="E96" s="98"/>
      <c r="F96" s="98"/>
      <c r="G96" s="195"/>
      <c r="H96" s="195"/>
      <c r="I96" s="152"/>
      <c r="J96" s="98"/>
      <c r="K96" s="98"/>
      <c r="L96" s="98"/>
      <c r="M96" s="98"/>
      <c r="N96" s="98"/>
      <c r="O96" s="98"/>
      <c r="P96" s="98"/>
      <c r="Q96" s="98"/>
      <c r="R96" s="98"/>
      <c r="S96" s="98"/>
    </row>
    <row r="97" spans="1:19" ht="18" customHeight="1">
      <c r="A97" s="172">
        <v>2020</v>
      </c>
      <c r="B97" s="172" t="s">
        <v>45</v>
      </c>
      <c r="C97" s="172" t="s">
        <v>2311</v>
      </c>
      <c r="D97" s="172">
        <v>17.57</v>
      </c>
      <c r="E97" s="98"/>
      <c r="F97" s="98"/>
      <c r="G97" s="195"/>
      <c r="H97" s="195"/>
      <c r="I97" s="152"/>
      <c r="J97" s="98"/>
      <c r="K97" s="98"/>
      <c r="L97" s="98"/>
      <c r="M97" s="98"/>
      <c r="N97" s="98"/>
      <c r="O97" s="98"/>
      <c r="P97" s="98"/>
      <c r="Q97" s="98"/>
      <c r="R97" s="98"/>
      <c r="S97" s="98"/>
    </row>
    <row r="98" spans="1:19" ht="18" customHeight="1">
      <c r="A98" s="172">
        <v>2020</v>
      </c>
      <c r="B98" s="172" t="s">
        <v>68</v>
      </c>
      <c r="C98" s="172" t="s">
        <v>2311</v>
      </c>
      <c r="D98" s="172">
        <v>14.36</v>
      </c>
      <c r="E98" s="98"/>
      <c r="F98" s="98"/>
      <c r="G98" s="195"/>
      <c r="H98" s="195"/>
      <c r="I98" s="152"/>
      <c r="J98" s="98"/>
      <c r="K98" s="98"/>
      <c r="L98" s="98"/>
      <c r="M98" s="98"/>
      <c r="N98" s="98"/>
      <c r="O98" s="98"/>
      <c r="P98" s="98"/>
      <c r="Q98" s="98"/>
      <c r="R98" s="98"/>
      <c r="S98" s="98"/>
    </row>
    <row r="99" spans="1:19" ht="18" customHeight="1">
      <c r="A99" s="172">
        <v>2020</v>
      </c>
      <c r="B99" s="172" t="s">
        <v>45</v>
      </c>
      <c r="C99" s="172" t="s">
        <v>2302</v>
      </c>
      <c r="D99" s="172">
        <v>38.130000000000003</v>
      </c>
      <c r="E99" s="98"/>
      <c r="F99" s="98"/>
      <c r="G99" s="195"/>
      <c r="H99" s="195"/>
      <c r="I99" s="152"/>
      <c r="J99" s="98"/>
      <c r="K99" s="98"/>
      <c r="L99" s="98"/>
      <c r="M99" s="98"/>
      <c r="N99" s="98"/>
      <c r="O99" s="98"/>
      <c r="P99" s="98"/>
      <c r="Q99" s="98"/>
      <c r="R99" s="98"/>
      <c r="S99" s="98"/>
    </row>
    <row r="100" spans="1:19" ht="18" customHeight="1">
      <c r="A100" s="172">
        <v>2020</v>
      </c>
      <c r="B100" s="172" t="s">
        <v>68</v>
      </c>
      <c r="C100" s="172" t="s">
        <v>2302</v>
      </c>
      <c r="D100" s="172">
        <v>39.67</v>
      </c>
      <c r="E100" s="98"/>
      <c r="F100" s="98"/>
      <c r="G100" s="195"/>
      <c r="H100" s="195"/>
      <c r="I100" s="152"/>
      <c r="J100" s="98"/>
      <c r="K100" s="98"/>
      <c r="L100" s="98"/>
      <c r="M100" s="98"/>
      <c r="N100" s="98"/>
      <c r="O100" s="98"/>
      <c r="P100" s="98"/>
      <c r="Q100" s="98"/>
      <c r="R100" s="98"/>
      <c r="S100" s="98"/>
    </row>
    <row r="101" spans="1:19" ht="18" customHeight="1">
      <c r="A101" s="172">
        <v>2020</v>
      </c>
      <c r="B101" s="172" t="s">
        <v>45</v>
      </c>
      <c r="C101" s="172" t="s">
        <v>2315</v>
      </c>
      <c r="D101" s="172">
        <v>13.62</v>
      </c>
      <c r="E101" s="98"/>
      <c r="F101" s="98"/>
      <c r="G101" s="195"/>
      <c r="H101" s="195"/>
      <c r="I101" s="152"/>
      <c r="J101" s="98"/>
      <c r="K101" s="98"/>
      <c r="L101" s="98"/>
      <c r="M101" s="98"/>
      <c r="N101" s="98"/>
      <c r="O101" s="98"/>
      <c r="P101" s="98"/>
      <c r="Q101" s="98"/>
      <c r="R101" s="98"/>
      <c r="S101" s="98"/>
    </row>
    <row r="102" spans="1:19" ht="18" customHeight="1">
      <c r="A102" s="172">
        <v>2020</v>
      </c>
      <c r="B102" s="172" t="s">
        <v>68</v>
      </c>
      <c r="C102" s="172" t="s">
        <v>2315</v>
      </c>
      <c r="D102" s="172">
        <v>21.85</v>
      </c>
      <c r="E102" s="98"/>
      <c r="F102" s="98"/>
      <c r="G102" s="195"/>
      <c r="H102" s="195"/>
      <c r="I102" s="152"/>
      <c r="J102" s="98"/>
      <c r="K102" s="98"/>
      <c r="L102" s="98"/>
      <c r="M102" s="98"/>
      <c r="N102" s="98"/>
      <c r="O102" s="98"/>
      <c r="P102" s="98"/>
      <c r="Q102" s="98"/>
      <c r="R102" s="98"/>
      <c r="S102" s="98"/>
    </row>
    <row r="103" spans="1:19" ht="18" customHeight="1">
      <c r="A103" s="172">
        <v>2019</v>
      </c>
      <c r="B103" s="172" t="s">
        <v>45</v>
      </c>
      <c r="C103" s="172" t="s">
        <v>2348</v>
      </c>
      <c r="D103" s="172">
        <v>6705</v>
      </c>
      <c r="E103" s="98"/>
      <c r="F103" s="98"/>
      <c r="G103" s="195"/>
      <c r="H103" s="195"/>
      <c r="I103" s="152"/>
      <c r="J103" s="98"/>
      <c r="K103" s="98"/>
      <c r="L103" s="98"/>
      <c r="M103" s="98"/>
      <c r="N103" s="98"/>
      <c r="O103" s="98"/>
      <c r="P103" s="98"/>
      <c r="Q103" s="98"/>
      <c r="R103" s="98"/>
      <c r="S103" s="98"/>
    </row>
    <row r="104" spans="1:19" ht="18" customHeight="1">
      <c r="A104" s="172">
        <v>2019</v>
      </c>
      <c r="B104" s="172" t="s">
        <v>68</v>
      </c>
      <c r="C104" s="172" t="s">
        <v>2348</v>
      </c>
      <c r="D104" s="172">
        <v>3195</v>
      </c>
      <c r="E104" s="98"/>
      <c r="F104" s="98"/>
      <c r="G104" s="195"/>
      <c r="H104" s="195"/>
      <c r="I104" s="152"/>
      <c r="J104" s="98"/>
      <c r="K104" s="98"/>
      <c r="L104" s="98"/>
      <c r="M104" s="98"/>
      <c r="N104" s="98"/>
      <c r="O104" s="98"/>
      <c r="P104" s="98"/>
      <c r="Q104" s="98"/>
      <c r="R104" s="98"/>
      <c r="S104" s="98"/>
    </row>
    <row r="105" spans="1:19" ht="18" customHeight="1">
      <c r="A105" s="172">
        <v>2019</v>
      </c>
      <c r="B105" s="172" t="s">
        <v>45</v>
      </c>
      <c r="C105" s="172" t="s">
        <v>2349</v>
      </c>
      <c r="D105" s="172">
        <v>28.3</v>
      </c>
      <c r="E105" s="98"/>
      <c r="F105" s="98"/>
      <c r="G105" s="195"/>
      <c r="H105" s="195"/>
      <c r="I105" s="152"/>
      <c r="J105" s="98"/>
      <c r="K105" s="98"/>
      <c r="L105" s="98"/>
      <c r="M105" s="98"/>
      <c r="N105" s="98"/>
      <c r="O105" s="98"/>
      <c r="P105" s="98"/>
      <c r="Q105" s="98"/>
      <c r="R105" s="98"/>
      <c r="S105" s="98"/>
    </row>
    <row r="106" spans="1:19" ht="18" customHeight="1">
      <c r="A106" s="172">
        <v>2019</v>
      </c>
      <c r="B106" s="172" t="s">
        <v>68</v>
      </c>
      <c r="C106" s="172" t="s">
        <v>2349</v>
      </c>
      <c r="D106" s="172">
        <v>13.6</v>
      </c>
      <c r="E106" s="98"/>
      <c r="F106" s="98"/>
      <c r="G106" s="195"/>
      <c r="H106" s="195"/>
      <c r="I106" s="152"/>
      <c r="J106" s="98"/>
      <c r="K106" s="98"/>
      <c r="L106" s="98"/>
      <c r="M106" s="98"/>
      <c r="N106" s="98"/>
      <c r="O106" s="98"/>
      <c r="P106" s="98"/>
      <c r="Q106" s="98"/>
      <c r="R106" s="98"/>
      <c r="S106" s="98"/>
    </row>
    <row r="107" spans="1:19" ht="18" customHeight="1">
      <c r="A107" s="172">
        <v>2019</v>
      </c>
      <c r="B107" s="172" t="s">
        <v>45</v>
      </c>
      <c r="C107" s="172" t="s">
        <v>1787</v>
      </c>
      <c r="D107" s="172">
        <v>74.599999999999994</v>
      </c>
      <c r="E107" s="98"/>
      <c r="F107" s="98"/>
      <c r="G107" s="195"/>
      <c r="H107" s="195"/>
      <c r="I107" s="152"/>
      <c r="J107" s="98"/>
      <c r="K107" s="98"/>
      <c r="L107" s="98"/>
      <c r="M107" s="98"/>
      <c r="N107" s="98"/>
      <c r="O107" s="98"/>
      <c r="P107" s="98"/>
      <c r="Q107" s="98"/>
      <c r="R107" s="98"/>
      <c r="S107" s="98"/>
    </row>
    <row r="108" spans="1:19" ht="18" customHeight="1">
      <c r="A108" s="172">
        <v>2019</v>
      </c>
      <c r="B108" s="172" t="s">
        <v>68</v>
      </c>
      <c r="C108" s="172" t="s">
        <v>1787</v>
      </c>
      <c r="D108" s="172">
        <v>67</v>
      </c>
      <c r="E108" s="98"/>
      <c r="F108" s="98"/>
      <c r="G108" s="195"/>
      <c r="H108" s="195"/>
      <c r="I108" s="152"/>
      <c r="J108" s="98"/>
      <c r="K108" s="98"/>
      <c r="L108" s="98"/>
      <c r="M108" s="98"/>
      <c r="N108" s="98"/>
      <c r="O108" s="98"/>
      <c r="P108" s="98"/>
      <c r="Q108" s="98"/>
      <c r="R108" s="98"/>
      <c r="S108" s="98"/>
    </row>
    <row r="109" spans="1:19" ht="18" customHeight="1">
      <c r="A109" s="172">
        <v>2019</v>
      </c>
      <c r="B109" s="172" t="s">
        <v>45</v>
      </c>
      <c r="C109" s="172" t="s">
        <v>2350</v>
      </c>
      <c r="D109" s="172">
        <v>26.5</v>
      </c>
      <c r="E109" s="98"/>
      <c r="F109" s="98"/>
      <c r="G109" s="195"/>
      <c r="H109" s="195"/>
      <c r="I109" s="152"/>
      <c r="J109" s="98"/>
      <c r="K109" s="98"/>
      <c r="L109" s="98"/>
      <c r="M109" s="98"/>
      <c r="N109" s="98"/>
      <c r="O109" s="98"/>
      <c r="P109" s="98"/>
      <c r="Q109" s="98"/>
      <c r="R109" s="98"/>
      <c r="S109" s="98"/>
    </row>
    <row r="110" spans="1:19" ht="18" customHeight="1">
      <c r="A110" s="172">
        <v>2019</v>
      </c>
      <c r="B110" s="172" t="s">
        <v>68</v>
      </c>
      <c r="C110" s="172" t="s">
        <v>2350</v>
      </c>
      <c r="D110" s="172">
        <v>32.5</v>
      </c>
      <c r="E110" s="98"/>
      <c r="F110" s="98"/>
      <c r="G110" s="195"/>
      <c r="H110" s="195"/>
      <c r="I110" s="152"/>
      <c r="J110" s="98"/>
      <c r="K110" s="98"/>
      <c r="L110" s="98"/>
      <c r="M110" s="98"/>
      <c r="N110" s="98"/>
      <c r="O110" s="98"/>
      <c r="P110" s="98"/>
      <c r="Q110" s="98"/>
      <c r="R110" s="98"/>
      <c r="S110" s="98"/>
    </row>
    <row r="111" spans="1:19" ht="18" customHeight="1">
      <c r="A111" s="172">
        <v>2019</v>
      </c>
      <c r="B111" s="172" t="s">
        <v>45</v>
      </c>
      <c r="C111" s="172" t="s">
        <v>2351</v>
      </c>
      <c r="D111" s="172">
        <v>9.1999999999999993</v>
      </c>
      <c r="E111" s="98"/>
      <c r="F111" s="98"/>
      <c r="G111" s="195"/>
      <c r="H111" s="195"/>
      <c r="I111" s="152"/>
      <c r="J111" s="195"/>
      <c r="K111" s="98"/>
      <c r="L111" s="98"/>
      <c r="M111" s="98"/>
      <c r="N111" s="98"/>
      <c r="O111" s="98"/>
      <c r="P111" s="98"/>
      <c r="Q111" s="98"/>
      <c r="R111" s="98"/>
      <c r="S111" s="98"/>
    </row>
    <row r="112" spans="1:19" ht="18" customHeight="1">
      <c r="A112" s="172">
        <v>2019</v>
      </c>
      <c r="B112" s="172" t="s">
        <v>68</v>
      </c>
      <c r="C112" s="172" t="s">
        <v>2351</v>
      </c>
      <c r="D112" s="172">
        <v>13</v>
      </c>
      <c r="E112" s="98"/>
      <c r="F112" s="98"/>
      <c r="G112" s="195"/>
      <c r="H112" s="195"/>
      <c r="I112" s="172"/>
      <c r="J112" s="98"/>
      <c r="K112" s="98"/>
      <c r="L112" s="98"/>
      <c r="M112" s="98"/>
      <c r="N112" s="98"/>
      <c r="O112" s="98"/>
      <c r="P112" s="98"/>
      <c r="Q112" s="98"/>
      <c r="R112" s="98"/>
      <c r="S112" s="98"/>
    </row>
    <row r="113" spans="1:19" ht="18" customHeight="1">
      <c r="A113" s="172">
        <v>2019</v>
      </c>
      <c r="B113" s="172" t="s">
        <v>45</v>
      </c>
      <c r="C113" s="172" t="s">
        <v>2352</v>
      </c>
      <c r="D113" s="172">
        <v>19.399999999999999</v>
      </c>
      <c r="E113" s="98"/>
      <c r="F113" s="98"/>
      <c r="G113" s="195"/>
      <c r="H113" s="195"/>
      <c r="I113" s="152"/>
      <c r="J113" s="98"/>
      <c r="K113" s="98"/>
      <c r="L113" s="98"/>
      <c r="M113" s="98"/>
      <c r="N113" s="98"/>
      <c r="O113" s="98"/>
      <c r="P113" s="98"/>
      <c r="Q113" s="98"/>
      <c r="R113" s="98"/>
      <c r="S113" s="98"/>
    </row>
    <row r="114" spans="1:19" ht="18" customHeight="1">
      <c r="A114" s="172">
        <v>2019</v>
      </c>
      <c r="B114" s="172" t="s">
        <v>68</v>
      </c>
      <c r="C114" s="172" t="s">
        <v>2352</v>
      </c>
      <c r="D114" s="172">
        <v>21.8</v>
      </c>
      <c r="E114" s="98"/>
      <c r="F114" s="98"/>
      <c r="G114" s="195"/>
      <c r="H114" s="195"/>
      <c r="I114" s="152"/>
      <c r="J114" s="98"/>
      <c r="K114" s="98"/>
      <c r="L114" s="98"/>
      <c r="M114" s="98"/>
      <c r="N114" s="98"/>
      <c r="O114" s="98"/>
      <c r="P114" s="98"/>
      <c r="Q114" s="98"/>
      <c r="R114" s="98"/>
      <c r="S114" s="98"/>
    </row>
    <row r="115" spans="1:19" ht="18" customHeight="1">
      <c r="A115" s="172">
        <v>2019</v>
      </c>
      <c r="B115" s="172" t="s">
        <v>45</v>
      </c>
      <c r="C115" s="172" t="s">
        <v>2307</v>
      </c>
      <c r="D115" s="172">
        <v>18.89</v>
      </c>
      <c r="E115" s="98"/>
      <c r="F115" s="98"/>
      <c r="G115" s="195"/>
      <c r="H115" s="195"/>
      <c r="I115" s="98"/>
      <c r="J115" s="98"/>
      <c r="K115" s="98"/>
      <c r="L115" s="98"/>
      <c r="M115" s="98"/>
      <c r="N115" s="98"/>
      <c r="O115" s="98"/>
      <c r="P115" s="98"/>
      <c r="Q115" s="98"/>
      <c r="R115" s="98"/>
      <c r="S115" s="98"/>
    </row>
    <row r="116" spans="1:19" ht="18" customHeight="1">
      <c r="A116" s="172">
        <v>2019</v>
      </c>
      <c r="B116" s="172" t="s">
        <v>68</v>
      </c>
      <c r="C116" s="172" t="s">
        <v>2307</v>
      </c>
      <c r="D116" s="172">
        <v>13.42</v>
      </c>
      <c r="E116" s="98"/>
      <c r="F116" s="98"/>
      <c r="G116" s="195"/>
      <c r="H116" s="195"/>
      <c r="I116" s="98"/>
      <c r="J116" s="98"/>
      <c r="K116" s="98"/>
      <c r="L116" s="98"/>
      <c r="M116" s="98"/>
      <c r="N116" s="98"/>
      <c r="O116" s="98"/>
      <c r="P116" s="98"/>
      <c r="Q116" s="98"/>
      <c r="R116" s="98"/>
      <c r="S116" s="98"/>
    </row>
    <row r="117" spans="1:19" ht="18" customHeight="1">
      <c r="A117" s="172">
        <v>2019</v>
      </c>
      <c r="B117" s="172" t="s">
        <v>45</v>
      </c>
      <c r="C117" s="172" t="s">
        <v>2311</v>
      </c>
      <c r="D117" s="172">
        <v>18.47</v>
      </c>
      <c r="E117" s="98"/>
      <c r="F117" s="98"/>
      <c r="G117" s="195"/>
      <c r="H117" s="195"/>
      <c r="I117" s="98"/>
      <c r="J117" s="98"/>
      <c r="K117" s="98"/>
      <c r="L117" s="98"/>
      <c r="M117" s="98"/>
      <c r="N117" s="98"/>
      <c r="O117" s="98"/>
      <c r="P117" s="98"/>
      <c r="Q117" s="98"/>
      <c r="R117" s="98"/>
      <c r="S117" s="98"/>
    </row>
    <row r="118" spans="1:19" ht="18" customHeight="1">
      <c r="A118" s="172">
        <v>2019</v>
      </c>
      <c r="B118" s="172" t="s">
        <v>68</v>
      </c>
      <c r="C118" s="172" t="s">
        <v>2311</v>
      </c>
      <c r="D118" s="172">
        <v>17.260000000000002</v>
      </c>
      <c r="E118" s="98"/>
      <c r="F118" s="98"/>
      <c r="G118" s="195"/>
      <c r="H118" s="195"/>
      <c r="I118" s="98"/>
      <c r="J118" s="98"/>
      <c r="K118" s="98"/>
      <c r="L118" s="98"/>
      <c r="M118" s="98"/>
      <c r="N118" s="98"/>
      <c r="O118" s="98"/>
      <c r="P118" s="98"/>
      <c r="Q118" s="98"/>
      <c r="R118" s="98"/>
      <c r="S118" s="98"/>
    </row>
    <row r="119" spans="1:19" ht="18" customHeight="1">
      <c r="A119" s="172">
        <v>2019</v>
      </c>
      <c r="B119" s="172" t="s">
        <v>45</v>
      </c>
      <c r="C119" s="172" t="s">
        <v>2302</v>
      </c>
      <c r="D119" s="172">
        <v>35.909999999999997</v>
      </c>
      <c r="E119" s="98"/>
      <c r="F119" s="98"/>
      <c r="G119" s="195"/>
      <c r="H119" s="195"/>
      <c r="I119" s="98"/>
      <c r="J119" s="98"/>
      <c r="K119" s="98"/>
      <c r="L119" s="98"/>
      <c r="M119" s="98"/>
      <c r="N119" s="98"/>
      <c r="O119" s="98"/>
      <c r="P119" s="98"/>
      <c r="Q119" s="98"/>
      <c r="R119" s="98"/>
      <c r="S119" s="98"/>
    </row>
    <row r="120" spans="1:19" ht="18" customHeight="1">
      <c r="A120" s="172">
        <v>2019</v>
      </c>
      <c r="B120" s="172" t="s">
        <v>68</v>
      </c>
      <c r="C120" s="172" t="s">
        <v>2302</v>
      </c>
      <c r="D120" s="172">
        <v>40.840000000000003</v>
      </c>
      <c r="E120" s="98"/>
      <c r="F120" s="98"/>
      <c r="G120" s="195"/>
      <c r="H120" s="195"/>
      <c r="I120" s="98"/>
      <c r="J120" s="98"/>
      <c r="K120" s="98"/>
      <c r="L120" s="98"/>
      <c r="M120" s="98"/>
      <c r="N120" s="98"/>
      <c r="O120" s="98"/>
      <c r="P120" s="98"/>
      <c r="Q120" s="98"/>
      <c r="R120" s="98"/>
      <c r="S120" s="98"/>
    </row>
    <row r="121" spans="1:19" ht="18" customHeight="1">
      <c r="A121" s="172">
        <v>2019</v>
      </c>
      <c r="B121" s="172" t="s">
        <v>45</v>
      </c>
      <c r="C121" s="172" t="s">
        <v>2315</v>
      </c>
      <c r="D121" s="172">
        <v>14.36</v>
      </c>
      <c r="E121" s="98"/>
      <c r="F121" s="98"/>
      <c r="G121" s="195"/>
      <c r="H121" s="195"/>
      <c r="I121" s="98"/>
      <c r="J121" s="98"/>
      <c r="K121" s="98"/>
      <c r="L121" s="98"/>
      <c r="M121" s="98"/>
      <c r="N121" s="98"/>
      <c r="O121" s="98"/>
      <c r="P121" s="98"/>
      <c r="Q121" s="98"/>
      <c r="R121" s="98"/>
      <c r="S121" s="98"/>
    </row>
    <row r="122" spans="1:19" ht="18" customHeight="1">
      <c r="A122" s="172">
        <v>2019</v>
      </c>
      <c r="B122" s="172" t="s">
        <v>68</v>
      </c>
      <c r="C122" s="172" t="s">
        <v>2315</v>
      </c>
      <c r="D122" s="172">
        <v>22.1</v>
      </c>
      <c r="E122" s="98"/>
      <c r="F122" s="98"/>
      <c r="G122" s="195"/>
      <c r="H122" s="195"/>
      <c r="I122" s="98"/>
      <c r="J122" s="98"/>
      <c r="K122" s="98"/>
      <c r="L122" s="98"/>
      <c r="M122" s="98"/>
      <c r="N122" s="98"/>
      <c r="O122" s="98"/>
      <c r="P122" s="98"/>
      <c r="Q122" s="98"/>
      <c r="R122" s="98"/>
      <c r="S122" s="98"/>
    </row>
    <row r="123" spans="1:19" ht="18" customHeight="1">
      <c r="A123" s="172">
        <v>2018</v>
      </c>
      <c r="B123" s="172" t="s">
        <v>45</v>
      </c>
      <c r="C123" s="172" t="s">
        <v>2348</v>
      </c>
      <c r="D123" s="172">
        <v>6039</v>
      </c>
      <c r="E123" s="98"/>
      <c r="F123" s="98"/>
      <c r="G123" s="195"/>
      <c r="H123" s="195"/>
      <c r="I123" s="98"/>
      <c r="J123" s="98"/>
      <c r="K123" s="98"/>
      <c r="L123" s="98"/>
      <c r="M123" s="98"/>
      <c r="N123" s="98"/>
      <c r="O123" s="98"/>
      <c r="P123" s="98"/>
      <c r="Q123" s="98"/>
      <c r="R123" s="98"/>
      <c r="S123" s="98"/>
    </row>
    <row r="124" spans="1:19" ht="18" customHeight="1">
      <c r="A124" s="172">
        <v>2018</v>
      </c>
      <c r="B124" s="172" t="s">
        <v>68</v>
      </c>
      <c r="C124" s="172" t="s">
        <v>2348</v>
      </c>
      <c r="D124" s="172">
        <v>2460</v>
      </c>
      <c r="E124" s="98"/>
      <c r="F124" s="98"/>
      <c r="G124" s="195"/>
      <c r="H124" s="195"/>
      <c r="I124" s="98"/>
      <c r="J124" s="98"/>
      <c r="K124" s="98"/>
      <c r="L124" s="98"/>
      <c r="M124" s="98"/>
      <c r="N124" s="98"/>
      <c r="O124" s="98"/>
      <c r="P124" s="98"/>
      <c r="Q124" s="98"/>
      <c r="R124" s="98"/>
      <c r="S124" s="98"/>
    </row>
    <row r="125" spans="1:19" ht="18" customHeight="1">
      <c r="A125" s="172">
        <v>2018</v>
      </c>
      <c r="B125" s="172" t="s">
        <v>45</v>
      </c>
      <c r="C125" s="172" t="s">
        <v>2349</v>
      </c>
      <c r="D125" s="172">
        <v>25.4</v>
      </c>
      <c r="E125" s="98"/>
      <c r="F125" s="98"/>
      <c r="G125" s="195"/>
      <c r="H125" s="195"/>
      <c r="I125" s="98"/>
      <c r="J125" s="98"/>
      <c r="K125" s="98"/>
      <c r="L125" s="98"/>
      <c r="M125" s="98"/>
      <c r="N125" s="98"/>
      <c r="O125" s="98"/>
      <c r="P125" s="98"/>
      <c r="Q125" s="98"/>
      <c r="R125" s="98"/>
      <c r="S125" s="98"/>
    </row>
    <row r="126" spans="1:19" ht="18" customHeight="1">
      <c r="A126" s="172">
        <v>2018</v>
      </c>
      <c r="B126" s="172" t="s">
        <v>68</v>
      </c>
      <c r="C126" s="172" t="s">
        <v>2349</v>
      </c>
      <c r="D126" s="172">
        <v>10.8</v>
      </c>
      <c r="E126" s="98"/>
      <c r="F126" s="98"/>
      <c r="G126" s="195"/>
      <c r="H126" s="195"/>
      <c r="I126" s="98"/>
      <c r="J126" s="98"/>
      <c r="K126" s="98"/>
      <c r="L126" s="98"/>
      <c r="M126" s="98"/>
      <c r="N126" s="98"/>
      <c r="O126" s="98"/>
      <c r="P126" s="98"/>
      <c r="Q126" s="98"/>
      <c r="R126" s="98"/>
      <c r="S126" s="98"/>
    </row>
    <row r="127" spans="1:19" ht="18" customHeight="1">
      <c r="A127" s="172">
        <v>2018</v>
      </c>
      <c r="B127" s="172" t="s">
        <v>45</v>
      </c>
      <c r="C127" s="172" t="s">
        <v>1787</v>
      </c>
      <c r="D127" s="172">
        <v>79.400000000000006</v>
      </c>
      <c r="E127" s="98"/>
      <c r="F127" s="98"/>
      <c r="G127" s="195"/>
      <c r="H127" s="195"/>
      <c r="I127" s="98"/>
      <c r="J127" s="98"/>
      <c r="K127" s="98"/>
      <c r="L127" s="98"/>
      <c r="M127" s="98"/>
      <c r="N127" s="98"/>
      <c r="O127" s="98"/>
      <c r="P127" s="98"/>
      <c r="Q127" s="98"/>
      <c r="R127" s="98"/>
      <c r="S127" s="98"/>
    </row>
    <row r="128" spans="1:19" ht="18" customHeight="1">
      <c r="A128" s="172">
        <v>2018</v>
      </c>
      <c r="B128" s="172" t="s">
        <v>68</v>
      </c>
      <c r="C128" s="172" t="s">
        <v>1787</v>
      </c>
      <c r="D128" s="172">
        <v>76.8</v>
      </c>
      <c r="E128" s="98"/>
      <c r="F128" s="98"/>
      <c r="G128" s="195"/>
      <c r="H128" s="195"/>
      <c r="I128" s="98"/>
      <c r="J128" s="98"/>
      <c r="K128" s="98"/>
      <c r="L128" s="98"/>
      <c r="M128" s="98"/>
      <c r="N128" s="98"/>
      <c r="O128" s="98"/>
      <c r="P128" s="98"/>
      <c r="Q128" s="98"/>
      <c r="R128" s="98"/>
      <c r="S128" s="98"/>
    </row>
    <row r="129" spans="1:19" ht="18" customHeight="1">
      <c r="A129" s="172">
        <v>2018</v>
      </c>
      <c r="B129" s="172" t="s">
        <v>45</v>
      </c>
      <c r="C129" s="172" t="s">
        <v>2350</v>
      </c>
      <c r="D129" s="172">
        <v>26.9</v>
      </c>
      <c r="E129" s="98"/>
      <c r="F129" s="98"/>
      <c r="G129" s="195"/>
      <c r="H129" s="195"/>
      <c r="I129" s="98"/>
      <c r="J129" s="98"/>
      <c r="K129" s="98"/>
      <c r="L129" s="98"/>
      <c r="M129" s="98"/>
      <c r="N129" s="98"/>
      <c r="O129" s="98"/>
      <c r="P129" s="98"/>
      <c r="Q129" s="98"/>
      <c r="R129" s="98"/>
      <c r="S129" s="98"/>
    </row>
    <row r="130" spans="1:19" ht="18" customHeight="1">
      <c r="A130" s="172">
        <v>2018</v>
      </c>
      <c r="B130" s="172" t="s">
        <v>68</v>
      </c>
      <c r="C130" s="172" t="s">
        <v>2350</v>
      </c>
      <c r="D130" s="172">
        <v>30.6</v>
      </c>
      <c r="E130" s="98"/>
      <c r="F130" s="98"/>
      <c r="G130" s="195"/>
      <c r="H130" s="195"/>
      <c r="I130" s="98"/>
      <c r="J130" s="98"/>
      <c r="K130" s="98"/>
      <c r="L130" s="98"/>
      <c r="M130" s="98"/>
      <c r="N130" s="98"/>
      <c r="O130" s="98"/>
      <c r="P130" s="98"/>
      <c r="Q130" s="98"/>
      <c r="R130" s="98"/>
      <c r="S130" s="98"/>
    </row>
    <row r="131" spans="1:19" ht="18" customHeight="1">
      <c r="A131" s="172">
        <v>2018</v>
      </c>
      <c r="B131" s="172" t="s">
        <v>45</v>
      </c>
      <c r="C131" s="172" t="s">
        <v>2351</v>
      </c>
      <c r="D131" s="172">
        <v>9.5</v>
      </c>
      <c r="E131" s="98"/>
      <c r="F131" s="98"/>
      <c r="G131" s="195"/>
      <c r="H131" s="195"/>
      <c r="I131" s="98"/>
      <c r="J131" s="98"/>
      <c r="K131" s="98"/>
      <c r="L131" s="98"/>
      <c r="M131" s="98"/>
      <c r="N131" s="98"/>
      <c r="O131" s="98"/>
      <c r="P131" s="98"/>
      <c r="Q131" s="98"/>
      <c r="R131" s="98"/>
      <c r="S131" s="98"/>
    </row>
    <row r="132" spans="1:19" ht="18" customHeight="1">
      <c r="A132" s="172">
        <v>2018</v>
      </c>
      <c r="B132" s="172" t="s">
        <v>68</v>
      </c>
      <c r="C132" s="172" t="s">
        <v>2351</v>
      </c>
      <c r="D132" s="172">
        <v>12</v>
      </c>
      <c r="E132" s="98"/>
      <c r="F132" s="98"/>
      <c r="G132" s="195"/>
      <c r="H132" s="195"/>
      <c r="I132" s="98"/>
      <c r="J132" s="98"/>
      <c r="K132" s="98"/>
      <c r="L132" s="98"/>
      <c r="M132" s="98"/>
      <c r="N132" s="98"/>
      <c r="O132" s="98"/>
      <c r="P132" s="98"/>
      <c r="Q132" s="98"/>
      <c r="R132" s="98"/>
      <c r="S132" s="98"/>
    </row>
    <row r="133" spans="1:19" ht="18" customHeight="1">
      <c r="A133" s="172">
        <v>2018</v>
      </c>
      <c r="B133" s="172" t="s">
        <v>45</v>
      </c>
      <c r="C133" s="172" t="s">
        <v>2352</v>
      </c>
      <c r="D133" s="172">
        <v>21</v>
      </c>
      <c r="E133" s="98"/>
      <c r="F133" s="98"/>
      <c r="G133" s="195"/>
      <c r="H133" s="195"/>
      <c r="I133" s="98"/>
      <c r="J133" s="98"/>
      <c r="K133" s="98"/>
      <c r="L133" s="98"/>
      <c r="M133" s="98"/>
      <c r="N133" s="98"/>
      <c r="O133" s="98"/>
      <c r="P133" s="98"/>
      <c r="Q133" s="98"/>
      <c r="R133" s="98"/>
      <c r="S133" s="98"/>
    </row>
    <row r="134" spans="1:19" ht="18" customHeight="1">
      <c r="A134" s="172">
        <v>2018</v>
      </c>
      <c r="B134" s="172" t="s">
        <v>68</v>
      </c>
      <c r="C134" s="172" t="s">
        <v>2352</v>
      </c>
      <c r="D134" s="172">
        <v>22.2</v>
      </c>
      <c r="E134" s="98"/>
      <c r="F134" s="98"/>
      <c r="G134" s="195"/>
      <c r="H134" s="195"/>
      <c r="I134" s="98"/>
      <c r="J134" s="98"/>
      <c r="K134" s="98"/>
      <c r="L134" s="98"/>
      <c r="M134" s="98"/>
      <c r="N134" s="98"/>
      <c r="O134" s="98"/>
      <c r="P134" s="98"/>
      <c r="Q134" s="98"/>
      <c r="R134" s="98"/>
      <c r="S134" s="98"/>
    </row>
    <row r="135" spans="1:19" ht="18" customHeight="1">
      <c r="A135" s="172">
        <v>2018</v>
      </c>
      <c r="B135" s="172" t="s">
        <v>45</v>
      </c>
      <c r="C135" s="172" t="s">
        <v>2307</v>
      </c>
      <c r="D135" s="172">
        <v>17.14</v>
      </c>
      <c r="E135" s="98"/>
      <c r="F135" s="98"/>
      <c r="G135" s="195"/>
      <c r="H135" s="195"/>
      <c r="I135" s="98"/>
      <c r="J135" s="98"/>
      <c r="K135" s="98"/>
      <c r="L135" s="98"/>
      <c r="M135" s="98"/>
      <c r="N135" s="98"/>
      <c r="O135" s="98"/>
      <c r="P135" s="98"/>
      <c r="Q135" s="98"/>
      <c r="R135" s="98"/>
      <c r="S135" s="98"/>
    </row>
    <row r="136" spans="1:19" ht="18" customHeight="1">
      <c r="A136" s="172">
        <v>2018</v>
      </c>
      <c r="B136" s="172" t="s">
        <v>68</v>
      </c>
      <c r="C136" s="172" t="s">
        <v>2307</v>
      </c>
      <c r="D136" s="172">
        <v>12.73</v>
      </c>
      <c r="E136" s="98"/>
      <c r="F136" s="98"/>
      <c r="G136" s="195"/>
      <c r="H136" s="195"/>
      <c r="I136" s="98"/>
      <c r="J136" s="98"/>
      <c r="K136" s="98"/>
      <c r="L136" s="98"/>
      <c r="M136" s="98"/>
      <c r="N136" s="98"/>
      <c r="O136" s="98"/>
      <c r="P136" s="98"/>
      <c r="Q136" s="98"/>
      <c r="R136" s="98"/>
      <c r="S136" s="98"/>
    </row>
    <row r="137" spans="1:19" ht="18" customHeight="1">
      <c r="A137" s="172">
        <v>2018</v>
      </c>
      <c r="B137" s="172" t="s">
        <v>45</v>
      </c>
      <c r="C137" s="172" t="s">
        <v>2311</v>
      </c>
      <c r="D137" s="172">
        <v>15.73</v>
      </c>
      <c r="E137" s="98"/>
      <c r="F137" s="98"/>
      <c r="G137" s="195"/>
      <c r="H137" s="195"/>
      <c r="I137" s="98"/>
      <c r="J137" s="98"/>
      <c r="K137" s="98"/>
      <c r="L137" s="98"/>
      <c r="M137" s="98"/>
      <c r="N137" s="98"/>
      <c r="O137" s="98"/>
      <c r="P137" s="98"/>
      <c r="Q137" s="98"/>
      <c r="R137" s="98"/>
      <c r="S137" s="98"/>
    </row>
    <row r="138" spans="1:19" ht="18" customHeight="1">
      <c r="A138" s="172">
        <v>2018</v>
      </c>
      <c r="B138" s="172" t="s">
        <v>68</v>
      </c>
      <c r="C138" s="172" t="s">
        <v>2311</v>
      </c>
      <c r="D138" s="172">
        <v>15.49</v>
      </c>
      <c r="E138" s="98"/>
      <c r="F138" s="98"/>
      <c r="G138" s="195"/>
      <c r="H138" s="195"/>
      <c r="I138" s="98"/>
      <c r="J138" s="98"/>
      <c r="K138" s="98"/>
      <c r="L138" s="98"/>
      <c r="M138" s="98"/>
      <c r="N138" s="98"/>
      <c r="O138" s="98"/>
      <c r="P138" s="98"/>
      <c r="Q138" s="98"/>
      <c r="R138" s="98"/>
      <c r="S138" s="98"/>
    </row>
    <row r="139" spans="1:19" ht="18" customHeight="1">
      <c r="A139" s="172">
        <v>2018</v>
      </c>
      <c r="B139" s="172" t="s">
        <v>45</v>
      </c>
      <c r="C139" s="172" t="s">
        <v>2302</v>
      </c>
      <c r="D139" s="172">
        <v>36.76</v>
      </c>
      <c r="E139" s="98"/>
      <c r="F139" s="98"/>
      <c r="G139" s="195"/>
      <c r="H139" s="195"/>
      <c r="I139" s="98"/>
      <c r="J139" s="98"/>
      <c r="K139" s="98"/>
      <c r="L139" s="98"/>
      <c r="M139" s="98"/>
      <c r="N139" s="98"/>
      <c r="O139" s="98"/>
      <c r="P139" s="98"/>
      <c r="Q139" s="98"/>
      <c r="R139" s="98"/>
      <c r="S139" s="98"/>
    </row>
    <row r="140" spans="1:19" ht="18" customHeight="1">
      <c r="A140" s="172">
        <v>2018</v>
      </c>
      <c r="B140" s="172" t="s">
        <v>68</v>
      </c>
      <c r="C140" s="172" t="s">
        <v>2302</v>
      </c>
      <c r="D140" s="172">
        <v>39.47</v>
      </c>
      <c r="E140" s="98"/>
      <c r="F140" s="98"/>
      <c r="G140" s="195"/>
      <c r="H140" s="195"/>
      <c r="I140" s="98"/>
      <c r="J140" s="98"/>
      <c r="K140" s="98"/>
      <c r="L140" s="98"/>
      <c r="M140" s="98"/>
      <c r="N140" s="98"/>
      <c r="O140" s="98"/>
      <c r="P140" s="98"/>
      <c r="Q140" s="98"/>
      <c r="R140" s="98"/>
      <c r="S140" s="98"/>
    </row>
    <row r="141" spans="1:19" ht="18" customHeight="1">
      <c r="A141" s="172">
        <v>2018</v>
      </c>
      <c r="B141" s="172" t="s">
        <v>45</v>
      </c>
      <c r="C141" s="172" t="s">
        <v>2315</v>
      </c>
      <c r="D141" s="172">
        <v>11.61</v>
      </c>
      <c r="E141" s="98"/>
      <c r="F141" s="98"/>
      <c r="G141" s="195"/>
      <c r="H141" s="195"/>
      <c r="I141" s="98"/>
      <c r="J141" s="98"/>
      <c r="K141" s="98"/>
      <c r="L141" s="98"/>
      <c r="M141" s="98"/>
      <c r="N141" s="98"/>
      <c r="O141" s="98"/>
      <c r="P141" s="98"/>
      <c r="Q141" s="98"/>
      <c r="R141" s="98"/>
      <c r="S141" s="98"/>
    </row>
    <row r="142" spans="1:19" ht="18" customHeight="1">
      <c r="A142" s="172">
        <v>2018</v>
      </c>
      <c r="B142" s="172" t="s">
        <v>68</v>
      </c>
      <c r="C142" s="172" t="s">
        <v>2315</v>
      </c>
      <c r="D142" s="172">
        <v>20.309999999999999</v>
      </c>
      <c r="E142" s="98"/>
      <c r="F142" s="98"/>
      <c r="G142" s="195"/>
      <c r="H142" s="195"/>
      <c r="I142" s="98"/>
      <c r="J142" s="98"/>
      <c r="K142" s="98"/>
      <c r="L142" s="98"/>
      <c r="M142" s="98"/>
      <c r="N142" s="98"/>
      <c r="O142" s="98"/>
      <c r="P142" s="98"/>
      <c r="Q142" s="98"/>
      <c r="R142" s="98"/>
      <c r="S142" s="98"/>
    </row>
    <row r="143" spans="1:19" ht="18" customHeight="1">
      <c r="A143" s="172">
        <v>2017</v>
      </c>
      <c r="B143" s="172" t="s">
        <v>45</v>
      </c>
      <c r="C143" s="172" t="s">
        <v>2348</v>
      </c>
      <c r="D143" s="172">
        <v>1724</v>
      </c>
      <c r="E143" s="98"/>
      <c r="F143" s="98"/>
      <c r="G143" s="195"/>
      <c r="H143" s="195"/>
      <c r="I143" s="98"/>
      <c r="J143" s="98"/>
      <c r="K143" s="98"/>
      <c r="L143" s="98"/>
      <c r="M143" s="98"/>
      <c r="N143" s="98"/>
      <c r="O143" s="98"/>
      <c r="P143" s="98"/>
      <c r="Q143" s="98"/>
      <c r="R143" s="98"/>
      <c r="S143" s="98"/>
    </row>
    <row r="144" spans="1:19" ht="18" customHeight="1">
      <c r="A144" s="172">
        <v>2017</v>
      </c>
      <c r="B144" s="172" t="s">
        <v>68</v>
      </c>
      <c r="C144" s="172" t="s">
        <v>2348</v>
      </c>
      <c r="D144" s="172">
        <v>1266</v>
      </c>
      <c r="E144" s="98"/>
      <c r="F144" s="98"/>
      <c r="G144" s="195"/>
      <c r="H144" s="195"/>
      <c r="I144" s="98"/>
      <c r="J144" s="98"/>
      <c r="K144" s="98"/>
      <c r="L144" s="98"/>
      <c r="M144" s="98"/>
      <c r="N144" s="98"/>
      <c r="O144" s="98"/>
      <c r="P144" s="98"/>
      <c r="Q144" s="98"/>
      <c r="R144" s="98"/>
      <c r="S144" s="98"/>
    </row>
    <row r="145" spans="1:19" ht="18" customHeight="1">
      <c r="A145" s="172">
        <v>2017</v>
      </c>
      <c r="B145" s="172" t="s">
        <v>45</v>
      </c>
      <c r="C145" s="172" t="s">
        <v>2349</v>
      </c>
      <c r="D145" s="172">
        <v>24.5</v>
      </c>
      <c r="E145" s="98"/>
      <c r="F145" s="98"/>
      <c r="G145" s="195"/>
      <c r="H145" s="195"/>
      <c r="I145" s="98"/>
      <c r="J145" s="98"/>
      <c r="K145" s="98"/>
      <c r="L145" s="98"/>
      <c r="M145" s="98"/>
      <c r="N145" s="98"/>
      <c r="O145" s="98"/>
      <c r="P145" s="98"/>
      <c r="Q145" s="98"/>
      <c r="R145" s="98"/>
      <c r="S145" s="98"/>
    </row>
    <row r="146" spans="1:19" ht="18" customHeight="1">
      <c r="A146" s="172">
        <v>2017</v>
      </c>
      <c r="B146" s="172" t="s">
        <v>68</v>
      </c>
      <c r="C146" s="172" t="s">
        <v>2349</v>
      </c>
      <c r="D146" s="172">
        <v>12.2</v>
      </c>
      <c r="E146" s="98"/>
      <c r="F146" s="98"/>
      <c r="G146" s="195"/>
      <c r="H146" s="195"/>
      <c r="I146" s="98"/>
      <c r="J146" s="98"/>
      <c r="K146" s="98"/>
      <c r="L146" s="98"/>
      <c r="M146" s="98"/>
      <c r="N146" s="98"/>
      <c r="O146" s="98"/>
      <c r="P146" s="98"/>
      <c r="Q146" s="98"/>
      <c r="R146" s="98"/>
      <c r="S146" s="98"/>
    </row>
    <row r="147" spans="1:19" ht="18" customHeight="1">
      <c r="A147" s="172">
        <v>2017</v>
      </c>
      <c r="B147" s="172" t="s">
        <v>45</v>
      </c>
      <c r="C147" s="172" t="s">
        <v>1787</v>
      </c>
      <c r="D147" s="172">
        <v>89.8</v>
      </c>
      <c r="E147" s="98"/>
      <c r="F147" s="98"/>
      <c r="G147" s="195"/>
      <c r="H147" s="195"/>
      <c r="I147" s="98"/>
      <c r="J147" s="98"/>
      <c r="K147" s="98"/>
      <c r="L147" s="98"/>
      <c r="M147" s="98"/>
      <c r="N147" s="98"/>
      <c r="O147" s="98"/>
      <c r="P147" s="98"/>
      <c r="Q147" s="98"/>
      <c r="R147" s="98"/>
      <c r="S147" s="98"/>
    </row>
    <row r="148" spans="1:19" ht="18" customHeight="1">
      <c r="A148" s="172">
        <v>2017</v>
      </c>
      <c r="B148" s="172" t="s">
        <v>68</v>
      </c>
      <c r="C148" s="172" t="s">
        <v>1787</v>
      </c>
      <c r="D148" s="172">
        <v>93.4</v>
      </c>
      <c r="E148" s="98"/>
      <c r="F148" s="98"/>
      <c r="G148" s="195"/>
      <c r="H148" s="195"/>
      <c r="I148" s="98"/>
      <c r="J148" s="98"/>
      <c r="K148" s="98"/>
      <c r="L148" s="98"/>
      <c r="M148" s="98"/>
      <c r="N148" s="98"/>
      <c r="O148" s="98"/>
      <c r="P148" s="98"/>
      <c r="Q148" s="98"/>
      <c r="R148" s="98"/>
      <c r="S148" s="98"/>
    </row>
    <row r="149" spans="1:19" ht="18" customHeight="1">
      <c r="A149" s="172">
        <v>2017</v>
      </c>
      <c r="B149" s="172" t="s">
        <v>45</v>
      </c>
      <c r="C149" s="172" t="s">
        <v>2350</v>
      </c>
      <c r="D149" s="172">
        <v>23.9</v>
      </c>
      <c r="E149" s="98"/>
      <c r="F149" s="98"/>
      <c r="G149" s="195"/>
      <c r="H149" s="195"/>
      <c r="I149" s="98"/>
      <c r="J149" s="98"/>
      <c r="K149" s="98"/>
      <c r="L149" s="98"/>
      <c r="M149" s="98"/>
      <c r="N149" s="98"/>
      <c r="O149" s="98"/>
      <c r="P149" s="98"/>
      <c r="Q149" s="98"/>
      <c r="R149" s="98"/>
      <c r="S149" s="98"/>
    </row>
    <row r="150" spans="1:19" ht="18" customHeight="1">
      <c r="A150" s="172">
        <v>2017</v>
      </c>
      <c r="B150" s="172" t="s">
        <v>68</v>
      </c>
      <c r="C150" s="172" t="s">
        <v>2350</v>
      </c>
      <c r="D150" s="172">
        <v>33.299999999999997</v>
      </c>
      <c r="E150" s="98"/>
      <c r="F150" s="98"/>
      <c r="G150" s="195"/>
      <c r="H150" s="195"/>
      <c r="I150" s="98"/>
      <c r="J150" s="98"/>
      <c r="K150" s="98"/>
      <c r="L150" s="98"/>
      <c r="M150" s="98"/>
      <c r="N150" s="98"/>
      <c r="O150" s="98"/>
      <c r="P150" s="98"/>
      <c r="Q150" s="98"/>
      <c r="R150" s="98"/>
      <c r="S150" s="98"/>
    </row>
    <row r="151" spans="1:19" ht="18" customHeight="1">
      <c r="A151" s="172">
        <v>2017</v>
      </c>
      <c r="B151" s="172" t="s">
        <v>45</v>
      </c>
      <c r="C151" s="172" t="s">
        <v>2351</v>
      </c>
      <c r="D151" s="172">
        <v>10</v>
      </c>
      <c r="E151" s="98"/>
      <c r="F151" s="98"/>
      <c r="G151" s="195"/>
      <c r="H151" s="195"/>
      <c r="I151" s="98"/>
      <c r="J151" s="98"/>
      <c r="K151" s="98"/>
      <c r="L151" s="98"/>
      <c r="M151" s="98"/>
      <c r="N151" s="98"/>
      <c r="O151" s="98"/>
      <c r="P151" s="98"/>
      <c r="Q151" s="98"/>
      <c r="R151" s="98"/>
      <c r="S151" s="98"/>
    </row>
    <row r="152" spans="1:19" ht="18" customHeight="1">
      <c r="A152" s="172">
        <v>2017</v>
      </c>
      <c r="B152" s="172" t="s">
        <v>68</v>
      </c>
      <c r="C152" s="172" t="s">
        <v>2351</v>
      </c>
      <c r="D152" s="172">
        <v>12.6</v>
      </c>
      <c r="E152" s="98"/>
      <c r="F152" s="98"/>
      <c r="G152" s="195"/>
      <c r="H152" s="195"/>
      <c r="I152" s="98"/>
      <c r="J152" s="98"/>
      <c r="K152" s="98"/>
      <c r="L152" s="98"/>
      <c r="M152" s="98"/>
      <c r="N152" s="98"/>
      <c r="O152" s="98"/>
      <c r="P152" s="98"/>
      <c r="Q152" s="98"/>
      <c r="R152" s="98"/>
      <c r="S152" s="98"/>
    </row>
    <row r="153" spans="1:19" ht="18" customHeight="1">
      <c r="A153" s="172">
        <v>2017</v>
      </c>
      <c r="B153" s="172" t="s">
        <v>45</v>
      </c>
      <c r="C153" s="172" t="s">
        <v>2352</v>
      </c>
      <c r="D153" s="172">
        <v>20.6</v>
      </c>
      <c r="E153" s="98"/>
      <c r="F153" s="98"/>
      <c r="G153" s="195"/>
      <c r="H153" s="195"/>
      <c r="I153" s="98"/>
      <c r="J153" s="98"/>
      <c r="K153" s="98"/>
      <c r="L153" s="98"/>
      <c r="M153" s="98"/>
      <c r="N153" s="98"/>
      <c r="O153" s="98"/>
      <c r="P153" s="98"/>
      <c r="Q153" s="98"/>
      <c r="R153" s="98"/>
      <c r="S153" s="98"/>
    </row>
    <row r="154" spans="1:19" ht="18" customHeight="1">
      <c r="A154" s="172">
        <v>2017</v>
      </c>
      <c r="B154" s="172" t="s">
        <v>68</v>
      </c>
      <c r="C154" s="172" t="s">
        <v>2352</v>
      </c>
      <c r="D154" s="172">
        <v>21.7</v>
      </c>
      <c r="E154" s="98"/>
      <c r="F154" s="98"/>
      <c r="G154" s="195"/>
      <c r="H154" s="195"/>
      <c r="I154" s="98"/>
      <c r="J154" s="98"/>
      <c r="K154" s="98"/>
      <c r="L154" s="98"/>
      <c r="M154" s="98"/>
      <c r="N154" s="98"/>
      <c r="O154" s="98"/>
      <c r="P154" s="98"/>
      <c r="Q154" s="98"/>
      <c r="R154" s="98"/>
      <c r="S154" s="98"/>
    </row>
    <row r="155" spans="1:19" ht="18" customHeight="1">
      <c r="A155" s="172">
        <v>2017</v>
      </c>
      <c r="B155" s="172" t="s">
        <v>45</v>
      </c>
      <c r="C155" s="172" t="s">
        <v>2307</v>
      </c>
      <c r="D155" s="172">
        <v>18.11</v>
      </c>
      <c r="E155" s="98"/>
      <c r="F155" s="98"/>
      <c r="G155" s="195"/>
      <c r="H155" s="195"/>
      <c r="I155" s="98"/>
      <c r="J155" s="98"/>
      <c r="K155" s="98"/>
      <c r="L155" s="98"/>
      <c r="M155" s="98"/>
      <c r="N155" s="98"/>
      <c r="O155" s="98"/>
      <c r="P155" s="98"/>
      <c r="Q155" s="98"/>
      <c r="R155" s="98"/>
      <c r="S155" s="98"/>
    </row>
    <row r="156" spans="1:19" ht="18" customHeight="1">
      <c r="A156" s="172">
        <v>2017</v>
      </c>
      <c r="B156" s="172" t="s">
        <v>68</v>
      </c>
      <c r="C156" s="172" t="s">
        <v>2307</v>
      </c>
      <c r="D156" s="172">
        <v>12.62</v>
      </c>
      <c r="E156" s="98"/>
      <c r="F156" s="98"/>
      <c r="G156" s="195"/>
      <c r="H156" s="195"/>
      <c r="I156" s="98"/>
      <c r="J156" s="98"/>
      <c r="K156" s="98"/>
      <c r="L156" s="98"/>
      <c r="M156" s="98"/>
      <c r="N156" s="98"/>
      <c r="O156" s="98"/>
      <c r="P156" s="98"/>
      <c r="Q156" s="98"/>
      <c r="R156" s="98"/>
      <c r="S156" s="98"/>
    </row>
    <row r="157" spans="1:19" ht="18" customHeight="1">
      <c r="A157" s="172">
        <v>2017</v>
      </c>
      <c r="B157" s="172" t="s">
        <v>45</v>
      </c>
      <c r="C157" s="172" t="s">
        <v>2311</v>
      </c>
      <c r="D157" s="172">
        <v>16.149999999999999</v>
      </c>
      <c r="E157" s="98"/>
      <c r="F157" s="98"/>
      <c r="G157" s="195"/>
      <c r="H157" s="195"/>
      <c r="I157" s="98"/>
      <c r="J157" s="98"/>
      <c r="K157" s="98"/>
      <c r="L157" s="98"/>
      <c r="M157" s="98"/>
      <c r="N157" s="98"/>
      <c r="O157" s="98"/>
      <c r="P157" s="98"/>
      <c r="Q157" s="98"/>
      <c r="R157" s="98"/>
      <c r="S157" s="98"/>
    </row>
    <row r="158" spans="1:19" ht="18" customHeight="1">
      <c r="A158" s="172">
        <v>2017</v>
      </c>
      <c r="B158" s="172" t="s">
        <v>68</v>
      </c>
      <c r="C158" s="172" t="s">
        <v>2311</v>
      </c>
      <c r="D158" s="172">
        <v>15.87</v>
      </c>
      <c r="E158" s="98"/>
      <c r="F158" s="98"/>
      <c r="G158" s="195"/>
      <c r="H158" s="195"/>
      <c r="I158" s="98"/>
      <c r="J158" s="98"/>
      <c r="K158" s="98"/>
      <c r="L158" s="98"/>
      <c r="M158" s="98"/>
      <c r="N158" s="98"/>
      <c r="O158" s="98"/>
      <c r="P158" s="98"/>
      <c r="Q158" s="98"/>
      <c r="R158" s="98"/>
      <c r="S158" s="98"/>
    </row>
    <row r="159" spans="1:19" ht="18" customHeight="1">
      <c r="A159" s="172">
        <v>2017</v>
      </c>
      <c r="B159" s="172" t="s">
        <v>45</v>
      </c>
      <c r="C159" s="172" t="s">
        <v>2302</v>
      </c>
      <c r="D159" s="172">
        <v>36.22</v>
      </c>
      <c r="E159" s="98"/>
      <c r="F159" s="98"/>
      <c r="G159" s="195"/>
      <c r="H159" s="195"/>
      <c r="I159" s="98"/>
      <c r="J159" s="98"/>
      <c r="K159" s="98"/>
      <c r="L159" s="98"/>
      <c r="M159" s="98"/>
      <c r="N159" s="98"/>
      <c r="O159" s="98"/>
      <c r="P159" s="98"/>
      <c r="Q159" s="98"/>
      <c r="R159" s="98"/>
      <c r="S159" s="98"/>
    </row>
    <row r="160" spans="1:19" ht="18" customHeight="1">
      <c r="A160" s="172">
        <v>2017</v>
      </c>
      <c r="B160" s="172" t="s">
        <v>68</v>
      </c>
      <c r="C160" s="172" t="s">
        <v>2302</v>
      </c>
      <c r="D160" s="172">
        <v>37.270000000000003</v>
      </c>
      <c r="E160" s="98"/>
      <c r="F160" s="98"/>
      <c r="G160" s="195"/>
      <c r="H160" s="195"/>
      <c r="I160" s="98"/>
      <c r="J160" s="98"/>
      <c r="K160" s="98"/>
      <c r="L160" s="98"/>
      <c r="M160" s="98"/>
      <c r="N160" s="98"/>
      <c r="O160" s="98"/>
      <c r="P160" s="98"/>
      <c r="Q160" s="98"/>
      <c r="R160" s="98"/>
      <c r="S160" s="98"/>
    </row>
    <row r="161" spans="1:19" ht="18" customHeight="1">
      <c r="A161" s="172">
        <v>2017</v>
      </c>
      <c r="B161" s="172" t="s">
        <v>45</v>
      </c>
      <c r="C161" s="172" t="s">
        <v>2315</v>
      </c>
      <c r="D161" s="172">
        <v>12.76</v>
      </c>
      <c r="E161" s="98"/>
      <c r="F161" s="98"/>
      <c r="G161" s="98"/>
      <c r="H161" s="98"/>
      <c r="I161" s="98"/>
      <c r="J161" s="98"/>
      <c r="K161" s="98"/>
      <c r="L161" s="98"/>
      <c r="M161" s="98"/>
      <c r="N161" s="98"/>
      <c r="O161" s="98"/>
      <c r="P161" s="98"/>
      <c r="Q161" s="98"/>
      <c r="R161" s="98"/>
      <c r="S161" s="98"/>
    </row>
    <row r="162" spans="1:19" ht="18" customHeight="1">
      <c r="A162" s="172">
        <v>2017</v>
      </c>
      <c r="B162" s="172" t="s">
        <v>68</v>
      </c>
      <c r="C162" s="172" t="s">
        <v>2315</v>
      </c>
      <c r="D162" s="172">
        <v>21.09</v>
      </c>
      <c r="E162" s="98"/>
      <c r="F162" s="98"/>
      <c r="G162" s="98"/>
      <c r="H162" s="98"/>
      <c r="I162" s="98"/>
      <c r="J162" s="98"/>
      <c r="K162" s="98"/>
      <c r="L162" s="98"/>
      <c r="M162" s="98"/>
      <c r="N162" s="98"/>
      <c r="O162" s="98"/>
      <c r="P162" s="98"/>
      <c r="Q162" s="98"/>
      <c r="R162" s="98"/>
      <c r="S162" s="98"/>
    </row>
    <row r="163" spans="1:19" ht="18" customHeight="1">
      <c r="A163" s="172">
        <v>2016</v>
      </c>
      <c r="B163" s="172" t="s">
        <v>45</v>
      </c>
      <c r="C163" s="172" t="s">
        <v>2348</v>
      </c>
      <c r="D163" s="172">
        <v>1320</v>
      </c>
      <c r="E163" s="98"/>
      <c r="F163" s="98"/>
      <c r="G163" s="98"/>
      <c r="H163" s="98"/>
      <c r="I163" s="98"/>
      <c r="J163" s="98"/>
      <c r="K163" s="98"/>
      <c r="L163" s="98"/>
      <c r="M163" s="98"/>
      <c r="N163" s="98"/>
      <c r="O163" s="98"/>
      <c r="P163" s="98"/>
      <c r="Q163" s="98"/>
      <c r="R163" s="98"/>
      <c r="S163" s="98"/>
    </row>
    <row r="164" spans="1:19" ht="18" customHeight="1">
      <c r="A164" s="172">
        <v>2016</v>
      </c>
      <c r="B164" s="172" t="s">
        <v>68</v>
      </c>
      <c r="C164" s="172" t="s">
        <v>2348</v>
      </c>
      <c r="D164" s="172">
        <v>192</v>
      </c>
      <c r="E164" s="98"/>
      <c r="F164" s="98"/>
      <c r="G164" s="98"/>
      <c r="H164" s="98"/>
      <c r="I164" s="98"/>
      <c r="J164" s="98"/>
      <c r="K164" s="98"/>
      <c r="L164" s="98"/>
      <c r="M164" s="98"/>
      <c r="N164" s="98"/>
      <c r="O164" s="98"/>
      <c r="P164" s="98"/>
      <c r="Q164" s="98"/>
      <c r="R164" s="98"/>
      <c r="S164" s="98"/>
    </row>
    <row r="165" spans="1:19" ht="18" customHeight="1">
      <c r="A165" s="172">
        <v>2016</v>
      </c>
      <c r="B165" s="172" t="s">
        <v>45</v>
      </c>
      <c r="C165" s="172" t="s">
        <v>2349</v>
      </c>
      <c r="D165" s="172">
        <v>21.8</v>
      </c>
      <c r="E165" s="98"/>
      <c r="F165" s="98"/>
      <c r="G165" s="98"/>
      <c r="H165" s="98"/>
      <c r="I165" s="98"/>
      <c r="J165" s="98"/>
      <c r="K165" s="98"/>
      <c r="L165" s="98"/>
      <c r="M165" s="98"/>
      <c r="N165" s="98"/>
      <c r="O165" s="98"/>
      <c r="P165" s="98"/>
      <c r="Q165" s="98"/>
      <c r="R165" s="98"/>
      <c r="S165" s="98"/>
    </row>
    <row r="166" spans="1:19" ht="18" customHeight="1">
      <c r="A166" s="172">
        <v>2016</v>
      </c>
      <c r="B166" s="172" t="s">
        <v>68</v>
      </c>
      <c r="C166" s="172" t="s">
        <v>2349</v>
      </c>
      <c r="D166" s="172">
        <v>12.1</v>
      </c>
      <c r="E166" s="98"/>
      <c r="F166" s="98"/>
      <c r="G166" s="98"/>
      <c r="H166" s="98"/>
      <c r="I166" s="98"/>
      <c r="J166" s="98"/>
      <c r="K166" s="98"/>
      <c r="L166" s="98"/>
      <c r="M166" s="98"/>
      <c r="N166" s="98"/>
      <c r="O166" s="98"/>
      <c r="P166" s="98"/>
      <c r="Q166" s="98"/>
      <c r="R166" s="98"/>
      <c r="S166" s="98"/>
    </row>
    <row r="167" spans="1:19" ht="18" customHeight="1">
      <c r="A167" s="172">
        <v>2016</v>
      </c>
      <c r="B167" s="172" t="s">
        <v>45</v>
      </c>
      <c r="C167" s="172" t="s">
        <v>1787</v>
      </c>
      <c r="D167" s="172">
        <v>98.1</v>
      </c>
      <c r="E167" s="98"/>
      <c r="F167" s="98"/>
      <c r="G167" s="98"/>
      <c r="H167" s="98"/>
      <c r="I167" s="98"/>
      <c r="J167" s="98"/>
      <c r="K167" s="98"/>
      <c r="L167" s="98"/>
      <c r="M167" s="98"/>
      <c r="N167" s="98"/>
      <c r="O167" s="98"/>
      <c r="P167" s="98"/>
      <c r="Q167" s="98"/>
      <c r="R167" s="98"/>
      <c r="S167" s="98"/>
    </row>
    <row r="168" spans="1:19" ht="18" customHeight="1">
      <c r="A168" s="172">
        <v>2016</v>
      </c>
      <c r="B168" s="172" t="s">
        <v>68</v>
      </c>
      <c r="C168" s="172" t="s">
        <v>1787</v>
      </c>
      <c r="D168" s="172">
        <v>105.6</v>
      </c>
      <c r="E168" s="98"/>
      <c r="F168" s="98"/>
      <c r="G168" s="98"/>
      <c r="H168" s="98"/>
      <c r="I168" s="98"/>
      <c r="J168" s="98"/>
      <c r="K168" s="98"/>
      <c r="L168" s="98"/>
      <c r="M168" s="98"/>
      <c r="N168" s="98"/>
      <c r="O168" s="98"/>
      <c r="P168" s="98"/>
      <c r="Q168" s="98"/>
      <c r="R168" s="98"/>
      <c r="S168" s="98"/>
    </row>
    <row r="169" spans="1:19" ht="18" customHeight="1">
      <c r="A169" s="172">
        <v>2016</v>
      </c>
      <c r="B169" s="172" t="s">
        <v>45</v>
      </c>
      <c r="C169" s="172" t="s">
        <v>2350</v>
      </c>
      <c r="D169" s="172">
        <v>25.5</v>
      </c>
      <c r="E169" s="98"/>
      <c r="F169" s="98"/>
      <c r="G169" s="98"/>
      <c r="H169" s="98"/>
      <c r="I169" s="98"/>
      <c r="J169" s="98"/>
      <c r="K169" s="98"/>
      <c r="L169" s="98"/>
      <c r="M169" s="98"/>
      <c r="N169" s="98"/>
      <c r="O169" s="98"/>
      <c r="P169" s="98"/>
      <c r="Q169" s="98"/>
      <c r="R169" s="98"/>
      <c r="S169" s="98"/>
    </row>
    <row r="170" spans="1:19" ht="18" customHeight="1">
      <c r="A170" s="172">
        <v>2016</v>
      </c>
      <c r="B170" s="172" t="s">
        <v>68</v>
      </c>
      <c r="C170" s="172" t="s">
        <v>2350</v>
      </c>
      <c r="D170" s="172">
        <v>31.9</v>
      </c>
      <c r="E170" s="98"/>
      <c r="F170" s="98"/>
      <c r="G170" s="98"/>
      <c r="H170" s="98"/>
      <c r="I170" s="98"/>
      <c r="J170" s="98"/>
      <c r="K170" s="98"/>
      <c r="L170" s="98"/>
      <c r="M170" s="98"/>
      <c r="N170" s="98"/>
      <c r="O170" s="98"/>
      <c r="P170" s="98"/>
      <c r="Q170" s="98"/>
      <c r="R170" s="98"/>
      <c r="S170" s="98"/>
    </row>
    <row r="171" spans="1:19" ht="18" customHeight="1">
      <c r="A171" s="172">
        <v>2016</v>
      </c>
      <c r="B171" s="172" t="s">
        <v>45</v>
      </c>
      <c r="C171" s="172" t="s">
        <v>2351</v>
      </c>
      <c r="D171" s="172">
        <v>9.6999999999999993</v>
      </c>
      <c r="E171" s="98"/>
      <c r="F171" s="98"/>
      <c r="G171" s="98"/>
      <c r="H171" s="98"/>
      <c r="I171" s="98"/>
      <c r="J171" s="98"/>
      <c r="K171" s="98"/>
      <c r="L171" s="98"/>
      <c r="M171" s="98"/>
      <c r="N171" s="98"/>
      <c r="O171" s="98"/>
      <c r="P171" s="98"/>
      <c r="Q171" s="98"/>
      <c r="R171" s="98"/>
      <c r="S171" s="98"/>
    </row>
    <row r="172" spans="1:19" ht="18" customHeight="1">
      <c r="A172" s="172">
        <v>2016</v>
      </c>
      <c r="B172" s="172" t="s">
        <v>68</v>
      </c>
      <c r="C172" s="172" t="s">
        <v>2351</v>
      </c>
      <c r="D172" s="172">
        <v>11.1</v>
      </c>
      <c r="E172" s="98"/>
      <c r="F172" s="98"/>
      <c r="G172" s="98"/>
      <c r="H172" s="98"/>
      <c r="I172" s="98"/>
      <c r="J172" s="98"/>
      <c r="K172" s="98"/>
      <c r="L172" s="98"/>
      <c r="M172" s="98"/>
      <c r="N172" s="98"/>
      <c r="O172" s="98"/>
      <c r="P172" s="98"/>
      <c r="Q172" s="98"/>
      <c r="R172" s="98"/>
      <c r="S172" s="98"/>
    </row>
    <row r="173" spans="1:19" ht="18" customHeight="1">
      <c r="A173" s="172">
        <v>2016</v>
      </c>
      <c r="B173" s="172" t="s">
        <v>45</v>
      </c>
      <c r="C173" s="172" t="s">
        <v>2352</v>
      </c>
      <c r="D173" s="172">
        <v>22.6</v>
      </c>
      <c r="E173" s="98"/>
      <c r="F173" s="98"/>
      <c r="G173" s="98"/>
      <c r="H173" s="98"/>
      <c r="I173" s="98"/>
      <c r="J173" s="98"/>
      <c r="K173" s="98"/>
      <c r="L173" s="98"/>
      <c r="M173" s="98"/>
      <c r="N173" s="98"/>
      <c r="O173" s="98"/>
      <c r="P173" s="98"/>
      <c r="Q173" s="98"/>
      <c r="R173" s="98"/>
      <c r="S173" s="98"/>
    </row>
    <row r="174" spans="1:19" ht="18" customHeight="1">
      <c r="A174" s="172">
        <v>2016</v>
      </c>
      <c r="B174" s="172" t="s">
        <v>68</v>
      </c>
      <c r="C174" s="172" t="s">
        <v>2352</v>
      </c>
      <c r="D174" s="172">
        <v>22.8</v>
      </c>
      <c r="E174" s="98"/>
      <c r="F174" s="98"/>
      <c r="G174" s="98"/>
      <c r="H174" s="98"/>
      <c r="I174" s="98"/>
      <c r="J174" s="98"/>
      <c r="K174" s="98"/>
      <c r="L174" s="98"/>
      <c r="M174" s="98"/>
      <c r="N174" s="98"/>
      <c r="O174" s="98"/>
      <c r="P174" s="98"/>
      <c r="Q174" s="98"/>
      <c r="R174" s="98"/>
      <c r="S174" s="98"/>
    </row>
    <row r="175" spans="1:19" ht="18" customHeight="1">
      <c r="A175" s="172">
        <v>2016</v>
      </c>
      <c r="B175" s="172" t="s">
        <v>45</v>
      </c>
      <c r="C175" s="172" t="s">
        <v>2307</v>
      </c>
      <c r="D175" s="172">
        <v>16.86</v>
      </c>
      <c r="E175" s="98"/>
      <c r="F175" s="98"/>
      <c r="G175" s="98"/>
      <c r="H175" s="98"/>
      <c r="I175" s="98"/>
      <c r="J175" s="98"/>
      <c r="K175" s="98"/>
      <c r="L175" s="98"/>
      <c r="M175" s="98"/>
      <c r="N175" s="98"/>
      <c r="O175" s="98"/>
      <c r="P175" s="98"/>
      <c r="Q175" s="98"/>
      <c r="R175" s="98"/>
      <c r="S175" s="98"/>
    </row>
    <row r="176" spans="1:19" ht="18" customHeight="1">
      <c r="A176" s="172">
        <v>2016</v>
      </c>
      <c r="B176" s="172" t="s">
        <v>68</v>
      </c>
      <c r="C176" s="172" t="s">
        <v>2307</v>
      </c>
      <c r="D176" s="172">
        <v>12.29</v>
      </c>
      <c r="E176" s="98"/>
      <c r="F176" s="98"/>
      <c r="G176" s="98"/>
      <c r="H176" s="98"/>
      <c r="I176" s="98"/>
      <c r="J176" s="98"/>
      <c r="K176" s="98"/>
      <c r="L176" s="98"/>
      <c r="M176" s="98"/>
      <c r="N176" s="98"/>
      <c r="O176" s="98"/>
      <c r="P176" s="98"/>
      <c r="Q176" s="98"/>
      <c r="R176" s="98"/>
      <c r="S176" s="98"/>
    </row>
    <row r="177" spans="1:19" ht="18" customHeight="1">
      <c r="A177" s="172">
        <v>2016</v>
      </c>
      <c r="B177" s="172" t="s">
        <v>45</v>
      </c>
      <c r="C177" s="172" t="s">
        <v>2311</v>
      </c>
      <c r="D177" s="172">
        <v>13.06</v>
      </c>
      <c r="E177" s="98"/>
      <c r="F177" s="98"/>
      <c r="G177" s="98"/>
      <c r="H177" s="98"/>
      <c r="I177" s="98"/>
      <c r="J177" s="98"/>
      <c r="K177" s="98"/>
      <c r="L177" s="98"/>
      <c r="M177" s="98"/>
      <c r="N177" s="98"/>
      <c r="O177" s="98"/>
      <c r="P177" s="98"/>
      <c r="Q177" s="98"/>
      <c r="R177" s="98"/>
      <c r="S177" s="98"/>
    </row>
    <row r="178" spans="1:19" ht="18" customHeight="1">
      <c r="A178" s="172">
        <v>2016</v>
      </c>
      <c r="B178" s="172" t="s">
        <v>68</v>
      </c>
      <c r="C178" s="172" t="s">
        <v>2311</v>
      </c>
      <c r="D178" s="172">
        <v>14.11</v>
      </c>
      <c r="E178" s="98"/>
      <c r="F178" s="98"/>
      <c r="G178" s="98"/>
      <c r="H178" s="98"/>
      <c r="I178" s="98"/>
      <c r="J178" s="98"/>
      <c r="K178" s="98"/>
      <c r="L178" s="98"/>
      <c r="M178" s="98"/>
      <c r="N178" s="98"/>
      <c r="O178" s="98"/>
      <c r="P178" s="98"/>
      <c r="Q178" s="98"/>
      <c r="R178" s="98"/>
      <c r="S178" s="98"/>
    </row>
    <row r="179" spans="1:19" ht="18" customHeight="1">
      <c r="A179" s="172">
        <v>2016</v>
      </c>
      <c r="B179" s="172" t="s">
        <v>45</v>
      </c>
      <c r="C179" s="172" t="s">
        <v>2302</v>
      </c>
      <c r="D179" s="172">
        <v>35.53</v>
      </c>
      <c r="E179" s="98"/>
      <c r="F179" s="98"/>
      <c r="G179" s="98"/>
      <c r="H179" s="98"/>
      <c r="I179" s="98"/>
      <c r="J179" s="98"/>
      <c r="K179" s="98"/>
      <c r="L179" s="98"/>
      <c r="M179" s="98"/>
      <c r="N179" s="98"/>
      <c r="O179" s="98"/>
      <c r="P179" s="98"/>
      <c r="Q179" s="98"/>
      <c r="R179" s="98"/>
      <c r="S179" s="98"/>
    </row>
    <row r="180" spans="1:19" ht="18" customHeight="1">
      <c r="A180" s="172">
        <v>2016</v>
      </c>
      <c r="B180" s="172" t="s">
        <v>68</v>
      </c>
      <c r="C180" s="172" t="s">
        <v>2302</v>
      </c>
      <c r="D180" s="172">
        <v>37.26</v>
      </c>
      <c r="E180" s="98"/>
      <c r="F180" s="98"/>
      <c r="G180" s="98"/>
      <c r="H180" s="98"/>
      <c r="I180" s="98"/>
      <c r="J180" s="98"/>
      <c r="K180" s="98"/>
      <c r="L180" s="98"/>
      <c r="M180" s="98"/>
      <c r="N180" s="98"/>
      <c r="O180" s="98"/>
      <c r="P180" s="98"/>
      <c r="Q180" s="98"/>
      <c r="R180" s="98"/>
      <c r="S180" s="98"/>
    </row>
    <row r="181" spans="1:19" ht="18" customHeight="1">
      <c r="A181" s="172">
        <v>2016</v>
      </c>
      <c r="B181" s="172" t="s">
        <v>45</v>
      </c>
      <c r="C181" s="172" t="s">
        <v>2315</v>
      </c>
      <c r="D181" s="172">
        <v>16.739999999999998</v>
      </c>
      <c r="E181" s="98"/>
      <c r="F181" s="98"/>
      <c r="G181" s="98"/>
      <c r="H181" s="98"/>
      <c r="I181" s="98"/>
      <c r="J181" s="98"/>
      <c r="K181" s="98"/>
      <c r="L181" s="98"/>
      <c r="M181" s="98"/>
      <c r="N181" s="98"/>
      <c r="O181" s="98"/>
      <c r="P181" s="98"/>
      <c r="Q181" s="98"/>
      <c r="R181" s="98"/>
      <c r="S181" s="98"/>
    </row>
    <row r="182" spans="1:19" ht="18" customHeight="1">
      <c r="A182" s="172">
        <v>2016</v>
      </c>
      <c r="B182" s="172" t="s">
        <v>68</v>
      </c>
      <c r="C182" s="172" t="s">
        <v>2315</v>
      </c>
      <c r="D182" s="172">
        <v>20.190000000000001</v>
      </c>
      <c r="E182" s="98"/>
      <c r="F182" s="98"/>
      <c r="G182" s="98"/>
      <c r="H182" s="98"/>
      <c r="I182" s="98"/>
      <c r="J182" s="98"/>
      <c r="K182" s="98"/>
      <c r="L182" s="98"/>
      <c r="M182" s="98"/>
      <c r="N182" s="98"/>
      <c r="O182" s="98"/>
      <c r="P182" s="98"/>
      <c r="Q182" s="98"/>
      <c r="R182" s="98"/>
      <c r="S182" s="98"/>
    </row>
    <row r="183" spans="1:19" ht="18" customHeight="1">
      <c r="A183" s="172">
        <v>2015</v>
      </c>
      <c r="B183" s="172" t="s">
        <v>45</v>
      </c>
      <c r="C183" s="172" t="s">
        <v>2348</v>
      </c>
      <c r="D183" s="172">
        <v>113</v>
      </c>
      <c r="E183" s="98"/>
      <c r="F183" s="98"/>
      <c r="G183" s="98"/>
      <c r="H183" s="98"/>
      <c r="I183" s="98"/>
      <c r="J183" s="98"/>
      <c r="K183" s="98"/>
      <c r="L183" s="98"/>
      <c r="M183" s="98"/>
      <c r="N183" s="98"/>
      <c r="O183" s="98"/>
      <c r="P183" s="98"/>
      <c r="Q183" s="98"/>
      <c r="R183" s="98"/>
      <c r="S183" s="98"/>
    </row>
    <row r="184" spans="1:19" ht="18" customHeight="1">
      <c r="A184" s="172">
        <v>2015</v>
      </c>
      <c r="B184" s="172" t="s">
        <v>68</v>
      </c>
      <c r="C184" s="172" t="s">
        <v>2348</v>
      </c>
      <c r="D184" s="172">
        <v>123</v>
      </c>
      <c r="E184" s="98"/>
      <c r="F184" s="98"/>
      <c r="G184" s="98"/>
      <c r="H184" s="98"/>
      <c r="I184" s="98"/>
      <c r="J184" s="98"/>
      <c r="K184" s="98"/>
      <c r="L184" s="98"/>
      <c r="M184" s="98"/>
      <c r="N184" s="98"/>
      <c r="O184" s="98"/>
      <c r="P184" s="98"/>
      <c r="Q184" s="98"/>
      <c r="R184" s="98"/>
      <c r="S184" s="98"/>
    </row>
    <row r="185" spans="1:19" ht="18" customHeight="1">
      <c r="A185" s="172">
        <v>2015</v>
      </c>
      <c r="B185" s="172" t="s">
        <v>45</v>
      </c>
      <c r="C185" s="172" t="s">
        <v>2349</v>
      </c>
      <c r="D185" s="172">
        <v>19</v>
      </c>
      <c r="E185" s="98"/>
      <c r="F185" s="98"/>
      <c r="G185" s="98"/>
      <c r="H185" s="98"/>
      <c r="I185" s="98"/>
      <c r="J185" s="98"/>
      <c r="K185" s="98"/>
      <c r="L185" s="98"/>
      <c r="M185" s="98"/>
      <c r="N185" s="98"/>
      <c r="O185" s="98"/>
      <c r="P185" s="98"/>
      <c r="Q185" s="98"/>
      <c r="R185" s="98"/>
      <c r="S185" s="98"/>
    </row>
    <row r="186" spans="1:19" ht="18" customHeight="1">
      <c r="A186" s="172">
        <v>2015</v>
      </c>
      <c r="B186" s="172" t="s">
        <v>68</v>
      </c>
      <c r="C186" s="172" t="s">
        <v>2349</v>
      </c>
      <c r="D186" s="172">
        <v>12.3</v>
      </c>
      <c r="E186" s="98"/>
      <c r="F186" s="98"/>
      <c r="G186" s="98"/>
      <c r="H186" s="98"/>
      <c r="I186" s="98"/>
      <c r="J186" s="98"/>
      <c r="K186" s="98"/>
      <c r="L186" s="98"/>
      <c r="M186" s="98"/>
      <c r="N186" s="98"/>
      <c r="O186" s="98"/>
      <c r="P186" s="98"/>
      <c r="Q186" s="98"/>
      <c r="R186" s="98"/>
      <c r="S186" s="98"/>
    </row>
    <row r="187" spans="1:19" ht="18" customHeight="1">
      <c r="A187" s="172">
        <v>2015</v>
      </c>
      <c r="B187" s="172" t="s">
        <v>45</v>
      </c>
      <c r="C187" s="172" t="s">
        <v>1787</v>
      </c>
      <c r="D187" s="172">
        <v>100.4</v>
      </c>
      <c r="E187" s="98"/>
      <c r="F187" s="98"/>
      <c r="G187" s="98"/>
      <c r="H187" s="98"/>
      <c r="I187" s="98"/>
      <c r="J187" s="98"/>
      <c r="K187" s="98"/>
      <c r="L187" s="98"/>
      <c r="M187" s="98"/>
      <c r="N187" s="98"/>
      <c r="O187" s="98"/>
      <c r="P187" s="98"/>
      <c r="Q187" s="98"/>
      <c r="R187" s="98"/>
      <c r="S187" s="98"/>
    </row>
    <row r="188" spans="1:19" ht="18" customHeight="1">
      <c r="A188" s="172">
        <v>2015</v>
      </c>
      <c r="B188" s="172" t="s">
        <v>68</v>
      </c>
      <c r="C188" s="172" t="s">
        <v>1787</v>
      </c>
      <c r="D188" s="172">
        <v>110.9</v>
      </c>
      <c r="E188" s="98"/>
      <c r="F188" s="98"/>
      <c r="G188" s="98"/>
      <c r="H188" s="98"/>
      <c r="I188" s="98"/>
      <c r="J188" s="98"/>
      <c r="K188" s="98"/>
      <c r="L188" s="98"/>
      <c r="M188" s="98"/>
      <c r="N188" s="98"/>
      <c r="O188" s="98"/>
      <c r="P188" s="98"/>
      <c r="Q188" s="98"/>
      <c r="R188" s="98"/>
      <c r="S188" s="98"/>
    </row>
    <row r="189" spans="1:19" ht="18" customHeight="1">
      <c r="A189" s="172">
        <v>2015</v>
      </c>
      <c r="B189" s="172" t="s">
        <v>45</v>
      </c>
      <c r="C189" s="172" t="s">
        <v>2350</v>
      </c>
      <c r="D189" s="172">
        <v>23.5</v>
      </c>
      <c r="E189" s="98"/>
      <c r="F189" s="98"/>
      <c r="G189" s="98"/>
      <c r="H189" s="98"/>
      <c r="I189" s="98"/>
      <c r="J189" s="98"/>
      <c r="K189" s="98"/>
      <c r="L189" s="98"/>
      <c r="M189" s="98"/>
      <c r="N189" s="98"/>
      <c r="O189" s="98"/>
      <c r="P189" s="98"/>
      <c r="Q189" s="98"/>
      <c r="R189" s="98"/>
      <c r="S189" s="98"/>
    </row>
    <row r="190" spans="1:19" ht="18" customHeight="1">
      <c r="A190" s="172">
        <v>2015</v>
      </c>
      <c r="B190" s="172" t="s">
        <v>68</v>
      </c>
      <c r="C190" s="172" t="s">
        <v>2350</v>
      </c>
      <c r="D190" s="172">
        <v>32.4</v>
      </c>
      <c r="E190" s="98"/>
      <c r="F190" s="98"/>
      <c r="G190" s="98"/>
      <c r="H190" s="98"/>
      <c r="I190" s="98"/>
      <c r="J190" s="98"/>
      <c r="K190" s="98"/>
      <c r="L190" s="98"/>
      <c r="M190" s="98"/>
      <c r="N190" s="98"/>
      <c r="O190" s="98"/>
      <c r="P190" s="98"/>
      <c r="Q190" s="98"/>
      <c r="R190" s="98"/>
      <c r="S190" s="98"/>
    </row>
    <row r="191" spans="1:19" ht="18" customHeight="1">
      <c r="A191" s="172">
        <v>2015</v>
      </c>
      <c r="B191" s="172" t="s">
        <v>45</v>
      </c>
      <c r="C191" s="172" t="s">
        <v>2351</v>
      </c>
      <c r="D191" s="172">
        <v>10.5</v>
      </c>
      <c r="E191" s="98"/>
      <c r="F191" s="98"/>
      <c r="G191" s="98"/>
      <c r="H191" s="98"/>
      <c r="I191" s="98"/>
      <c r="J191" s="98"/>
      <c r="K191" s="98"/>
      <c r="L191" s="98"/>
      <c r="M191" s="98"/>
      <c r="N191" s="98"/>
      <c r="O191" s="98"/>
      <c r="P191" s="98"/>
      <c r="Q191" s="98"/>
      <c r="R191" s="98"/>
      <c r="S191" s="98"/>
    </row>
    <row r="192" spans="1:19" ht="18" customHeight="1">
      <c r="A192" s="172">
        <v>2015</v>
      </c>
      <c r="B192" s="172" t="s">
        <v>68</v>
      </c>
      <c r="C192" s="172" t="s">
        <v>2351</v>
      </c>
      <c r="D192" s="172">
        <v>11.1</v>
      </c>
      <c r="E192" s="98"/>
      <c r="F192" s="98"/>
      <c r="G192" s="98"/>
      <c r="H192" s="98"/>
      <c r="I192" s="98"/>
      <c r="J192" s="98"/>
      <c r="K192" s="98"/>
      <c r="L192" s="98"/>
      <c r="M192" s="98"/>
      <c r="N192" s="98"/>
      <c r="O192" s="98"/>
      <c r="P192" s="98"/>
      <c r="Q192" s="98"/>
      <c r="R192" s="98"/>
      <c r="S192" s="98"/>
    </row>
    <row r="193" spans="1:19" ht="18" customHeight="1">
      <c r="A193" s="172">
        <v>2015</v>
      </c>
      <c r="B193" s="172" t="s">
        <v>45</v>
      </c>
      <c r="C193" s="172" t="s">
        <v>2352</v>
      </c>
      <c r="D193" s="172">
        <v>23.2</v>
      </c>
      <c r="E193" s="98"/>
      <c r="F193" s="98"/>
      <c r="G193" s="98"/>
      <c r="H193" s="98"/>
      <c r="I193" s="98"/>
      <c r="J193" s="98"/>
      <c r="K193" s="98"/>
      <c r="L193" s="98"/>
      <c r="M193" s="98"/>
      <c r="N193" s="98"/>
      <c r="O193" s="98"/>
      <c r="P193" s="98"/>
      <c r="Q193" s="98"/>
      <c r="R193" s="98"/>
      <c r="S193" s="98"/>
    </row>
    <row r="194" spans="1:19" ht="18" customHeight="1">
      <c r="A194" s="172">
        <v>2015</v>
      </c>
      <c r="B194" s="172" t="s">
        <v>68</v>
      </c>
      <c r="C194" s="172" t="s">
        <v>2352</v>
      </c>
      <c r="D194" s="172">
        <v>22</v>
      </c>
      <c r="E194" s="98"/>
      <c r="F194" s="98"/>
      <c r="G194" s="98"/>
      <c r="H194" s="98"/>
      <c r="I194" s="98"/>
      <c r="J194" s="98"/>
      <c r="K194" s="98"/>
      <c r="L194" s="98"/>
      <c r="M194" s="98"/>
      <c r="N194" s="98"/>
      <c r="O194" s="98"/>
      <c r="P194" s="98"/>
      <c r="Q194" s="98"/>
      <c r="R194" s="98"/>
      <c r="S194" s="98"/>
    </row>
    <row r="195" spans="1:19" ht="18" customHeight="1">
      <c r="A195" s="172">
        <v>2015</v>
      </c>
      <c r="B195" s="172" t="s">
        <v>45</v>
      </c>
      <c r="C195" s="172" t="s">
        <v>2307</v>
      </c>
      <c r="D195" s="172">
        <v>17.260000000000002</v>
      </c>
      <c r="E195" s="98"/>
      <c r="F195" s="98"/>
      <c r="G195" s="98"/>
      <c r="H195" s="98"/>
      <c r="I195" s="98"/>
      <c r="J195" s="98"/>
      <c r="K195" s="98"/>
      <c r="L195" s="98"/>
      <c r="M195" s="98"/>
      <c r="N195" s="98"/>
      <c r="O195" s="98"/>
      <c r="P195" s="98"/>
      <c r="Q195" s="98"/>
      <c r="R195" s="98"/>
      <c r="S195" s="98"/>
    </row>
    <row r="196" spans="1:19" ht="18" customHeight="1">
      <c r="A196" s="172">
        <v>2015</v>
      </c>
      <c r="B196" s="172" t="s">
        <v>68</v>
      </c>
      <c r="C196" s="172" t="s">
        <v>2307</v>
      </c>
      <c r="D196" s="172">
        <v>11.85</v>
      </c>
      <c r="E196" s="98"/>
      <c r="F196" s="98"/>
      <c r="G196" s="98"/>
      <c r="H196" s="98"/>
      <c r="I196" s="98"/>
      <c r="J196" s="98"/>
      <c r="K196" s="98"/>
      <c r="L196" s="98"/>
      <c r="M196" s="98"/>
      <c r="N196" s="98"/>
      <c r="O196" s="98"/>
      <c r="P196" s="98"/>
      <c r="Q196" s="98"/>
      <c r="R196" s="98"/>
      <c r="S196" s="98"/>
    </row>
    <row r="197" spans="1:19" ht="18" customHeight="1">
      <c r="A197" s="172">
        <v>2015</v>
      </c>
      <c r="B197" s="172" t="s">
        <v>45</v>
      </c>
      <c r="C197" s="172" t="s">
        <v>2311</v>
      </c>
      <c r="D197" s="172">
        <v>14.32</v>
      </c>
      <c r="E197" s="98"/>
      <c r="F197" s="98"/>
      <c r="G197" s="98"/>
      <c r="H197" s="98"/>
      <c r="I197" s="98"/>
      <c r="J197" s="98"/>
      <c r="K197" s="98"/>
      <c r="L197" s="98"/>
      <c r="M197" s="98"/>
      <c r="N197" s="98"/>
      <c r="O197" s="98"/>
      <c r="P197" s="98"/>
      <c r="Q197" s="98"/>
      <c r="R197" s="98"/>
      <c r="S197" s="98"/>
    </row>
    <row r="198" spans="1:19" ht="18" customHeight="1">
      <c r="A198" s="172">
        <v>2015</v>
      </c>
      <c r="B198" s="172" t="s">
        <v>68</v>
      </c>
      <c r="C198" s="172" t="s">
        <v>2311</v>
      </c>
      <c r="D198" s="172">
        <v>14.98</v>
      </c>
      <c r="E198" s="98"/>
      <c r="F198" s="98"/>
      <c r="G198" s="98"/>
      <c r="H198" s="98"/>
      <c r="I198" s="98"/>
      <c r="J198" s="98"/>
      <c r="K198" s="98"/>
      <c r="L198" s="98"/>
      <c r="M198" s="98"/>
      <c r="N198" s="98"/>
      <c r="O198" s="98"/>
      <c r="P198" s="98"/>
      <c r="Q198" s="98"/>
      <c r="R198" s="98"/>
      <c r="S198" s="98"/>
    </row>
    <row r="199" spans="1:19" ht="18" customHeight="1">
      <c r="A199" s="172">
        <v>2015</v>
      </c>
      <c r="B199" s="172" t="s">
        <v>45</v>
      </c>
      <c r="C199" s="172" t="s">
        <v>2302</v>
      </c>
      <c r="D199" s="172">
        <v>36.200000000000003</v>
      </c>
      <c r="E199" s="98"/>
      <c r="F199" s="98"/>
      <c r="G199" s="98"/>
      <c r="H199" s="98"/>
      <c r="I199" s="98"/>
      <c r="J199" s="98"/>
      <c r="K199" s="98"/>
      <c r="L199" s="98"/>
      <c r="M199" s="98"/>
      <c r="N199" s="98"/>
      <c r="O199" s="98"/>
      <c r="P199" s="98"/>
      <c r="Q199" s="98"/>
      <c r="R199" s="98"/>
      <c r="S199" s="98"/>
    </row>
    <row r="200" spans="1:19" ht="18" customHeight="1">
      <c r="A200" s="172">
        <v>2015</v>
      </c>
      <c r="B200" s="172" t="s">
        <v>68</v>
      </c>
      <c r="C200" s="172" t="s">
        <v>2302</v>
      </c>
      <c r="D200" s="172">
        <v>35.6</v>
      </c>
      <c r="E200" s="98"/>
      <c r="F200" s="98"/>
      <c r="G200" s="98"/>
      <c r="H200" s="98"/>
      <c r="I200" s="98"/>
      <c r="J200" s="98"/>
      <c r="K200" s="98"/>
      <c r="L200" s="98"/>
      <c r="M200" s="98"/>
      <c r="N200" s="98"/>
      <c r="O200" s="98"/>
      <c r="P200" s="98"/>
      <c r="Q200" s="98"/>
      <c r="R200" s="98"/>
      <c r="S200" s="98"/>
    </row>
    <row r="201" spans="1:19" ht="18" customHeight="1">
      <c r="A201" s="172">
        <v>2015</v>
      </c>
      <c r="B201" s="172" t="s">
        <v>45</v>
      </c>
      <c r="C201" s="172" t="s">
        <v>2315</v>
      </c>
      <c r="D201" s="172">
        <v>18.63</v>
      </c>
      <c r="E201" s="98"/>
      <c r="F201" s="98"/>
      <c r="G201" s="98"/>
      <c r="H201" s="98"/>
      <c r="I201" s="98"/>
      <c r="J201" s="98"/>
      <c r="K201" s="98"/>
      <c r="L201" s="98"/>
      <c r="M201" s="98"/>
      <c r="N201" s="98"/>
      <c r="O201" s="98"/>
      <c r="P201" s="98"/>
      <c r="Q201" s="98"/>
      <c r="R201" s="98"/>
      <c r="S201" s="98"/>
    </row>
    <row r="202" spans="1:19" ht="18" customHeight="1">
      <c r="A202" s="172">
        <v>2015</v>
      </c>
      <c r="B202" s="172" t="s">
        <v>68</v>
      </c>
      <c r="C202" s="172" t="s">
        <v>2315</v>
      </c>
      <c r="D202" s="172">
        <v>21.55</v>
      </c>
      <c r="E202" s="98"/>
      <c r="F202" s="98"/>
      <c r="G202" s="98"/>
      <c r="H202" s="98"/>
      <c r="I202" s="98"/>
      <c r="J202" s="98"/>
      <c r="K202" s="98"/>
      <c r="L202" s="98"/>
      <c r="M202" s="98"/>
      <c r="N202" s="98"/>
      <c r="O202" s="98"/>
      <c r="P202" s="98"/>
      <c r="Q202" s="98"/>
      <c r="R202" s="98"/>
      <c r="S202" s="98"/>
    </row>
    <row r="203" spans="1:19" ht="18" customHeight="1">
      <c r="A203" s="172">
        <v>2014</v>
      </c>
      <c r="B203" s="172" t="s">
        <v>45</v>
      </c>
      <c r="C203" s="172" t="s">
        <v>2348</v>
      </c>
      <c r="D203" s="172">
        <v>59</v>
      </c>
      <c r="E203" s="98"/>
      <c r="F203" s="98"/>
      <c r="G203" s="98"/>
      <c r="H203" s="98"/>
      <c r="I203" s="98"/>
      <c r="J203" s="98"/>
      <c r="K203" s="98"/>
      <c r="L203" s="98"/>
      <c r="M203" s="98"/>
      <c r="N203" s="98"/>
      <c r="O203" s="98"/>
      <c r="P203" s="98"/>
      <c r="Q203" s="98"/>
      <c r="R203" s="98"/>
      <c r="S203" s="98"/>
    </row>
    <row r="204" spans="1:19" ht="18" customHeight="1">
      <c r="A204" s="172">
        <v>2014</v>
      </c>
      <c r="B204" s="172" t="s">
        <v>68</v>
      </c>
      <c r="C204" s="172" t="s">
        <v>2348</v>
      </c>
      <c r="D204" s="172">
        <v>185</v>
      </c>
      <c r="E204" s="98"/>
      <c r="F204" s="98"/>
      <c r="G204" s="98"/>
      <c r="H204" s="98"/>
      <c r="I204" s="98"/>
      <c r="J204" s="98"/>
      <c r="K204" s="98"/>
      <c r="L204" s="98"/>
      <c r="M204" s="98"/>
      <c r="N204" s="98"/>
      <c r="O204" s="98"/>
      <c r="P204" s="98"/>
      <c r="Q204" s="98"/>
      <c r="R204" s="98"/>
      <c r="S204" s="98"/>
    </row>
    <row r="205" spans="1:19" ht="18" customHeight="1">
      <c r="A205" s="172">
        <v>2014</v>
      </c>
      <c r="B205" s="172" t="s">
        <v>45</v>
      </c>
      <c r="C205" s="172" t="s">
        <v>2349</v>
      </c>
      <c r="D205" s="172">
        <v>16.899999999999999</v>
      </c>
      <c r="E205" s="98"/>
      <c r="F205" s="98"/>
      <c r="G205" s="98"/>
      <c r="H205" s="98"/>
      <c r="I205" s="98"/>
      <c r="J205" s="98"/>
      <c r="K205" s="98"/>
      <c r="L205" s="98"/>
      <c r="M205" s="98"/>
      <c r="N205" s="98"/>
      <c r="O205" s="98"/>
      <c r="P205" s="98"/>
      <c r="Q205" s="98"/>
      <c r="R205" s="98"/>
      <c r="S205" s="98"/>
    </row>
    <row r="206" spans="1:19" ht="18" customHeight="1">
      <c r="A206" s="172">
        <v>2014</v>
      </c>
      <c r="B206" s="172" t="s">
        <v>68</v>
      </c>
      <c r="C206" s="172" t="s">
        <v>2349</v>
      </c>
      <c r="D206" s="172">
        <v>11.6</v>
      </c>
      <c r="E206" s="98"/>
      <c r="F206" s="98"/>
      <c r="G206" s="98"/>
      <c r="H206" s="98"/>
      <c r="I206" s="98"/>
      <c r="J206" s="98"/>
      <c r="K206" s="98"/>
      <c r="L206" s="98"/>
      <c r="M206" s="98"/>
      <c r="N206" s="98"/>
      <c r="O206" s="98"/>
      <c r="P206" s="98"/>
      <c r="Q206" s="98"/>
      <c r="R206" s="98"/>
      <c r="S206" s="98"/>
    </row>
    <row r="207" spans="1:19" ht="18" customHeight="1">
      <c r="A207" s="172">
        <v>2014</v>
      </c>
      <c r="B207" s="172" t="s">
        <v>45</v>
      </c>
      <c r="C207" s="172" t="s">
        <v>1787</v>
      </c>
      <c r="D207" s="172">
        <v>108.9</v>
      </c>
      <c r="E207" s="98"/>
      <c r="F207" s="98"/>
      <c r="G207" s="98"/>
      <c r="H207" s="98"/>
      <c r="I207" s="98"/>
      <c r="J207" s="98"/>
      <c r="K207" s="98"/>
      <c r="L207" s="98"/>
      <c r="M207" s="98"/>
      <c r="N207" s="98"/>
      <c r="O207" s="98"/>
      <c r="P207" s="98"/>
      <c r="Q207" s="98"/>
      <c r="R207" s="98"/>
      <c r="S207" s="98"/>
    </row>
    <row r="208" spans="1:19" ht="18" customHeight="1">
      <c r="A208" s="172">
        <v>2014</v>
      </c>
      <c r="B208" s="172" t="s">
        <v>68</v>
      </c>
      <c r="C208" s="172" t="s">
        <v>1787</v>
      </c>
      <c r="D208" s="172">
        <v>116.3</v>
      </c>
      <c r="E208" s="98"/>
      <c r="F208" s="98"/>
      <c r="G208" s="98"/>
      <c r="H208" s="98"/>
      <c r="I208" s="98"/>
      <c r="J208" s="98"/>
      <c r="K208" s="98"/>
      <c r="L208" s="98"/>
      <c r="M208" s="98"/>
      <c r="N208" s="98"/>
      <c r="O208" s="98"/>
      <c r="P208" s="98"/>
      <c r="Q208" s="98"/>
      <c r="R208" s="98"/>
      <c r="S208" s="98"/>
    </row>
    <row r="209" spans="1:19" ht="18" customHeight="1">
      <c r="A209" s="172">
        <v>2014</v>
      </c>
      <c r="B209" s="172" t="s">
        <v>45</v>
      </c>
      <c r="C209" s="172" t="s">
        <v>2350</v>
      </c>
      <c r="D209" s="172">
        <v>24.8</v>
      </c>
      <c r="E209" s="98"/>
      <c r="F209" s="98"/>
      <c r="G209" s="98"/>
      <c r="H209" s="98"/>
      <c r="I209" s="98"/>
      <c r="J209" s="98"/>
      <c r="K209" s="98"/>
      <c r="L209" s="98"/>
      <c r="M209" s="98"/>
      <c r="N209" s="98"/>
      <c r="O209" s="98"/>
      <c r="P209" s="98"/>
      <c r="Q209" s="98"/>
      <c r="R209" s="98"/>
      <c r="S209" s="98"/>
    </row>
    <row r="210" spans="1:19" ht="18" customHeight="1">
      <c r="A210" s="172">
        <v>2014</v>
      </c>
      <c r="B210" s="172" t="s">
        <v>68</v>
      </c>
      <c r="C210" s="172" t="s">
        <v>2350</v>
      </c>
      <c r="D210" s="172">
        <v>30.4</v>
      </c>
      <c r="E210" s="98"/>
      <c r="F210" s="98"/>
      <c r="G210" s="98"/>
      <c r="H210" s="98"/>
      <c r="I210" s="98"/>
      <c r="J210" s="98"/>
      <c r="K210" s="98"/>
      <c r="L210" s="98"/>
      <c r="M210" s="98"/>
      <c r="N210" s="98"/>
      <c r="O210" s="98"/>
      <c r="P210" s="98"/>
      <c r="Q210" s="98"/>
      <c r="R210" s="98"/>
      <c r="S210" s="98"/>
    </row>
    <row r="211" spans="1:19" ht="18" customHeight="1">
      <c r="A211" s="172">
        <v>2014</v>
      </c>
      <c r="B211" s="172" t="s">
        <v>45</v>
      </c>
      <c r="C211" s="172" t="s">
        <v>2351</v>
      </c>
      <c r="D211" s="172">
        <v>9.8000000000000007</v>
      </c>
      <c r="E211" s="98"/>
      <c r="F211" s="98"/>
      <c r="G211" s="98"/>
      <c r="H211" s="98"/>
      <c r="I211" s="98"/>
      <c r="J211" s="98"/>
      <c r="K211" s="98"/>
      <c r="L211" s="98"/>
      <c r="M211" s="98"/>
      <c r="N211" s="98"/>
      <c r="O211" s="98"/>
      <c r="P211" s="98"/>
      <c r="Q211" s="98"/>
      <c r="R211" s="98"/>
      <c r="S211" s="98"/>
    </row>
    <row r="212" spans="1:19" ht="18" customHeight="1">
      <c r="A212" s="172">
        <v>2014</v>
      </c>
      <c r="B212" s="172" t="s">
        <v>68</v>
      </c>
      <c r="C212" s="172" t="s">
        <v>2351</v>
      </c>
      <c r="D212" s="172">
        <v>10.3</v>
      </c>
      <c r="E212" s="98"/>
      <c r="F212" s="98"/>
      <c r="G212" s="98"/>
      <c r="H212" s="98"/>
      <c r="I212" s="98"/>
      <c r="J212" s="98"/>
      <c r="K212" s="98"/>
      <c r="L212" s="98"/>
      <c r="M212" s="98"/>
      <c r="N212" s="98"/>
      <c r="O212" s="98"/>
      <c r="P212" s="98"/>
      <c r="Q212" s="98"/>
      <c r="R212" s="98"/>
      <c r="S212" s="98"/>
    </row>
    <row r="213" spans="1:19" ht="18" customHeight="1">
      <c r="A213" s="172">
        <v>2014</v>
      </c>
      <c r="B213" s="172" t="s">
        <v>45</v>
      </c>
      <c r="C213" s="172" t="s">
        <v>2352</v>
      </c>
      <c r="D213" s="172">
        <v>24.9</v>
      </c>
      <c r="E213" s="98"/>
      <c r="F213" s="98"/>
      <c r="G213" s="98"/>
      <c r="H213" s="98"/>
      <c r="I213" s="98"/>
      <c r="J213" s="98"/>
      <c r="K213" s="98"/>
      <c r="L213" s="98"/>
      <c r="M213" s="98"/>
      <c r="N213" s="98"/>
      <c r="O213" s="98"/>
      <c r="P213" s="98"/>
      <c r="Q213" s="98"/>
      <c r="R213" s="98"/>
      <c r="S213" s="98"/>
    </row>
    <row r="214" spans="1:19" ht="18" customHeight="1">
      <c r="A214" s="172">
        <v>2014</v>
      </c>
      <c r="B214" s="172" t="s">
        <v>68</v>
      </c>
      <c r="C214" s="172" t="s">
        <v>2352</v>
      </c>
      <c r="D214" s="172">
        <v>21.3</v>
      </c>
      <c r="E214" s="98"/>
      <c r="F214" s="98"/>
      <c r="G214" s="98"/>
      <c r="H214" s="98"/>
      <c r="I214" s="98"/>
      <c r="J214" s="98"/>
      <c r="K214" s="98"/>
      <c r="L214" s="98"/>
      <c r="M214" s="98"/>
      <c r="N214" s="98"/>
      <c r="O214" s="98"/>
      <c r="P214" s="98"/>
      <c r="Q214" s="98"/>
      <c r="R214" s="98"/>
      <c r="S214" s="98"/>
    </row>
    <row r="215" spans="1:19" ht="18" customHeight="1">
      <c r="A215" s="172">
        <v>2014</v>
      </c>
      <c r="B215" s="172" t="s">
        <v>45</v>
      </c>
      <c r="C215" s="172" t="s">
        <v>2307</v>
      </c>
      <c r="D215" s="172">
        <v>16</v>
      </c>
      <c r="E215" s="98"/>
      <c r="F215" s="98"/>
      <c r="G215" s="98"/>
      <c r="H215" s="98"/>
      <c r="I215" s="98"/>
      <c r="J215" s="98"/>
      <c r="K215" s="98"/>
      <c r="L215" s="98"/>
      <c r="M215" s="98"/>
      <c r="N215" s="98"/>
      <c r="O215" s="98"/>
      <c r="P215" s="98"/>
      <c r="Q215" s="98"/>
      <c r="R215" s="98"/>
      <c r="S215" s="98"/>
    </row>
    <row r="216" spans="1:19" ht="18" customHeight="1">
      <c r="A216" s="172">
        <v>2014</v>
      </c>
      <c r="B216" s="172" t="s">
        <v>68</v>
      </c>
      <c r="C216" s="172" t="s">
        <v>2307</v>
      </c>
      <c r="D216" s="172">
        <v>12.81</v>
      </c>
      <c r="E216" s="98"/>
      <c r="F216" s="98"/>
      <c r="G216" s="98"/>
      <c r="H216" s="98"/>
      <c r="I216" s="98"/>
      <c r="J216" s="98"/>
      <c r="K216" s="98"/>
      <c r="L216" s="98"/>
      <c r="M216" s="98"/>
      <c r="N216" s="98"/>
      <c r="O216" s="98"/>
      <c r="P216" s="98"/>
      <c r="Q216" s="98"/>
      <c r="R216" s="98"/>
      <c r="S216" s="98"/>
    </row>
    <row r="217" spans="1:19" ht="18" customHeight="1">
      <c r="A217" s="172">
        <v>2014</v>
      </c>
      <c r="B217" s="172" t="s">
        <v>45</v>
      </c>
      <c r="C217" s="172" t="s">
        <v>2311</v>
      </c>
      <c r="D217" s="172">
        <v>12.57</v>
      </c>
      <c r="E217" s="98"/>
      <c r="F217" s="98"/>
      <c r="G217" s="98"/>
      <c r="H217" s="98"/>
      <c r="I217" s="98"/>
      <c r="J217" s="98"/>
      <c r="K217" s="98"/>
      <c r="L217" s="98"/>
      <c r="M217" s="98"/>
      <c r="N217" s="98"/>
      <c r="O217" s="98"/>
      <c r="P217" s="98"/>
      <c r="Q217" s="98"/>
      <c r="R217" s="98"/>
      <c r="S217" s="98"/>
    </row>
    <row r="218" spans="1:19" ht="18" customHeight="1">
      <c r="A218" s="172">
        <v>2014</v>
      </c>
      <c r="B218" s="172" t="s">
        <v>68</v>
      </c>
      <c r="C218" s="172" t="s">
        <v>2311</v>
      </c>
      <c r="D218" s="172">
        <v>13.7</v>
      </c>
      <c r="E218" s="98"/>
      <c r="F218" s="98"/>
      <c r="G218" s="98"/>
      <c r="H218" s="98"/>
      <c r="I218" s="98"/>
      <c r="J218" s="98"/>
      <c r="K218" s="98"/>
      <c r="L218" s="98"/>
      <c r="M218" s="98"/>
      <c r="N218" s="98"/>
      <c r="O218" s="98"/>
      <c r="P218" s="98"/>
      <c r="Q218" s="98"/>
      <c r="R218" s="98"/>
      <c r="S218" s="98"/>
    </row>
    <row r="219" spans="1:19" ht="18" customHeight="1">
      <c r="A219" s="172">
        <v>2014</v>
      </c>
      <c r="B219" s="172" t="s">
        <v>45</v>
      </c>
      <c r="C219" s="172" t="s">
        <v>2302</v>
      </c>
      <c r="D219" s="172">
        <v>34.869999999999997</v>
      </c>
      <c r="E219" s="98"/>
      <c r="F219" s="98"/>
      <c r="G219" s="98"/>
      <c r="H219" s="98"/>
      <c r="I219" s="98"/>
      <c r="J219" s="98"/>
      <c r="K219" s="98"/>
      <c r="L219" s="98"/>
      <c r="M219" s="98"/>
      <c r="N219" s="98"/>
      <c r="O219" s="98"/>
      <c r="P219" s="98"/>
      <c r="Q219" s="98"/>
      <c r="R219" s="98"/>
      <c r="S219" s="98"/>
    </row>
    <row r="220" spans="1:19" ht="18" customHeight="1">
      <c r="A220" s="172">
        <v>2014</v>
      </c>
      <c r="B220" s="172" t="s">
        <v>68</v>
      </c>
      <c r="C220" s="172" t="s">
        <v>2302</v>
      </c>
      <c r="D220" s="172">
        <v>35.47</v>
      </c>
      <c r="E220" s="98"/>
      <c r="F220" s="98"/>
      <c r="G220" s="98"/>
      <c r="H220" s="98"/>
      <c r="I220" s="98"/>
      <c r="J220" s="98"/>
      <c r="K220" s="98"/>
      <c r="L220" s="98"/>
      <c r="M220" s="98"/>
      <c r="N220" s="98"/>
      <c r="O220" s="98"/>
      <c r="P220" s="98"/>
      <c r="Q220" s="98"/>
      <c r="R220" s="98"/>
      <c r="S220" s="98"/>
    </row>
    <row r="221" spans="1:19" ht="18" customHeight="1">
      <c r="A221" s="172">
        <v>2014</v>
      </c>
      <c r="B221" s="172" t="s">
        <v>45</v>
      </c>
      <c r="C221" s="172" t="s">
        <v>2315</v>
      </c>
      <c r="D221" s="172">
        <v>22.73</v>
      </c>
      <c r="E221" s="98"/>
      <c r="F221" s="98"/>
      <c r="G221" s="98"/>
      <c r="H221" s="98"/>
      <c r="I221" s="98"/>
      <c r="J221" s="98"/>
      <c r="K221" s="98"/>
      <c r="L221" s="98"/>
      <c r="M221" s="98"/>
      <c r="N221" s="98"/>
      <c r="O221" s="98"/>
      <c r="P221" s="98"/>
      <c r="Q221" s="98"/>
      <c r="R221" s="98"/>
      <c r="S221" s="98"/>
    </row>
    <row r="222" spans="1:19" ht="18" customHeight="1">
      <c r="A222" s="172">
        <v>2014</v>
      </c>
      <c r="B222" s="172" t="s">
        <v>68</v>
      </c>
      <c r="C222" s="172" t="s">
        <v>2315</v>
      </c>
      <c r="D222" s="172">
        <v>22.96</v>
      </c>
      <c r="E222" s="98"/>
      <c r="F222" s="98"/>
      <c r="G222" s="98"/>
      <c r="H222" s="98"/>
      <c r="I222" s="98"/>
      <c r="J222" s="98"/>
      <c r="K222" s="98"/>
      <c r="L222" s="98"/>
      <c r="M222" s="98"/>
      <c r="N222" s="98"/>
      <c r="O222" s="98"/>
      <c r="P222" s="98"/>
      <c r="Q222" s="98"/>
      <c r="R222" s="98"/>
      <c r="S222" s="98"/>
    </row>
    <row r="223" spans="1:19" ht="18" customHeight="1">
      <c r="A223" s="172">
        <v>2013</v>
      </c>
      <c r="B223" s="172" t="s">
        <v>45</v>
      </c>
      <c r="C223" s="172" t="s">
        <v>2348</v>
      </c>
      <c r="D223" s="172">
        <v>8</v>
      </c>
      <c r="E223" s="98"/>
      <c r="F223" s="98"/>
      <c r="G223" s="98"/>
      <c r="H223" s="98"/>
      <c r="I223" s="98"/>
      <c r="J223" s="98"/>
      <c r="K223" s="98"/>
      <c r="L223" s="98"/>
      <c r="M223" s="98"/>
      <c r="N223" s="98"/>
      <c r="O223" s="98"/>
      <c r="P223" s="98"/>
      <c r="Q223" s="98"/>
      <c r="R223" s="98"/>
      <c r="S223" s="98"/>
    </row>
    <row r="224" spans="1:19" ht="18" customHeight="1">
      <c r="A224" s="172">
        <v>2013</v>
      </c>
      <c r="B224" s="172" t="s">
        <v>68</v>
      </c>
      <c r="C224" s="172" t="s">
        <v>2348</v>
      </c>
      <c r="D224" s="172">
        <v>26</v>
      </c>
      <c r="E224" s="98"/>
      <c r="F224" s="98"/>
      <c r="G224" s="98"/>
      <c r="H224" s="98"/>
      <c r="I224" s="98"/>
      <c r="J224" s="98"/>
      <c r="K224" s="98"/>
      <c r="L224" s="98"/>
      <c r="M224" s="98"/>
      <c r="N224" s="98"/>
      <c r="O224" s="98"/>
      <c r="P224" s="98"/>
      <c r="Q224" s="98"/>
      <c r="R224" s="98"/>
      <c r="S224" s="98"/>
    </row>
    <row r="225" spans="1:19" ht="18" customHeight="1">
      <c r="A225" s="172">
        <v>2013</v>
      </c>
      <c r="B225" s="172" t="s">
        <v>45</v>
      </c>
      <c r="C225" s="172" t="s">
        <v>2349</v>
      </c>
      <c r="D225" s="172">
        <v>17.8</v>
      </c>
      <c r="E225" s="98"/>
      <c r="F225" s="98"/>
      <c r="G225" s="98"/>
      <c r="H225" s="98"/>
      <c r="I225" s="98"/>
      <c r="J225" s="98"/>
      <c r="K225" s="98"/>
      <c r="L225" s="98"/>
      <c r="M225" s="98"/>
      <c r="N225" s="98"/>
      <c r="O225" s="98"/>
      <c r="P225" s="98"/>
      <c r="Q225" s="98"/>
      <c r="R225" s="98"/>
      <c r="S225" s="98"/>
    </row>
    <row r="226" spans="1:19" ht="18" customHeight="1">
      <c r="A226" s="172">
        <v>2013</v>
      </c>
      <c r="B226" s="172" t="s">
        <v>68</v>
      </c>
      <c r="C226" s="172" t="s">
        <v>2349</v>
      </c>
      <c r="D226" s="172">
        <v>10.8</v>
      </c>
      <c r="E226" s="98"/>
      <c r="F226" s="98"/>
      <c r="G226" s="98"/>
      <c r="H226" s="98"/>
      <c r="I226" s="98"/>
      <c r="J226" s="98"/>
      <c r="K226" s="98"/>
      <c r="L226" s="98"/>
      <c r="M226" s="98"/>
      <c r="N226" s="98"/>
      <c r="O226" s="98"/>
      <c r="P226" s="98"/>
      <c r="Q226" s="98"/>
      <c r="R226" s="98"/>
      <c r="S226" s="98"/>
    </row>
    <row r="227" spans="1:19" ht="18" customHeight="1">
      <c r="A227" s="172">
        <v>2013</v>
      </c>
      <c r="B227" s="172" t="s">
        <v>45</v>
      </c>
      <c r="C227" s="172" t="s">
        <v>1787</v>
      </c>
      <c r="D227" s="172">
        <v>112.4</v>
      </c>
      <c r="E227" s="98"/>
      <c r="F227" s="98"/>
      <c r="G227" s="98"/>
      <c r="H227" s="98"/>
      <c r="I227" s="98"/>
      <c r="J227" s="98"/>
      <c r="K227" s="98"/>
      <c r="L227" s="98"/>
      <c r="M227" s="98"/>
      <c r="N227" s="98"/>
      <c r="O227" s="98"/>
      <c r="P227" s="98"/>
      <c r="Q227" s="98"/>
      <c r="R227" s="98"/>
      <c r="S227" s="98"/>
    </row>
    <row r="228" spans="1:19" ht="18" customHeight="1">
      <c r="A228" s="172">
        <v>2013</v>
      </c>
      <c r="B228" s="172" t="s">
        <v>68</v>
      </c>
      <c r="C228" s="172" t="s">
        <v>1787</v>
      </c>
      <c r="D228" s="172">
        <v>119.6</v>
      </c>
      <c r="E228" s="98"/>
      <c r="F228" s="98"/>
      <c r="G228" s="98"/>
      <c r="H228" s="98"/>
      <c r="I228" s="98"/>
      <c r="J228" s="98"/>
      <c r="K228" s="98"/>
      <c r="L228" s="98"/>
      <c r="M228" s="98"/>
      <c r="N228" s="98"/>
      <c r="O228" s="98"/>
      <c r="P228" s="98"/>
      <c r="Q228" s="98"/>
      <c r="R228" s="98"/>
      <c r="S228" s="98"/>
    </row>
    <row r="229" spans="1:19" ht="18" customHeight="1">
      <c r="A229" s="172">
        <v>2013</v>
      </c>
      <c r="B229" s="172" t="s">
        <v>45</v>
      </c>
      <c r="C229" s="172" t="s">
        <v>2350</v>
      </c>
      <c r="D229" s="172">
        <v>26.9</v>
      </c>
      <c r="E229" s="98"/>
      <c r="F229" s="98"/>
      <c r="G229" s="98"/>
      <c r="H229" s="98"/>
      <c r="I229" s="98"/>
      <c r="J229" s="98"/>
      <c r="K229" s="98"/>
      <c r="L229" s="98"/>
      <c r="M229" s="98"/>
      <c r="N229" s="98"/>
      <c r="O229" s="98"/>
      <c r="P229" s="98"/>
      <c r="Q229" s="98"/>
      <c r="R229" s="98"/>
      <c r="S229" s="98"/>
    </row>
    <row r="230" spans="1:19" ht="18" customHeight="1">
      <c r="A230" s="172">
        <v>2013</v>
      </c>
      <c r="B230" s="172" t="s">
        <v>68</v>
      </c>
      <c r="C230" s="172" t="s">
        <v>2350</v>
      </c>
      <c r="D230" s="172">
        <v>32.9</v>
      </c>
      <c r="E230" s="98"/>
      <c r="F230" s="98"/>
      <c r="G230" s="98"/>
      <c r="H230" s="98"/>
      <c r="I230" s="98"/>
      <c r="J230" s="98"/>
      <c r="K230" s="98"/>
      <c r="L230" s="98"/>
      <c r="M230" s="98"/>
      <c r="N230" s="98"/>
      <c r="O230" s="98"/>
      <c r="P230" s="98"/>
      <c r="Q230" s="98"/>
      <c r="R230" s="98"/>
      <c r="S230" s="98"/>
    </row>
    <row r="231" spans="1:19" ht="18" customHeight="1">
      <c r="A231" s="172">
        <v>2013</v>
      </c>
      <c r="B231" s="172" t="s">
        <v>45</v>
      </c>
      <c r="C231" s="172" t="s">
        <v>2351</v>
      </c>
      <c r="D231" s="172">
        <v>9.6999999999999993</v>
      </c>
      <c r="E231" s="98"/>
      <c r="F231" s="98"/>
      <c r="G231" s="98"/>
      <c r="H231" s="98"/>
      <c r="I231" s="98"/>
      <c r="J231" s="98"/>
      <c r="K231" s="98"/>
      <c r="L231" s="98"/>
      <c r="M231" s="98"/>
      <c r="N231" s="98"/>
      <c r="O231" s="98"/>
      <c r="P231" s="98"/>
      <c r="Q231" s="98"/>
      <c r="R231" s="98"/>
      <c r="S231" s="98"/>
    </row>
    <row r="232" spans="1:19" ht="18" customHeight="1">
      <c r="A232" s="172">
        <v>2013</v>
      </c>
      <c r="B232" s="172" t="s">
        <v>68</v>
      </c>
      <c r="C232" s="172" t="s">
        <v>2351</v>
      </c>
      <c r="D232" s="172">
        <v>9.6999999999999993</v>
      </c>
      <c r="E232" s="98"/>
      <c r="F232" s="98"/>
      <c r="G232" s="98"/>
      <c r="H232" s="98"/>
      <c r="I232" s="98"/>
      <c r="J232" s="98"/>
      <c r="K232" s="98"/>
      <c r="L232" s="98"/>
      <c r="M232" s="98"/>
      <c r="N232" s="98"/>
      <c r="O232" s="98"/>
      <c r="P232" s="98"/>
      <c r="Q232" s="98"/>
      <c r="R232" s="98"/>
      <c r="S232" s="98"/>
    </row>
    <row r="233" spans="1:19" ht="18" customHeight="1">
      <c r="A233" s="172">
        <v>2013</v>
      </c>
      <c r="B233" s="172" t="s">
        <v>45</v>
      </c>
      <c r="C233" s="172" t="s">
        <v>2352</v>
      </c>
      <c r="D233" s="172">
        <v>23.1</v>
      </c>
      <c r="E233" s="98"/>
      <c r="F233" s="98"/>
      <c r="G233" s="98"/>
      <c r="H233" s="98"/>
      <c r="I233" s="98"/>
      <c r="J233" s="98"/>
      <c r="K233" s="98"/>
      <c r="L233" s="98"/>
      <c r="M233" s="98"/>
      <c r="N233" s="98"/>
      <c r="O233" s="98"/>
      <c r="P233" s="98"/>
      <c r="Q233" s="98"/>
      <c r="R233" s="98"/>
      <c r="S233" s="98"/>
    </row>
    <row r="234" spans="1:19" ht="18" customHeight="1">
      <c r="A234" s="172">
        <v>2013</v>
      </c>
      <c r="B234" s="172" t="s">
        <v>68</v>
      </c>
      <c r="C234" s="172" t="s">
        <v>2352</v>
      </c>
      <c r="D234" s="172">
        <v>22.8</v>
      </c>
      <c r="E234" s="98"/>
      <c r="F234" s="98"/>
      <c r="G234" s="98"/>
      <c r="H234" s="98"/>
      <c r="I234" s="98"/>
      <c r="J234" s="98"/>
      <c r="K234" s="98"/>
      <c r="L234" s="98"/>
      <c r="M234" s="98"/>
      <c r="N234" s="98"/>
      <c r="O234" s="98"/>
      <c r="P234" s="98"/>
      <c r="Q234" s="98"/>
      <c r="R234" s="98"/>
      <c r="S234" s="98"/>
    </row>
    <row r="235" spans="1:19" ht="18" customHeight="1">
      <c r="A235" s="172">
        <v>2013</v>
      </c>
      <c r="B235" s="172" t="s">
        <v>45</v>
      </c>
      <c r="C235" s="172" t="s">
        <v>2307</v>
      </c>
      <c r="D235" s="172">
        <v>16.32</v>
      </c>
      <c r="E235" s="98"/>
      <c r="F235" s="98"/>
      <c r="G235" s="98"/>
      <c r="H235" s="98"/>
      <c r="I235" s="98"/>
      <c r="J235" s="98"/>
      <c r="K235" s="98"/>
      <c r="L235" s="98"/>
      <c r="M235" s="98"/>
      <c r="N235" s="98"/>
      <c r="O235" s="98"/>
      <c r="P235" s="98"/>
      <c r="Q235" s="98"/>
      <c r="R235" s="98"/>
      <c r="S235" s="98"/>
    </row>
    <row r="236" spans="1:19" ht="18" customHeight="1">
      <c r="A236" s="172">
        <v>2013</v>
      </c>
      <c r="B236" s="172" t="s">
        <v>68</v>
      </c>
      <c r="C236" s="172" t="s">
        <v>2307</v>
      </c>
      <c r="D236" s="172">
        <v>12.37</v>
      </c>
      <c r="E236" s="98"/>
      <c r="F236" s="98"/>
      <c r="G236" s="98"/>
      <c r="H236" s="98"/>
      <c r="I236" s="98"/>
      <c r="J236" s="98"/>
      <c r="K236" s="98"/>
      <c r="L236" s="98"/>
      <c r="M236" s="98"/>
      <c r="N236" s="98"/>
      <c r="O236" s="98"/>
      <c r="P236" s="98"/>
      <c r="Q236" s="98"/>
      <c r="R236" s="98"/>
      <c r="S236" s="98"/>
    </row>
    <row r="237" spans="1:19" ht="18" customHeight="1">
      <c r="A237" s="172">
        <v>2013</v>
      </c>
      <c r="B237" s="172" t="s">
        <v>45</v>
      </c>
      <c r="C237" s="172" t="s">
        <v>2311</v>
      </c>
      <c r="D237" s="172">
        <v>13.57</v>
      </c>
      <c r="E237" s="98"/>
      <c r="F237" s="98"/>
      <c r="G237" s="98"/>
      <c r="H237" s="98"/>
      <c r="I237" s="98"/>
      <c r="J237" s="98"/>
      <c r="K237" s="98"/>
      <c r="L237" s="98"/>
      <c r="M237" s="98"/>
      <c r="N237" s="98"/>
      <c r="O237" s="98"/>
      <c r="P237" s="98"/>
      <c r="Q237" s="98"/>
      <c r="R237" s="98"/>
      <c r="S237" s="98"/>
    </row>
    <row r="238" spans="1:19" ht="18" customHeight="1">
      <c r="A238" s="172">
        <v>2013</v>
      </c>
      <c r="B238" s="172" t="s">
        <v>68</v>
      </c>
      <c r="C238" s="172" t="s">
        <v>2311</v>
      </c>
      <c r="D238" s="172">
        <v>14.21</v>
      </c>
      <c r="E238" s="98"/>
      <c r="F238" s="98"/>
      <c r="G238" s="98"/>
      <c r="H238" s="98"/>
      <c r="I238" s="98"/>
      <c r="J238" s="98"/>
      <c r="K238" s="98"/>
      <c r="L238" s="98"/>
      <c r="M238" s="98"/>
      <c r="N238" s="98"/>
      <c r="O238" s="98"/>
      <c r="P238" s="98"/>
      <c r="Q238" s="98"/>
      <c r="R238" s="98"/>
      <c r="S238" s="98"/>
    </row>
    <row r="239" spans="1:19" ht="18" customHeight="1">
      <c r="A239" s="172">
        <v>2013</v>
      </c>
      <c r="B239" s="172" t="s">
        <v>45</v>
      </c>
      <c r="C239" s="172" t="s">
        <v>2302</v>
      </c>
      <c r="D239" s="172">
        <v>33.1</v>
      </c>
      <c r="E239" s="98"/>
      <c r="F239" s="98"/>
      <c r="G239" s="98"/>
      <c r="H239" s="98"/>
      <c r="I239" s="98"/>
      <c r="J239" s="98"/>
      <c r="K239" s="98"/>
      <c r="L239" s="98"/>
      <c r="M239" s="98"/>
      <c r="N239" s="98"/>
      <c r="O239" s="98"/>
      <c r="P239" s="98"/>
      <c r="Q239" s="98"/>
      <c r="R239" s="98"/>
      <c r="S239" s="98"/>
    </row>
    <row r="240" spans="1:19" ht="18" customHeight="1">
      <c r="A240" s="172">
        <v>2013</v>
      </c>
      <c r="B240" s="172" t="s">
        <v>68</v>
      </c>
      <c r="C240" s="172" t="s">
        <v>2302</v>
      </c>
      <c r="D240" s="172">
        <v>35.090000000000003</v>
      </c>
      <c r="E240" s="98"/>
      <c r="F240" s="98"/>
      <c r="G240" s="98"/>
      <c r="H240" s="98"/>
      <c r="I240" s="98"/>
      <c r="J240" s="98"/>
      <c r="K240" s="98"/>
      <c r="L240" s="98"/>
      <c r="M240" s="98"/>
      <c r="N240" s="98"/>
      <c r="O240" s="98"/>
      <c r="P240" s="98"/>
      <c r="Q240" s="98"/>
      <c r="R240" s="98"/>
      <c r="S240" s="98"/>
    </row>
    <row r="241" spans="1:19" ht="18" customHeight="1">
      <c r="A241" s="172">
        <v>2013</v>
      </c>
      <c r="B241" s="172" t="s">
        <v>45</v>
      </c>
      <c r="C241" s="172" t="s">
        <v>2315</v>
      </c>
      <c r="D241" s="172">
        <v>25.97</v>
      </c>
      <c r="E241" s="98"/>
      <c r="F241" s="98"/>
      <c r="G241" s="98"/>
      <c r="H241" s="98"/>
      <c r="I241" s="98"/>
      <c r="J241" s="98"/>
      <c r="K241" s="98"/>
      <c r="L241" s="98"/>
      <c r="M241" s="98"/>
      <c r="N241" s="98"/>
      <c r="O241" s="98"/>
      <c r="P241" s="98"/>
      <c r="Q241" s="98"/>
      <c r="R241" s="98"/>
      <c r="S241" s="98"/>
    </row>
    <row r="242" spans="1:19" ht="18" customHeight="1">
      <c r="A242" s="172">
        <v>2013</v>
      </c>
      <c r="B242" s="172" t="s">
        <v>68</v>
      </c>
      <c r="C242" s="172" t="s">
        <v>2315</v>
      </c>
      <c r="D242" s="172">
        <v>28.11</v>
      </c>
      <c r="E242" s="98"/>
      <c r="F242" s="98"/>
      <c r="G242" s="98"/>
      <c r="H242" s="98"/>
      <c r="I242" s="98"/>
      <c r="J242" s="98"/>
      <c r="K242" s="98"/>
      <c r="L242" s="98"/>
      <c r="M242" s="98"/>
      <c r="N242" s="98"/>
      <c r="O242" s="98"/>
      <c r="P242" s="98"/>
      <c r="Q242" s="98"/>
      <c r="R242" s="98"/>
      <c r="S242" s="98"/>
    </row>
    <row r="243" spans="1:19" ht="18" customHeight="1">
      <c r="A243" s="172">
        <v>2012</v>
      </c>
      <c r="B243" s="172" t="s">
        <v>45</v>
      </c>
      <c r="C243" s="172" t="s">
        <v>2348</v>
      </c>
      <c r="D243" s="172">
        <v>5</v>
      </c>
      <c r="E243" s="98"/>
      <c r="F243" s="98"/>
      <c r="G243" s="98"/>
      <c r="H243" s="98"/>
      <c r="I243" s="98"/>
      <c r="J243" s="98"/>
      <c r="K243" s="98"/>
      <c r="L243" s="98"/>
      <c r="M243" s="98"/>
      <c r="N243" s="98"/>
      <c r="O243" s="98"/>
      <c r="P243" s="98"/>
      <c r="Q243" s="98"/>
      <c r="R243" s="98"/>
      <c r="S243" s="98"/>
    </row>
    <row r="244" spans="1:19" ht="18" customHeight="1">
      <c r="A244" s="172">
        <v>2012</v>
      </c>
      <c r="B244" s="172" t="s">
        <v>68</v>
      </c>
      <c r="C244" s="172" t="s">
        <v>2348</v>
      </c>
      <c r="D244" s="172">
        <v>15</v>
      </c>
      <c r="E244" s="98"/>
      <c r="F244" s="98"/>
      <c r="G244" s="98"/>
      <c r="H244" s="98"/>
      <c r="I244" s="98"/>
      <c r="J244" s="98"/>
      <c r="K244" s="98"/>
      <c r="L244" s="98"/>
      <c r="M244" s="98"/>
      <c r="N244" s="98"/>
      <c r="O244" s="98"/>
      <c r="P244" s="98"/>
      <c r="Q244" s="98"/>
      <c r="R244" s="98"/>
      <c r="S244" s="98"/>
    </row>
    <row r="245" spans="1:19" ht="18" customHeight="1">
      <c r="A245" s="172">
        <v>2012</v>
      </c>
      <c r="B245" s="172" t="s">
        <v>45</v>
      </c>
      <c r="C245" s="172" t="s">
        <v>2349</v>
      </c>
      <c r="D245" s="172">
        <v>12.3</v>
      </c>
      <c r="E245" s="98"/>
      <c r="F245" s="98"/>
      <c r="G245" s="98"/>
      <c r="H245" s="98"/>
      <c r="I245" s="98"/>
      <c r="J245" s="98"/>
      <c r="K245" s="98"/>
      <c r="L245" s="98"/>
      <c r="M245" s="98"/>
      <c r="N245" s="98"/>
      <c r="O245" s="98"/>
      <c r="P245" s="98"/>
      <c r="Q245" s="98"/>
      <c r="R245" s="98"/>
      <c r="S245" s="98"/>
    </row>
    <row r="246" spans="1:19" ht="18" customHeight="1">
      <c r="A246" s="172">
        <v>2012</v>
      </c>
      <c r="B246" s="172" t="s">
        <v>68</v>
      </c>
      <c r="C246" s="172" t="s">
        <v>2349</v>
      </c>
      <c r="D246" s="172">
        <v>10.7</v>
      </c>
      <c r="E246" s="98"/>
      <c r="F246" s="98"/>
      <c r="G246" s="98"/>
      <c r="H246" s="98"/>
      <c r="I246" s="98"/>
      <c r="J246" s="98"/>
      <c r="K246" s="98"/>
      <c r="L246" s="98"/>
      <c r="M246" s="98"/>
      <c r="N246" s="98"/>
      <c r="O246" s="98"/>
      <c r="P246" s="98"/>
      <c r="Q246" s="98"/>
      <c r="R246" s="98"/>
      <c r="S246" s="98"/>
    </row>
    <row r="247" spans="1:19" ht="18" customHeight="1">
      <c r="A247" s="172">
        <v>2012</v>
      </c>
      <c r="B247" s="172" t="s">
        <v>45</v>
      </c>
      <c r="C247" s="172" t="s">
        <v>1787</v>
      </c>
      <c r="D247" s="172">
        <v>113</v>
      </c>
      <c r="E247" s="98"/>
      <c r="F247" s="98"/>
      <c r="G247" s="98"/>
      <c r="H247" s="98"/>
      <c r="I247" s="98"/>
      <c r="J247" s="98"/>
      <c r="K247" s="98"/>
      <c r="L247" s="98"/>
      <c r="M247" s="98"/>
      <c r="N247" s="98"/>
      <c r="O247" s="98"/>
      <c r="P247" s="98"/>
      <c r="Q247" s="98"/>
      <c r="R247" s="98"/>
      <c r="S247" s="98"/>
    </row>
    <row r="248" spans="1:19" ht="18" customHeight="1">
      <c r="A248" s="172">
        <v>2012</v>
      </c>
      <c r="B248" s="172" t="s">
        <v>68</v>
      </c>
      <c r="C248" s="172" t="s">
        <v>1787</v>
      </c>
      <c r="D248" s="172">
        <v>121.8</v>
      </c>
      <c r="E248" s="98"/>
      <c r="F248" s="98"/>
      <c r="G248" s="98"/>
      <c r="H248" s="98"/>
      <c r="I248" s="98"/>
      <c r="J248" s="98"/>
      <c r="K248" s="98"/>
      <c r="L248" s="98"/>
      <c r="M248" s="98"/>
      <c r="N248" s="98"/>
      <c r="O248" s="98"/>
      <c r="P248" s="98"/>
      <c r="Q248" s="98"/>
      <c r="R248" s="98"/>
      <c r="S248" s="98"/>
    </row>
    <row r="249" spans="1:19" ht="18" customHeight="1">
      <c r="A249" s="172">
        <v>2012</v>
      </c>
      <c r="B249" s="172" t="s">
        <v>45</v>
      </c>
      <c r="C249" s="172" t="s">
        <v>2350</v>
      </c>
      <c r="D249" s="172">
        <v>26.9</v>
      </c>
      <c r="E249" s="98"/>
      <c r="F249" s="98"/>
      <c r="G249" s="98"/>
      <c r="H249" s="98"/>
      <c r="I249" s="98"/>
      <c r="J249" s="98"/>
      <c r="K249" s="98"/>
      <c r="L249" s="98"/>
      <c r="M249" s="98"/>
      <c r="N249" s="98"/>
      <c r="O249" s="98"/>
      <c r="P249" s="98"/>
      <c r="Q249" s="98"/>
      <c r="R249" s="98"/>
      <c r="S249" s="98"/>
    </row>
    <row r="250" spans="1:19" ht="18" customHeight="1">
      <c r="A250" s="172">
        <v>2012</v>
      </c>
      <c r="B250" s="172" t="s">
        <v>68</v>
      </c>
      <c r="C250" s="172" t="s">
        <v>2350</v>
      </c>
      <c r="D250" s="172">
        <v>32.6</v>
      </c>
      <c r="E250" s="98"/>
      <c r="F250" s="98"/>
      <c r="G250" s="98"/>
      <c r="H250" s="98"/>
      <c r="I250" s="98"/>
      <c r="J250" s="98"/>
      <c r="K250" s="98"/>
      <c r="L250" s="98"/>
      <c r="M250" s="98"/>
      <c r="N250" s="98"/>
      <c r="O250" s="98"/>
      <c r="P250" s="98"/>
      <c r="Q250" s="98"/>
      <c r="R250" s="98"/>
      <c r="S250" s="98"/>
    </row>
    <row r="251" spans="1:19" ht="18" customHeight="1">
      <c r="A251" s="172">
        <v>2012</v>
      </c>
      <c r="B251" s="172" t="s">
        <v>45</v>
      </c>
      <c r="C251" s="172" t="s">
        <v>2351</v>
      </c>
      <c r="D251" s="172">
        <v>8.6999999999999993</v>
      </c>
      <c r="E251" s="98"/>
      <c r="F251" s="98"/>
      <c r="G251" s="98"/>
      <c r="H251" s="98"/>
      <c r="I251" s="98"/>
      <c r="J251" s="98"/>
      <c r="K251" s="98"/>
      <c r="L251" s="98"/>
      <c r="M251" s="98"/>
      <c r="N251" s="98"/>
      <c r="O251" s="98"/>
      <c r="P251" s="98"/>
      <c r="Q251" s="98"/>
      <c r="R251" s="98"/>
      <c r="S251" s="98"/>
    </row>
    <row r="252" spans="1:19" ht="18" customHeight="1">
      <c r="A252" s="172">
        <v>2012</v>
      </c>
      <c r="B252" s="172" t="s">
        <v>68</v>
      </c>
      <c r="C252" s="172" t="s">
        <v>2351</v>
      </c>
      <c r="D252" s="172">
        <v>9.1999999999999993</v>
      </c>
      <c r="E252" s="98"/>
      <c r="F252" s="98"/>
      <c r="G252" s="98"/>
      <c r="H252" s="98"/>
      <c r="I252" s="98"/>
      <c r="J252" s="98"/>
      <c r="K252" s="98"/>
      <c r="L252" s="98"/>
      <c r="M252" s="98"/>
      <c r="N252" s="98"/>
      <c r="O252" s="98"/>
      <c r="P252" s="98"/>
      <c r="Q252" s="98"/>
      <c r="R252" s="98"/>
      <c r="S252" s="98"/>
    </row>
    <row r="253" spans="1:19" ht="18" customHeight="1">
      <c r="A253" s="172">
        <v>2012</v>
      </c>
      <c r="B253" s="172" t="s">
        <v>45</v>
      </c>
      <c r="C253" s="172" t="s">
        <v>2352</v>
      </c>
      <c r="D253" s="172">
        <v>24.3</v>
      </c>
      <c r="E253" s="98"/>
      <c r="F253" s="98"/>
      <c r="G253" s="98"/>
      <c r="H253" s="98"/>
      <c r="I253" s="98"/>
      <c r="J253" s="98"/>
      <c r="K253" s="98"/>
      <c r="L253" s="98"/>
      <c r="M253" s="98"/>
      <c r="N253" s="98"/>
      <c r="O253" s="98"/>
      <c r="P253" s="98"/>
      <c r="Q253" s="98"/>
      <c r="R253" s="98"/>
      <c r="S253" s="98"/>
    </row>
    <row r="254" spans="1:19" ht="18" customHeight="1">
      <c r="A254" s="172">
        <v>2012</v>
      </c>
      <c r="B254" s="172" t="s">
        <v>68</v>
      </c>
      <c r="C254" s="172" t="s">
        <v>2352</v>
      </c>
      <c r="D254" s="172">
        <v>22.2</v>
      </c>
      <c r="E254" s="98"/>
      <c r="F254" s="98"/>
      <c r="G254" s="98"/>
      <c r="H254" s="98"/>
      <c r="I254" s="98"/>
      <c r="J254" s="98"/>
      <c r="K254" s="98"/>
      <c r="L254" s="98"/>
      <c r="M254" s="98"/>
      <c r="N254" s="98"/>
      <c r="O254" s="98"/>
      <c r="P254" s="98"/>
      <c r="Q254" s="98"/>
      <c r="R254" s="98"/>
      <c r="S254" s="98"/>
    </row>
    <row r="255" spans="1:19" ht="18" customHeight="1">
      <c r="A255" s="172">
        <v>2012</v>
      </c>
      <c r="B255" s="172" t="s">
        <v>45</v>
      </c>
      <c r="C255" s="172" t="s">
        <v>2307</v>
      </c>
      <c r="D255" s="172">
        <v>16.54</v>
      </c>
      <c r="E255" s="98"/>
      <c r="F255" s="98"/>
      <c r="G255" s="98"/>
      <c r="H255" s="98"/>
      <c r="I255" s="98"/>
      <c r="J255" s="98"/>
      <c r="K255" s="98"/>
      <c r="L255" s="98"/>
      <c r="M255" s="98"/>
      <c r="N255" s="98"/>
      <c r="O255" s="98"/>
      <c r="P255" s="98"/>
      <c r="Q255" s="98"/>
      <c r="R255" s="98"/>
      <c r="S255" s="98"/>
    </row>
    <row r="256" spans="1:19" ht="18" customHeight="1">
      <c r="A256" s="172">
        <v>2012</v>
      </c>
      <c r="B256" s="172" t="s">
        <v>68</v>
      </c>
      <c r="C256" s="172" t="s">
        <v>2307</v>
      </c>
      <c r="D256" s="172">
        <v>12.12</v>
      </c>
      <c r="E256" s="98"/>
      <c r="F256" s="98"/>
      <c r="G256" s="98"/>
      <c r="H256" s="98"/>
      <c r="I256" s="98"/>
      <c r="J256" s="98"/>
      <c r="K256" s="98"/>
      <c r="L256" s="98"/>
      <c r="M256" s="98"/>
      <c r="N256" s="98"/>
      <c r="O256" s="98"/>
      <c r="P256" s="98"/>
      <c r="Q256" s="98"/>
      <c r="R256" s="98"/>
      <c r="S256" s="98"/>
    </row>
    <row r="257" spans="1:19" ht="18" customHeight="1">
      <c r="A257" s="172">
        <v>2012</v>
      </c>
      <c r="B257" s="172" t="s">
        <v>45</v>
      </c>
      <c r="C257" s="172" t="s">
        <v>2311</v>
      </c>
      <c r="D257" s="172">
        <v>13.31</v>
      </c>
      <c r="E257" s="98"/>
      <c r="F257" s="98"/>
      <c r="G257" s="98"/>
      <c r="H257" s="98"/>
      <c r="I257" s="98"/>
      <c r="J257" s="98"/>
      <c r="K257" s="98"/>
      <c r="L257" s="98"/>
      <c r="M257" s="98"/>
      <c r="N257" s="98"/>
      <c r="O257" s="98"/>
      <c r="P257" s="98"/>
      <c r="Q257" s="98"/>
      <c r="R257" s="98"/>
      <c r="S257" s="98"/>
    </row>
    <row r="258" spans="1:19" ht="18" customHeight="1">
      <c r="A258" s="172">
        <v>2012</v>
      </c>
      <c r="B258" s="172" t="s">
        <v>68</v>
      </c>
      <c r="C258" s="172" t="s">
        <v>2311</v>
      </c>
      <c r="D258" s="172">
        <v>14.28</v>
      </c>
      <c r="E258" s="98"/>
      <c r="F258" s="98"/>
      <c r="G258" s="98"/>
      <c r="H258" s="98"/>
      <c r="I258" s="98"/>
      <c r="J258" s="98"/>
      <c r="K258" s="98"/>
      <c r="L258" s="98"/>
      <c r="M258" s="98"/>
      <c r="N258" s="98"/>
      <c r="O258" s="98"/>
      <c r="P258" s="98"/>
      <c r="Q258" s="98"/>
      <c r="R258" s="98"/>
      <c r="S258" s="98"/>
    </row>
    <row r="259" spans="1:19" ht="18" customHeight="1">
      <c r="A259" s="172">
        <v>2012</v>
      </c>
      <c r="B259" s="172" t="s">
        <v>45</v>
      </c>
      <c r="C259" s="172" t="s">
        <v>2302</v>
      </c>
      <c r="D259" s="172">
        <v>34.72</v>
      </c>
      <c r="E259" s="98"/>
      <c r="F259" s="98"/>
      <c r="G259" s="98"/>
      <c r="H259" s="98"/>
      <c r="I259" s="98"/>
      <c r="J259" s="98"/>
      <c r="K259" s="98"/>
      <c r="L259" s="98"/>
      <c r="M259" s="98"/>
      <c r="N259" s="98"/>
      <c r="O259" s="98"/>
      <c r="P259" s="98"/>
      <c r="Q259" s="98"/>
      <c r="R259" s="98"/>
      <c r="S259" s="98"/>
    </row>
    <row r="260" spans="1:19" ht="18" customHeight="1">
      <c r="A260" s="172">
        <v>2012</v>
      </c>
      <c r="B260" s="172" t="s">
        <v>68</v>
      </c>
      <c r="C260" s="172" t="s">
        <v>2302</v>
      </c>
      <c r="D260" s="172">
        <v>34.6</v>
      </c>
      <c r="E260" s="98"/>
      <c r="F260" s="98"/>
      <c r="G260" s="98"/>
      <c r="H260" s="98"/>
      <c r="I260" s="98"/>
      <c r="J260" s="98"/>
      <c r="K260" s="98"/>
      <c r="L260" s="98"/>
      <c r="M260" s="98"/>
      <c r="N260" s="98"/>
      <c r="O260" s="98"/>
      <c r="P260" s="98"/>
      <c r="Q260" s="98"/>
      <c r="R260" s="98"/>
      <c r="S260" s="98"/>
    </row>
    <row r="261" spans="1:19" ht="18" customHeight="1">
      <c r="A261" s="172">
        <v>2012</v>
      </c>
      <c r="B261" s="172" t="s">
        <v>45</v>
      </c>
      <c r="C261" s="172" t="s">
        <v>2315</v>
      </c>
      <c r="D261" s="172">
        <v>25.66</v>
      </c>
      <c r="E261" s="98"/>
      <c r="F261" s="98"/>
      <c r="G261" s="98"/>
      <c r="H261" s="98"/>
      <c r="I261" s="98"/>
      <c r="J261" s="98"/>
      <c r="K261" s="98"/>
      <c r="L261" s="98"/>
      <c r="M261" s="98"/>
      <c r="N261" s="98"/>
      <c r="O261" s="98"/>
      <c r="P261" s="98"/>
      <c r="Q261" s="98"/>
      <c r="R261" s="98"/>
      <c r="S261" s="98"/>
    </row>
    <row r="262" spans="1:19" ht="18" customHeight="1">
      <c r="A262" s="172">
        <v>2012</v>
      </c>
      <c r="B262" s="172" t="s">
        <v>68</v>
      </c>
      <c r="C262" s="172" t="s">
        <v>2315</v>
      </c>
      <c r="D262" s="172">
        <v>27.28</v>
      </c>
      <c r="E262" s="98"/>
      <c r="F262" s="98"/>
      <c r="G262" s="98"/>
      <c r="H262" s="98"/>
      <c r="I262" s="98"/>
      <c r="J262" s="98"/>
      <c r="K262" s="98"/>
      <c r="L262" s="98"/>
      <c r="M262" s="98"/>
      <c r="N262" s="98"/>
      <c r="O262" s="98"/>
      <c r="P262" s="98"/>
      <c r="Q262" s="98"/>
      <c r="R262" s="98"/>
      <c r="S262" s="98"/>
    </row>
    <row r="263" spans="1:19" ht="18" customHeight="1">
      <c r="A263" s="172">
        <v>2011</v>
      </c>
      <c r="B263" s="172" t="s">
        <v>45</v>
      </c>
      <c r="C263" s="172" t="s">
        <v>2348</v>
      </c>
      <c r="D263" s="172" t="s">
        <v>505</v>
      </c>
      <c r="E263" s="98"/>
      <c r="F263" s="98"/>
      <c r="G263" s="98"/>
      <c r="H263" s="98"/>
      <c r="I263" s="98"/>
      <c r="J263" s="98"/>
      <c r="K263" s="98"/>
      <c r="L263" s="98"/>
      <c r="M263" s="98"/>
      <c r="N263" s="98"/>
      <c r="O263" s="98"/>
      <c r="P263" s="98"/>
      <c r="Q263" s="98"/>
      <c r="R263" s="98"/>
      <c r="S263" s="98"/>
    </row>
    <row r="264" spans="1:19" ht="18" customHeight="1">
      <c r="A264" s="172">
        <v>2011</v>
      </c>
      <c r="B264" s="172" t="s">
        <v>68</v>
      </c>
      <c r="C264" s="172" t="s">
        <v>2348</v>
      </c>
      <c r="D264" s="172" t="s">
        <v>505</v>
      </c>
      <c r="E264" s="98"/>
      <c r="F264" s="98"/>
      <c r="G264" s="98"/>
      <c r="H264" s="98"/>
      <c r="I264" s="98"/>
      <c r="J264" s="98"/>
      <c r="K264" s="98"/>
      <c r="L264" s="98"/>
      <c r="M264" s="98"/>
      <c r="N264" s="98"/>
      <c r="O264" s="98"/>
      <c r="P264" s="98"/>
      <c r="Q264" s="98"/>
      <c r="R264" s="98"/>
      <c r="S264" s="98"/>
    </row>
    <row r="265" spans="1:19" ht="18" customHeight="1">
      <c r="A265" s="172">
        <v>2011</v>
      </c>
      <c r="B265" s="172" t="s">
        <v>45</v>
      </c>
      <c r="C265" s="172" t="s">
        <v>2349</v>
      </c>
      <c r="D265" s="172">
        <v>13.5</v>
      </c>
      <c r="E265" s="98"/>
      <c r="F265" s="98"/>
      <c r="G265" s="98"/>
      <c r="H265" s="98"/>
      <c r="I265" s="98"/>
      <c r="J265" s="98"/>
      <c r="K265" s="98"/>
      <c r="L265" s="98"/>
      <c r="M265" s="98"/>
      <c r="N265" s="98"/>
      <c r="O265" s="98"/>
      <c r="P265" s="98"/>
      <c r="Q265" s="98"/>
      <c r="R265" s="98"/>
      <c r="S265" s="98"/>
    </row>
    <row r="266" spans="1:19" ht="18" customHeight="1">
      <c r="A266" s="172">
        <v>2011</v>
      </c>
      <c r="B266" s="172" t="s">
        <v>68</v>
      </c>
      <c r="C266" s="172" t="s">
        <v>2349</v>
      </c>
      <c r="D266" s="172">
        <v>10.7</v>
      </c>
      <c r="E266" s="98"/>
      <c r="F266" s="98"/>
      <c r="G266" s="98"/>
      <c r="H266" s="98"/>
      <c r="I266" s="98"/>
      <c r="J266" s="98"/>
      <c r="K266" s="98"/>
      <c r="L266" s="98"/>
      <c r="M266" s="98"/>
      <c r="N266" s="98"/>
      <c r="O266" s="98"/>
      <c r="P266" s="98"/>
      <c r="Q266" s="98"/>
      <c r="R266" s="98"/>
      <c r="S266" s="98"/>
    </row>
    <row r="267" spans="1:19" ht="18" customHeight="1">
      <c r="A267" s="172">
        <v>2011</v>
      </c>
      <c r="B267" s="172" t="s">
        <v>45</v>
      </c>
      <c r="C267" s="172" t="s">
        <v>1787</v>
      </c>
      <c r="D267" s="172">
        <v>111.7</v>
      </c>
      <c r="E267" s="98"/>
      <c r="F267" s="98"/>
      <c r="G267" s="98"/>
      <c r="H267" s="98"/>
      <c r="I267" s="98"/>
      <c r="J267" s="98"/>
      <c r="K267" s="98"/>
      <c r="L267" s="98"/>
      <c r="M267" s="98"/>
      <c r="N267" s="98"/>
      <c r="O267" s="98"/>
      <c r="P267" s="98"/>
      <c r="Q267" s="98"/>
      <c r="R267" s="98"/>
      <c r="S267" s="98"/>
    </row>
    <row r="268" spans="1:19" ht="18" customHeight="1">
      <c r="A268" s="172">
        <v>2011</v>
      </c>
      <c r="B268" s="172" t="s">
        <v>68</v>
      </c>
      <c r="C268" s="172" t="s">
        <v>1787</v>
      </c>
      <c r="D268" s="172">
        <v>117.2</v>
      </c>
      <c r="E268" s="98"/>
      <c r="F268" s="98"/>
      <c r="G268" s="98"/>
      <c r="H268" s="98"/>
      <c r="I268" s="98"/>
      <c r="J268" s="98"/>
      <c r="K268" s="98"/>
      <c r="L268" s="98"/>
      <c r="M268" s="98"/>
      <c r="N268" s="98"/>
      <c r="O268" s="98"/>
      <c r="P268" s="98"/>
      <c r="Q268" s="98"/>
      <c r="R268" s="98"/>
      <c r="S268" s="98"/>
    </row>
    <row r="269" spans="1:19" ht="18" customHeight="1">
      <c r="A269" s="172">
        <v>2011</v>
      </c>
      <c r="B269" s="172" t="s">
        <v>45</v>
      </c>
      <c r="C269" s="172" t="s">
        <v>2350</v>
      </c>
      <c r="D269" s="172">
        <v>27.1</v>
      </c>
      <c r="E269" s="98"/>
      <c r="F269" s="98"/>
      <c r="G269" s="98"/>
      <c r="H269" s="98"/>
      <c r="I269" s="98"/>
      <c r="J269" s="98"/>
      <c r="K269" s="98"/>
      <c r="L269" s="98"/>
      <c r="M269" s="98"/>
      <c r="N269" s="98"/>
      <c r="O269" s="98"/>
      <c r="P269" s="98"/>
      <c r="Q269" s="98"/>
      <c r="R269" s="98"/>
      <c r="S269" s="98"/>
    </row>
    <row r="270" spans="1:19" ht="18" customHeight="1">
      <c r="A270" s="172">
        <v>2011</v>
      </c>
      <c r="B270" s="172" t="s">
        <v>68</v>
      </c>
      <c r="C270" s="172" t="s">
        <v>2350</v>
      </c>
      <c r="D270" s="172">
        <v>32</v>
      </c>
      <c r="E270" s="98"/>
      <c r="F270" s="98"/>
      <c r="G270" s="98"/>
      <c r="H270" s="98"/>
      <c r="I270" s="98"/>
      <c r="J270" s="98"/>
      <c r="K270" s="98"/>
      <c r="L270" s="98"/>
      <c r="M270" s="98"/>
      <c r="N270" s="98"/>
      <c r="O270" s="98"/>
      <c r="P270" s="98"/>
      <c r="Q270" s="98"/>
      <c r="R270" s="98"/>
      <c r="S270" s="98"/>
    </row>
    <row r="271" spans="1:19" ht="18" customHeight="1">
      <c r="A271" s="172">
        <v>2011</v>
      </c>
      <c r="B271" s="172" t="s">
        <v>45</v>
      </c>
      <c r="C271" s="172" t="s">
        <v>2351</v>
      </c>
      <c r="D271" s="172">
        <v>7.8</v>
      </c>
      <c r="E271" s="98"/>
      <c r="F271" s="98"/>
      <c r="G271" s="98"/>
      <c r="H271" s="98"/>
      <c r="I271" s="98"/>
      <c r="J271" s="98"/>
      <c r="K271" s="98"/>
      <c r="L271" s="98"/>
      <c r="M271" s="98"/>
      <c r="N271" s="98"/>
      <c r="O271" s="98"/>
      <c r="P271" s="98"/>
      <c r="Q271" s="98"/>
      <c r="R271" s="98"/>
      <c r="S271" s="98"/>
    </row>
    <row r="272" spans="1:19" ht="18" customHeight="1">
      <c r="A272" s="172">
        <v>2011</v>
      </c>
      <c r="B272" s="172" t="s">
        <v>68</v>
      </c>
      <c r="C272" s="172" t="s">
        <v>2351</v>
      </c>
      <c r="D272" s="172">
        <v>10.6</v>
      </c>
      <c r="E272" s="98"/>
      <c r="F272" s="98"/>
      <c r="G272" s="98"/>
      <c r="H272" s="98"/>
      <c r="I272" s="98"/>
      <c r="J272" s="98"/>
      <c r="K272" s="98"/>
      <c r="L272" s="98"/>
      <c r="M272" s="98"/>
      <c r="N272" s="98"/>
      <c r="O272" s="98"/>
      <c r="P272" s="98"/>
      <c r="Q272" s="98"/>
      <c r="R272" s="98"/>
      <c r="S272" s="98"/>
    </row>
    <row r="273" spans="1:19" ht="18" customHeight="1">
      <c r="A273" s="172">
        <v>2011</v>
      </c>
      <c r="B273" s="172" t="s">
        <v>45</v>
      </c>
      <c r="C273" s="172" t="s">
        <v>2352</v>
      </c>
      <c r="D273" s="172">
        <v>25.5</v>
      </c>
      <c r="E273" s="98"/>
      <c r="F273" s="98"/>
      <c r="G273" s="98"/>
      <c r="H273" s="98"/>
      <c r="I273" s="98"/>
      <c r="J273" s="98"/>
      <c r="K273" s="98"/>
      <c r="L273" s="98"/>
      <c r="M273" s="98"/>
      <c r="N273" s="98"/>
      <c r="O273" s="98"/>
      <c r="P273" s="98"/>
      <c r="Q273" s="98"/>
      <c r="R273" s="98"/>
      <c r="S273" s="98"/>
    </row>
    <row r="274" spans="1:19" ht="18" customHeight="1">
      <c r="A274" s="172">
        <v>2011</v>
      </c>
      <c r="B274" s="172" t="s">
        <v>68</v>
      </c>
      <c r="C274" s="172" t="s">
        <v>2352</v>
      </c>
      <c r="D274" s="172">
        <v>21.7</v>
      </c>
      <c r="E274" s="98"/>
      <c r="F274" s="98"/>
      <c r="G274" s="98"/>
      <c r="H274" s="98"/>
      <c r="I274" s="98"/>
      <c r="J274" s="98"/>
      <c r="K274" s="98"/>
      <c r="L274" s="98"/>
      <c r="M274" s="98"/>
      <c r="N274" s="98"/>
      <c r="O274" s="98"/>
      <c r="P274" s="98"/>
      <c r="Q274" s="98"/>
      <c r="R274" s="98"/>
      <c r="S274" s="98"/>
    </row>
    <row r="275" spans="1:19" ht="18" customHeight="1">
      <c r="A275" s="172">
        <v>2011</v>
      </c>
      <c r="B275" s="172" t="s">
        <v>45</v>
      </c>
      <c r="C275" s="172" t="s">
        <v>2307</v>
      </c>
      <c r="D275" s="172">
        <v>16.07</v>
      </c>
      <c r="E275" s="98"/>
      <c r="F275" s="98"/>
      <c r="G275" s="98"/>
      <c r="H275" s="98"/>
      <c r="I275" s="98"/>
      <c r="J275" s="98"/>
      <c r="K275" s="98"/>
      <c r="L275" s="98"/>
      <c r="M275" s="98"/>
      <c r="N275" s="98"/>
      <c r="O275" s="98"/>
      <c r="P275" s="98"/>
      <c r="Q275" s="98"/>
      <c r="R275" s="98"/>
      <c r="S275" s="98"/>
    </row>
    <row r="276" spans="1:19" ht="18" customHeight="1">
      <c r="A276" s="172">
        <v>2011</v>
      </c>
      <c r="B276" s="172" t="s">
        <v>68</v>
      </c>
      <c r="C276" s="172" t="s">
        <v>2307</v>
      </c>
      <c r="D276" s="172">
        <v>14.23</v>
      </c>
      <c r="E276" s="98"/>
      <c r="F276" s="98"/>
      <c r="G276" s="98"/>
      <c r="H276" s="98"/>
      <c r="I276" s="98"/>
      <c r="J276" s="98"/>
      <c r="K276" s="98"/>
      <c r="L276" s="98"/>
      <c r="M276" s="98"/>
      <c r="N276" s="98"/>
      <c r="O276" s="98"/>
      <c r="P276" s="98"/>
      <c r="Q276" s="98"/>
      <c r="R276" s="98"/>
      <c r="S276" s="98"/>
    </row>
    <row r="277" spans="1:19" ht="18" customHeight="1">
      <c r="A277" s="172">
        <v>2011</v>
      </c>
      <c r="B277" s="172" t="s">
        <v>45</v>
      </c>
      <c r="C277" s="172" t="s">
        <v>2311</v>
      </c>
      <c r="D277" s="172">
        <v>14.58</v>
      </c>
      <c r="E277" s="98"/>
      <c r="F277" s="98"/>
      <c r="G277" s="98"/>
      <c r="H277" s="98"/>
      <c r="I277" s="98"/>
      <c r="J277" s="98"/>
      <c r="K277" s="98"/>
      <c r="L277" s="98"/>
      <c r="M277" s="98"/>
      <c r="N277" s="98"/>
      <c r="O277" s="98"/>
      <c r="P277" s="98"/>
      <c r="Q277" s="98"/>
      <c r="R277" s="98"/>
      <c r="S277" s="98"/>
    </row>
    <row r="278" spans="1:19" ht="18" customHeight="1">
      <c r="A278" s="172">
        <v>2011</v>
      </c>
      <c r="B278" s="172" t="s">
        <v>68</v>
      </c>
      <c r="C278" s="172" t="s">
        <v>2311</v>
      </c>
      <c r="D278" s="172">
        <v>14.35</v>
      </c>
      <c r="E278" s="98"/>
      <c r="F278" s="98"/>
      <c r="G278" s="98"/>
      <c r="H278" s="98"/>
      <c r="I278" s="98"/>
      <c r="J278" s="98"/>
      <c r="K278" s="98"/>
      <c r="L278" s="98"/>
      <c r="M278" s="98"/>
      <c r="N278" s="98"/>
      <c r="O278" s="98"/>
      <c r="P278" s="98"/>
      <c r="Q278" s="98"/>
      <c r="R278" s="98"/>
      <c r="S278" s="98"/>
    </row>
    <row r="279" spans="1:19" ht="18" customHeight="1">
      <c r="A279" s="172">
        <v>2011</v>
      </c>
      <c r="B279" s="172" t="s">
        <v>45</v>
      </c>
      <c r="C279" s="172" t="s">
        <v>2302</v>
      </c>
      <c r="D279" s="172">
        <v>33.43</v>
      </c>
      <c r="E279" s="98"/>
      <c r="F279" s="98"/>
      <c r="G279" s="98"/>
      <c r="H279" s="98"/>
      <c r="I279" s="98"/>
      <c r="J279" s="98"/>
      <c r="K279" s="98"/>
      <c r="L279" s="98"/>
      <c r="M279" s="98"/>
      <c r="N279" s="98"/>
      <c r="O279" s="98"/>
      <c r="P279" s="98"/>
      <c r="Q279" s="98"/>
      <c r="R279" s="98"/>
      <c r="S279" s="98"/>
    </row>
    <row r="280" spans="1:19" ht="18" customHeight="1">
      <c r="A280" s="172">
        <v>2011</v>
      </c>
      <c r="B280" s="172" t="s">
        <v>68</v>
      </c>
      <c r="C280" s="172" t="s">
        <v>2302</v>
      </c>
      <c r="D280" s="172">
        <v>34.9</v>
      </c>
      <c r="E280" s="98"/>
      <c r="F280" s="98"/>
      <c r="G280" s="98"/>
      <c r="H280" s="98"/>
      <c r="I280" s="98"/>
      <c r="J280" s="98"/>
      <c r="K280" s="98"/>
      <c r="L280" s="98"/>
      <c r="M280" s="98"/>
      <c r="N280" s="98"/>
      <c r="O280" s="98"/>
      <c r="P280" s="98"/>
      <c r="Q280" s="98"/>
      <c r="R280" s="98"/>
      <c r="S280" s="98"/>
    </row>
    <row r="281" spans="1:19" ht="18" customHeight="1">
      <c r="A281" s="172">
        <v>2011</v>
      </c>
      <c r="B281" s="172" t="s">
        <v>45</v>
      </c>
      <c r="C281" s="172" t="s">
        <v>2315</v>
      </c>
      <c r="D281" s="172">
        <v>26.78</v>
      </c>
      <c r="E281" s="98"/>
      <c r="F281" s="98"/>
      <c r="G281" s="98"/>
      <c r="H281" s="98"/>
      <c r="I281" s="98"/>
      <c r="J281" s="98"/>
      <c r="K281" s="98"/>
      <c r="L281" s="98"/>
      <c r="M281" s="98"/>
      <c r="N281" s="98"/>
      <c r="O281" s="98"/>
      <c r="P281" s="98"/>
      <c r="Q281" s="98"/>
      <c r="R281" s="98"/>
      <c r="S281" s="98"/>
    </row>
    <row r="282" spans="1:19" ht="18" customHeight="1">
      <c r="A282" s="172">
        <v>2011</v>
      </c>
      <c r="B282" s="172" t="s">
        <v>68</v>
      </c>
      <c r="C282" s="172" t="s">
        <v>2315</v>
      </c>
      <c r="D282" s="172">
        <v>30.74</v>
      </c>
      <c r="E282" s="98"/>
      <c r="F282" s="98"/>
      <c r="G282" s="98"/>
      <c r="H282" s="98"/>
      <c r="I282" s="98"/>
      <c r="J282" s="98"/>
      <c r="K282" s="98"/>
      <c r="L282" s="98"/>
      <c r="M282" s="98"/>
      <c r="N282" s="98"/>
      <c r="O282" s="98"/>
      <c r="P282" s="98"/>
      <c r="Q282" s="98"/>
      <c r="R282" s="98"/>
      <c r="S282" s="98"/>
    </row>
    <row r="283" spans="1:19" ht="18" customHeight="1">
      <c r="A283" s="172">
        <v>2010</v>
      </c>
      <c r="B283" s="172" t="s">
        <v>45</v>
      </c>
      <c r="C283" s="172" t="s">
        <v>2348</v>
      </c>
      <c r="D283" s="172" t="s">
        <v>505</v>
      </c>
      <c r="E283" s="98"/>
      <c r="F283" s="98"/>
      <c r="G283" s="98"/>
      <c r="H283" s="98"/>
      <c r="I283" s="98"/>
      <c r="J283" s="98"/>
      <c r="K283" s="98"/>
      <c r="L283" s="98"/>
      <c r="M283" s="98"/>
      <c r="N283" s="98"/>
      <c r="O283" s="98"/>
      <c r="P283" s="98"/>
      <c r="Q283" s="98"/>
      <c r="R283" s="98"/>
      <c r="S283" s="98"/>
    </row>
    <row r="284" spans="1:19" ht="18" customHeight="1">
      <c r="A284" s="172">
        <v>2010</v>
      </c>
      <c r="B284" s="172" t="s">
        <v>68</v>
      </c>
      <c r="C284" s="172" t="s">
        <v>2348</v>
      </c>
      <c r="D284" s="172" t="s">
        <v>505</v>
      </c>
      <c r="E284" s="98"/>
      <c r="F284" s="98"/>
      <c r="G284" s="98"/>
      <c r="H284" s="98"/>
      <c r="I284" s="98"/>
      <c r="J284" s="98"/>
      <c r="K284" s="98"/>
      <c r="L284" s="98"/>
      <c r="M284" s="98"/>
      <c r="N284" s="98"/>
      <c r="O284" s="98"/>
      <c r="P284" s="98"/>
      <c r="Q284" s="98"/>
      <c r="R284" s="98"/>
      <c r="S284" s="98"/>
    </row>
    <row r="285" spans="1:19" ht="18" customHeight="1">
      <c r="A285" s="172">
        <v>2010</v>
      </c>
      <c r="B285" s="172" t="s">
        <v>45</v>
      </c>
      <c r="C285" s="172" t="s">
        <v>2349</v>
      </c>
      <c r="D285" s="172">
        <v>13.2</v>
      </c>
      <c r="E285" s="98"/>
      <c r="F285" s="98"/>
      <c r="G285" s="98"/>
      <c r="H285" s="98"/>
      <c r="I285" s="98"/>
      <c r="J285" s="98"/>
      <c r="K285" s="98"/>
      <c r="L285" s="98"/>
      <c r="M285" s="98"/>
      <c r="N285" s="98"/>
      <c r="O285" s="98"/>
      <c r="P285" s="98"/>
      <c r="Q285" s="98"/>
      <c r="R285" s="98"/>
      <c r="S285" s="98"/>
    </row>
    <row r="286" spans="1:19" ht="18" customHeight="1">
      <c r="A286" s="172">
        <v>2010</v>
      </c>
      <c r="B286" s="172" t="s">
        <v>68</v>
      </c>
      <c r="C286" s="172" t="s">
        <v>2349</v>
      </c>
      <c r="D286" s="172">
        <v>11.4</v>
      </c>
      <c r="E286" s="98"/>
      <c r="F286" s="98"/>
      <c r="G286" s="98"/>
      <c r="H286" s="98"/>
      <c r="I286" s="98"/>
      <c r="J286" s="98"/>
      <c r="K286" s="98"/>
      <c r="L286" s="98"/>
      <c r="M286" s="98"/>
      <c r="N286" s="98"/>
      <c r="O286" s="98"/>
      <c r="P286" s="98"/>
      <c r="Q286" s="98"/>
      <c r="R286" s="98"/>
      <c r="S286" s="98"/>
    </row>
    <row r="287" spans="1:19" ht="18" customHeight="1">
      <c r="A287" s="172">
        <v>2010</v>
      </c>
      <c r="B287" s="172" t="s">
        <v>45</v>
      </c>
      <c r="C287" s="172" t="s">
        <v>1787</v>
      </c>
      <c r="D287" s="172">
        <v>112.6</v>
      </c>
      <c r="E287" s="98"/>
      <c r="F287" s="98"/>
      <c r="G287" s="98"/>
      <c r="H287" s="98"/>
      <c r="I287" s="98"/>
      <c r="J287" s="98"/>
      <c r="K287" s="98"/>
      <c r="L287" s="98"/>
      <c r="M287" s="98"/>
      <c r="N287" s="98"/>
      <c r="O287" s="98"/>
      <c r="P287" s="98"/>
      <c r="Q287" s="98"/>
      <c r="R287" s="98"/>
      <c r="S287" s="98"/>
    </row>
    <row r="288" spans="1:19" ht="18" customHeight="1">
      <c r="A288" s="172">
        <v>2010</v>
      </c>
      <c r="B288" s="172" t="s">
        <v>68</v>
      </c>
      <c r="C288" s="172" t="s">
        <v>1787</v>
      </c>
      <c r="D288" s="172">
        <v>118.1</v>
      </c>
      <c r="E288" s="98"/>
      <c r="F288" s="98"/>
      <c r="G288" s="98"/>
      <c r="H288" s="98"/>
      <c r="I288" s="98"/>
      <c r="J288" s="98"/>
      <c r="K288" s="98"/>
      <c r="L288" s="98"/>
      <c r="M288" s="98"/>
      <c r="N288" s="98"/>
      <c r="O288" s="98"/>
      <c r="P288" s="98"/>
      <c r="Q288" s="98"/>
      <c r="R288" s="98"/>
      <c r="S288" s="98"/>
    </row>
    <row r="289" spans="1:19" ht="18" customHeight="1">
      <c r="A289" s="172">
        <v>2010</v>
      </c>
      <c r="B289" s="172" t="s">
        <v>45</v>
      </c>
      <c r="C289" s="172" t="s">
        <v>2350</v>
      </c>
      <c r="D289" s="172">
        <v>26.4</v>
      </c>
      <c r="E289" s="98"/>
      <c r="F289" s="98"/>
      <c r="G289" s="98"/>
      <c r="H289" s="98"/>
      <c r="I289" s="98"/>
      <c r="J289" s="98"/>
      <c r="K289" s="98"/>
      <c r="L289" s="98"/>
      <c r="M289" s="98"/>
      <c r="N289" s="98"/>
      <c r="O289" s="98"/>
      <c r="P289" s="98"/>
      <c r="Q289" s="98"/>
      <c r="R289" s="98"/>
      <c r="S289" s="98"/>
    </row>
    <row r="290" spans="1:19" ht="18" customHeight="1">
      <c r="A290" s="172">
        <v>2010</v>
      </c>
      <c r="B290" s="172" t="s">
        <v>68</v>
      </c>
      <c r="C290" s="172" t="s">
        <v>2350</v>
      </c>
      <c r="D290" s="172">
        <v>30.3</v>
      </c>
      <c r="E290" s="98"/>
      <c r="F290" s="98"/>
      <c r="G290" s="98"/>
      <c r="H290" s="98"/>
      <c r="I290" s="98"/>
      <c r="J290" s="98"/>
      <c r="K290" s="98"/>
      <c r="L290" s="98"/>
      <c r="M290" s="98"/>
      <c r="N290" s="98"/>
      <c r="O290" s="98"/>
      <c r="P290" s="98"/>
      <c r="Q290" s="98"/>
      <c r="R290" s="98"/>
      <c r="S290" s="98"/>
    </row>
    <row r="291" spans="1:19" ht="18" customHeight="1">
      <c r="A291" s="172">
        <v>2010</v>
      </c>
      <c r="B291" s="172" t="s">
        <v>45</v>
      </c>
      <c r="C291" s="172" t="s">
        <v>2351</v>
      </c>
      <c r="D291" s="172">
        <v>7.9</v>
      </c>
      <c r="E291" s="98"/>
      <c r="F291" s="98"/>
      <c r="G291" s="98"/>
      <c r="H291" s="98"/>
      <c r="I291" s="98"/>
      <c r="J291" s="98"/>
      <c r="K291" s="98"/>
      <c r="L291" s="98"/>
      <c r="M291" s="98"/>
      <c r="N291" s="98"/>
      <c r="O291" s="98"/>
      <c r="P291" s="98"/>
      <c r="Q291" s="98"/>
      <c r="R291" s="98"/>
      <c r="S291" s="98"/>
    </row>
    <row r="292" spans="1:19" ht="18" customHeight="1">
      <c r="A292" s="172">
        <v>2010</v>
      </c>
      <c r="B292" s="172" t="s">
        <v>68</v>
      </c>
      <c r="C292" s="172" t="s">
        <v>2351</v>
      </c>
      <c r="D292" s="172">
        <v>9</v>
      </c>
      <c r="E292" s="98"/>
      <c r="F292" s="98"/>
      <c r="G292" s="98"/>
      <c r="H292" s="98"/>
      <c r="I292" s="98"/>
      <c r="J292" s="98"/>
      <c r="K292" s="98"/>
      <c r="L292" s="98"/>
      <c r="M292" s="98"/>
      <c r="N292" s="98"/>
      <c r="O292" s="98"/>
      <c r="P292" s="98"/>
      <c r="Q292" s="98"/>
      <c r="R292" s="98"/>
      <c r="S292" s="98"/>
    </row>
    <row r="293" spans="1:19" ht="18" customHeight="1">
      <c r="A293" s="172">
        <v>2010</v>
      </c>
      <c r="B293" s="172" t="s">
        <v>45</v>
      </c>
      <c r="C293" s="172" t="s">
        <v>2352</v>
      </c>
      <c r="D293" s="172">
        <v>27.3</v>
      </c>
      <c r="E293" s="98"/>
      <c r="F293" s="98"/>
      <c r="G293" s="98"/>
      <c r="H293" s="98"/>
      <c r="I293" s="98"/>
      <c r="J293" s="98"/>
      <c r="K293" s="98"/>
      <c r="L293" s="98"/>
      <c r="M293" s="98"/>
      <c r="N293" s="98"/>
      <c r="O293" s="98"/>
      <c r="P293" s="98"/>
      <c r="Q293" s="98"/>
      <c r="R293" s="98"/>
      <c r="S293" s="98"/>
    </row>
    <row r="294" spans="1:19" ht="18" customHeight="1">
      <c r="A294" s="172">
        <v>2010</v>
      </c>
      <c r="B294" s="172" t="s">
        <v>68</v>
      </c>
      <c r="C294" s="172" t="s">
        <v>2352</v>
      </c>
      <c r="D294" s="172">
        <v>24.7</v>
      </c>
      <c r="E294" s="98"/>
      <c r="F294" s="98"/>
      <c r="G294" s="98"/>
      <c r="H294" s="98"/>
      <c r="I294" s="98"/>
      <c r="J294" s="98"/>
      <c r="K294" s="98"/>
      <c r="L294" s="98"/>
      <c r="M294" s="98"/>
      <c r="N294" s="98"/>
      <c r="O294" s="98"/>
      <c r="P294" s="98"/>
      <c r="Q294" s="98"/>
      <c r="R294" s="98"/>
      <c r="S294" s="98"/>
    </row>
    <row r="295" spans="1:19" ht="18" customHeight="1">
      <c r="A295" s="172">
        <v>2010</v>
      </c>
      <c r="B295" s="172" t="s">
        <v>45</v>
      </c>
      <c r="C295" s="172" t="s">
        <v>2307</v>
      </c>
      <c r="D295" s="172">
        <v>14.98</v>
      </c>
      <c r="E295" s="98"/>
      <c r="F295" s="98"/>
      <c r="G295" s="98"/>
      <c r="H295" s="98"/>
      <c r="I295" s="98"/>
      <c r="J295" s="98"/>
      <c r="K295" s="98"/>
      <c r="L295" s="98"/>
      <c r="M295" s="98"/>
      <c r="N295" s="98"/>
      <c r="O295" s="98"/>
      <c r="P295" s="98"/>
      <c r="Q295" s="98"/>
      <c r="R295" s="98"/>
      <c r="S295" s="98"/>
    </row>
    <row r="296" spans="1:19" ht="18" customHeight="1">
      <c r="A296" s="172">
        <v>2010</v>
      </c>
      <c r="B296" s="172" t="s">
        <v>68</v>
      </c>
      <c r="C296" s="172" t="s">
        <v>2307</v>
      </c>
      <c r="D296" s="172">
        <v>9.92</v>
      </c>
      <c r="E296" s="98"/>
      <c r="F296" s="98"/>
      <c r="G296" s="98"/>
      <c r="H296" s="98"/>
      <c r="I296" s="98"/>
      <c r="J296" s="98"/>
      <c r="K296" s="98"/>
      <c r="L296" s="98"/>
      <c r="M296" s="98"/>
      <c r="N296" s="98"/>
      <c r="O296" s="98"/>
      <c r="P296" s="98"/>
      <c r="Q296" s="98"/>
      <c r="R296" s="98"/>
      <c r="S296" s="98"/>
    </row>
    <row r="297" spans="1:19" ht="18" customHeight="1">
      <c r="A297" s="172">
        <v>2010</v>
      </c>
      <c r="B297" s="172" t="s">
        <v>45</v>
      </c>
      <c r="C297" s="172" t="s">
        <v>2311</v>
      </c>
      <c r="D297" s="172">
        <v>12.6</v>
      </c>
      <c r="E297" s="98"/>
      <c r="F297" s="98"/>
      <c r="G297" s="98"/>
      <c r="H297" s="98"/>
      <c r="I297" s="98"/>
      <c r="J297" s="98"/>
      <c r="K297" s="98"/>
      <c r="L297" s="98"/>
      <c r="M297" s="98"/>
      <c r="N297" s="98"/>
      <c r="O297" s="98"/>
      <c r="P297" s="98"/>
      <c r="Q297" s="98"/>
      <c r="R297" s="98"/>
      <c r="S297" s="98"/>
    </row>
    <row r="298" spans="1:19" ht="18" customHeight="1">
      <c r="A298" s="172">
        <v>2010</v>
      </c>
      <c r="B298" s="172" t="s">
        <v>68</v>
      </c>
      <c r="C298" s="172" t="s">
        <v>2311</v>
      </c>
      <c r="D298" s="172">
        <v>12.59</v>
      </c>
      <c r="E298" s="98"/>
      <c r="F298" s="98"/>
      <c r="G298" s="98"/>
      <c r="H298" s="98"/>
      <c r="I298" s="98"/>
      <c r="J298" s="98"/>
      <c r="K298" s="98"/>
      <c r="L298" s="98"/>
      <c r="M298" s="98"/>
      <c r="N298" s="98"/>
      <c r="O298" s="98"/>
      <c r="P298" s="98"/>
      <c r="Q298" s="98"/>
      <c r="R298" s="98"/>
      <c r="S298" s="98"/>
    </row>
    <row r="299" spans="1:19" ht="18" customHeight="1">
      <c r="A299" s="172">
        <v>2010</v>
      </c>
      <c r="B299" s="172" t="s">
        <v>45</v>
      </c>
      <c r="C299" s="172" t="s">
        <v>2302</v>
      </c>
      <c r="D299" s="172">
        <v>31.72</v>
      </c>
      <c r="E299" s="98"/>
      <c r="F299" s="98"/>
      <c r="G299" s="98"/>
      <c r="H299" s="98"/>
      <c r="I299" s="98"/>
      <c r="J299" s="98"/>
      <c r="K299" s="98"/>
      <c r="L299" s="98"/>
      <c r="M299" s="98"/>
      <c r="N299" s="98"/>
      <c r="O299" s="98"/>
      <c r="P299" s="98"/>
      <c r="Q299" s="98"/>
      <c r="R299" s="98"/>
      <c r="S299" s="98"/>
    </row>
    <row r="300" spans="1:19" ht="18" customHeight="1">
      <c r="A300" s="172">
        <v>2010</v>
      </c>
      <c r="B300" s="172" t="s">
        <v>68</v>
      </c>
      <c r="C300" s="172" t="s">
        <v>2302</v>
      </c>
      <c r="D300" s="172">
        <v>34.5</v>
      </c>
      <c r="E300" s="98"/>
      <c r="F300" s="98"/>
      <c r="G300" s="98"/>
      <c r="H300" s="98"/>
      <c r="I300" s="98"/>
      <c r="J300" s="98"/>
      <c r="K300" s="98"/>
      <c r="L300" s="98"/>
      <c r="M300" s="98"/>
      <c r="N300" s="98"/>
      <c r="O300" s="98"/>
      <c r="P300" s="98"/>
      <c r="Q300" s="98"/>
      <c r="R300" s="98"/>
      <c r="S300" s="98"/>
    </row>
    <row r="301" spans="1:19" ht="18" customHeight="1">
      <c r="A301" s="172">
        <v>2010</v>
      </c>
      <c r="B301" s="172" t="s">
        <v>45</v>
      </c>
      <c r="C301" s="172" t="s">
        <v>2315</v>
      </c>
      <c r="D301" s="172">
        <v>24.52</v>
      </c>
      <c r="E301" s="98"/>
      <c r="F301" s="98"/>
      <c r="G301" s="98"/>
      <c r="H301" s="98"/>
      <c r="I301" s="98"/>
      <c r="J301" s="98"/>
      <c r="K301" s="98"/>
      <c r="L301" s="98"/>
      <c r="M301" s="98"/>
      <c r="N301" s="98"/>
      <c r="O301" s="98"/>
      <c r="P301" s="98"/>
      <c r="Q301" s="98"/>
      <c r="R301" s="98"/>
      <c r="S301" s="98"/>
    </row>
    <row r="302" spans="1:19" ht="18" customHeight="1">
      <c r="A302" s="172">
        <v>2010</v>
      </c>
      <c r="B302" s="172" t="s">
        <v>68</v>
      </c>
      <c r="C302" s="172" t="s">
        <v>2315</v>
      </c>
      <c r="D302" s="172">
        <v>25.81</v>
      </c>
      <c r="E302" s="98"/>
      <c r="F302" s="98"/>
      <c r="G302" s="98"/>
      <c r="H302" s="98"/>
      <c r="I302" s="98"/>
      <c r="J302" s="98"/>
      <c r="K302" s="98"/>
      <c r="L302" s="98"/>
      <c r="M302" s="98"/>
      <c r="N302" s="98"/>
      <c r="O302" s="98"/>
      <c r="P302" s="98"/>
      <c r="Q302" s="98"/>
      <c r="R302" s="98"/>
      <c r="S302" s="98"/>
    </row>
    <row r="303" spans="1:19" ht="18" customHeight="1">
      <c r="A303" s="172">
        <v>2009</v>
      </c>
      <c r="B303" s="172" t="s">
        <v>45</v>
      </c>
      <c r="C303" s="172" t="s">
        <v>2348</v>
      </c>
      <c r="D303" s="172" t="s">
        <v>505</v>
      </c>
      <c r="E303" s="98"/>
      <c r="F303" s="98"/>
      <c r="G303" s="98"/>
      <c r="H303" s="98"/>
      <c r="I303" s="98"/>
      <c r="J303" s="98"/>
      <c r="K303" s="98"/>
      <c r="L303" s="98"/>
      <c r="M303" s="98"/>
      <c r="N303" s="98"/>
      <c r="O303" s="98"/>
      <c r="P303" s="98"/>
      <c r="Q303" s="98"/>
      <c r="R303" s="98"/>
      <c r="S303" s="98"/>
    </row>
    <row r="304" spans="1:19" ht="18" customHeight="1">
      <c r="A304" s="172">
        <v>2009</v>
      </c>
      <c r="B304" s="172" t="s">
        <v>68</v>
      </c>
      <c r="C304" s="172" t="s">
        <v>2348</v>
      </c>
      <c r="D304" s="172" t="s">
        <v>505</v>
      </c>
      <c r="E304" s="98"/>
      <c r="F304" s="98"/>
      <c r="G304" s="98"/>
      <c r="H304" s="98"/>
      <c r="I304" s="98"/>
      <c r="J304" s="98"/>
      <c r="K304" s="98"/>
      <c r="L304" s="98"/>
      <c r="M304" s="98"/>
      <c r="N304" s="98"/>
      <c r="O304" s="98"/>
      <c r="P304" s="98"/>
      <c r="Q304" s="98"/>
      <c r="R304" s="98"/>
      <c r="S304" s="98"/>
    </row>
    <row r="305" spans="1:19" ht="18" customHeight="1">
      <c r="A305" s="172">
        <v>2009</v>
      </c>
      <c r="B305" s="172" t="s">
        <v>45</v>
      </c>
      <c r="C305" s="172" t="s">
        <v>2349</v>
      </c>
      <c r="D305" s="172">
        <v>13.1</v>
      </c>
      <c r="E305" s="98"/>
      <c r="F305" s="98"/>
      <c r="G305" s="98"/>
      <c r="H305" s="98"/>
      <c r="I305" s="98"/>
      <c r="J305" s="98"/>
      <c r="K305" s="98"/>
      <c r="L305" s="98"/>
      <c r="M305" s="98"/>
      <c r="N305" s="98"/>
      <c r="O305" s="98"/>
      <c r="P305" s="98"/>
      <c r="Q305" s="98"/>
      <c r="R305" s="98"/>
      <c r="S305" s="98"/>
    </row>
    <row r="306" spans="1:19" ht="18" customHeight="1">
      <c r="A306" s="172">
        <v>2009</v>
      </c>
      <c r="B306" s="172" t="s">
        <v>68</v>
      </c>
      <c r="C306" s="172" t="s">
        <v>2349</v>
      </c>
      <c r="D306" s="172">
        <v>11.2</v>
      </c>
      <c r="E306" s="98"/>
      <c r="F306" s="98"/>
      <c r="G306" s="98"/>
      <c r="H306" s="98"/>
      <c r="I306" s="98"/>
      <c r="J306" s="98"/>
      <c r="K306" s="98"/>
      <c r="L306" s="98"/>
      <c r="M306" s="98"/>
      <c r="N306" s="98"/>
      <c r="O306" s="98"/>
      <c r="P306" s="98"/>
      <c r="Q306" s="98"/>
      <c r="R306" s="98"/>
      <c r="S306" s="98"/>
    </row>
    <row r="307" spans="1:19" ht="18" customHeight="1">
      <c r="A307" s="172">
        <v>2009</v>
      </c>
      <c r="B307" s="172" t="s">
        <v>45</v>
      </c>
      <c r="C307" s="172" t="s">
        <v>1787</v>
      </c>
      <c r="D307" s="172">
        <v>113</v>
      </c>
      <c r="E307" s="98"/>
      <c r="F307" s="98"/>
      <c r="G307" s="98"/>
      <c r="H307" s="98"/>
      <c r="I307" s="98"/>
      <c r="J307" s="98"/>
      <c r="K307" s="98"/>
      <c r="L307" s="98"/>
      <c r="M307" s="98"/>
      <c r="N307" s="98"/>
      <c r="O307" s="98"/>
      <c r="P307" s="98"/>
      <c r="Q307" s="98"/>
      <c r="R307" s="98"/>
      <c r="S307" s="98"/>
    </row>
    <row r="308" spans="1:19" ht="18" customHeight="1">
      <c r="A308" s="172">
        <v>2009</v>
      </c>
      <c r="B308" s="172" t="s">
        <v>68</v>
      </c>
      <c r="C308" s="172" t="s">
        <v>1787</v>
      </c>
      <c r="D308" s="172">
        <v>117.3</v>
      </c>
      <c r="E308" s="98"/>
      <c r="F308" s="98"/>
      <c r="G308" s="98"/>
      <c r="H308" s="98"/>
      <c r="I308" s="98"/>
      <c r="J308" s="98"/>
      <c r="K308" s="98"/>
      <c r="L308" s="98"/>
      <c r="M308" s="98"/>
      <c r="N308" s="98"/>
      <c r="O308" s="98"/>
      <c r="P308" s="98"/>
      <c r="Q308" s="98"/>
      <c r="R308" s="98"/>
      <c r="S308" s="98"/>
    </row>
    <row r="309" spans="1:19" ht="18" customHeight="1">
      <c r="A309" s="172">
        <v>2009</v>
      </c>
      <c r="B309" s="172" t="s">
        <v>45</v>
      </c>
      <c r="C309" s="172" t="s">
        <v>2350</v>
      </c>
      <c r="D309" s="172">
        <v>27.8</v>
      </c>
      <c r="E309" s="98"/>
      <c r="F309" s="98"/>
      <c r="G309" s="98"/>
      <c r="H309" s="98"/>
      <c r="I309" s="98"/>
      <c r="J309" s="98"/>
      <c r="K309" s="98"/>
      <c r="L309" s="98"/>
      <c r="M309" s="98"/>
      <c r="N309" s="98"/>
      <c r="O309" s="98"/>
      <c r="P309" s="98"/>
      <c r="Q309" s="98"/>
      <c r="R309" s="98"/>
      <c r="S309" s="98"/>
    </row>
    <row r="310" spans="1:19" ht="18" customHeight="1">
      <c r="A310" s="172">
        <v>2009</v>
      </c>
      <c r="B310" s="172" t="s">
        <v>68</v>
      </c>
      <c r="C310" s="172" t="s">
        <v>2350</v>
      </c>
      <c r="D310" s="172">
        <v>29.7</v>
      </c>
      <c r="E310" s="98"/>
      <c r="F310" s="98"/>
      <c r="G310" s="98"/>
      <c r="H310" s="98"/>
      <c r="I310" s="98"/>
      <c r="J310" s="98"/>
      <c r="K310" s="98"/>
      <c r="L310" s="98"/>
      <c r="M310" s="98"/>
      <c r="N310" s="98"/>
      <c r="O310" s="98"/>
      <c r="P310" s="98"/>
      <c r="Q310" s="98"/>
      <c r="R310" s="98"/>
      <c r="S310" s="98"/>
    </row>
    <row r="311" spans="1:19" ht="18" customHeight="1">
      <c r="A311" s="172">
        <v>2009</v>
      </c>
      <c r="B311" s="172" t="s">
        <v>45</v>
      </c>
      <c r="C311" s="172" t="s">
        <v>2351</v>
      </c>
      <c r="D311" s="172">
        <v>7.9</v>
      </c>
      <c r="E311" s="98"/>
      <c r="F311" s="98"/>
      <c r="G311" s="98"/>
      <c r="H311" s="98"/>
      <c r="I311" s="98"/>
      <c r="J311" s="98"/>
      <c r="K311" s="98"/>
      <c r="L311" s="98"/>
      <c r="M311" s="98"/>
      <c r="N311" s="98"/>
      <c r="O311" s="98"/>
      <c r="P311" s="98"/>
      <c r="Q311" s="98"/>
      <c r="R311" s="98"/>
      <c r="S311" s="98"/>
    </row>
    <row r="312" spans="1:19" ht="18" customHeight="1">
      <c r="A312" s="172">
        <v>2009</v>
      </c>
      <c r="B312" s="172" t="s">
        <v>68</v>
      </c>
      <c r="C312" s="172" t="s">
        <v>2351</v>
      </c>
      <c r="D312" s="172">
        <v>9.3000000000000007</v>
      </c>
      <c r="E312" s="98"/>
      <c r="F312" s="98"/>
      <c r="G312" s="98"/>
      <c r="H312" s="98"/>
      <c r="I312" s="98"/>
      <c r="J312" s="98"/>
      <c r="K312" s="98"/>
      <c r="L312" s="98"/>
      <c r="M312" s="98"/>
      <c r="N312" s="98"/>
      <c r="O312" s="98"/>
      <c r="P312" s="98"/>
      <c r="Q312" s="98"/>
      <c r="R312" s="98"/>
      <c r="S312" s="98"/>
    </row>
    <row r="313" spans="1:19" ht="18" customHeight="1">
      <c r="A313" s="172">
        <v>2009</v>
      </c>
      <c r="B313" s="172" t="s">
        <v>45</v>
      </c>
      <c r="C313" s="172" t="s">
        <v>2352</v>
      </c>
      <c r="D313" s="172">
        <v>26.6</v>
      </c>
      <c r="E313" s="98"/>
      <c r="F313" s="98"/>
      <c r="G313" s="98"/>
      <c r="H313" s="98"/>
      <c r="I313" s="98"/>
      <c r="J313" s="98"/>
      <c r="K313" s="98"/>
      <c r="L313" s="98"/>
      <c r="M313" s="98"/>
      <c r="N313" s="98"/>
      <c r="O313" s="98"/>
      <c r="P313" s="98"/>
      <c r="Q313" s="98"/>
      <c r="R313" s="98"/>
      <c r="S313" s="98"/>
    </row>
    <row r="314" spans="1:19" ht="18" customHeight="1">
      <c r="A314" s="172">
        <v>2009</v>
      </c>
      <c r="B314" s="172" t="s">
        <v>68</v>
      </c>
      <c r="C314" s="172" t="s">
        <v>2352</v>
      </c>
      <c r="D314" s="172">
        <v>23.7</v>
      </c>
      <c r="E314" s="98"/>
      <c r="F314" s="98"/>
      <c r="G314" s="98"/>
      <c r="H314" s="98"/>
      <c r="I314" s="98"/>
      <c r="J314" s="98"/>
      <c r="K314" s="98"/>
      <c r="L314" s="98"/>
      <c r="M314" s="98"/>
      <c r="N314" s="98"/>
      <c r="O314" s="98"/>
      <c r="P314" s="98"/>
      <c r="Q314" s="98"/>
      <c r="R314" s="98"/>
      <c r="S314" s="98"/>
    </row>
    <row r="315" spans="1:19" ht="18" customHeight="1">
      <c r="A315" s="172">
        <v>2009</v>
      </c>
      <c r="B315" s="172" t="s">
        <v>45</v>
      </c>
      <c r="C315" s="172" t="s">
        <v>2307</v>
      </c>
      <c r="D315" s="172">
        <v>14.38</v>
      </c>
      <c r="E315" s="98"/>
      <c r="F315" s="98"/>
      <c r="G315" s="98"/>
      <c r="H315" s="98"/>
      <c r="I315" s="98"/>
      <c r="J315" s="98"/>
      <c r="K315" s="98"/>
      <c r="L315" s="98"/>
      <c r="M315" s="98"/>
      <c r="N315" s="98"/>
      <c r="O315" s="98"/>
      <c r="P315" s="98"/>
      <c r="Q315" s="98"/>
      <c r="R315" s="98"/>
      <c r="S315" s="98"/>
    </row>
    <row r="316" spans="1:19" ht="18" customHeight="1">
      <c r="A316" s="172">
        <v>2009</v>
      </c>
      <c r="B316" s="172" t="s">
        <v>68</v>
      </c>
      <c r="C316" s="172" t="s">
        <v>2307</v>
      </c>
      <c r="D316" s="172">
        <v>10.09</v>
      </c>
      <c r="E316" s="98"/>
      <c r="F316" s="98"/>
      <c r="G316" s="98"/>
      <c r="H316" s="98"/>
      <c r="I316" s="98"/>
      <c r="J316" s="98"/>
      <c r="K316" s="98"/>
      <c r="L316" s="98"/>
      <c r="M316" s="98"/>
      <c r="N316" s="98"/>
      <c r="O316" s="98"/>
      <c r="P316" s="98"/>
      <c r="Q316" s="98"/>
      <c r="R316" s="98"/>
      <c r="S316" s="98"/>
    </row>
    <row r="317" spans="1:19" ht="18" customHeight="1">
      <c r="A317" s="172">
        <v>2009</v>
      </c>
      <c r="B317" s="172" t="s">
        <v>45</v>
      </c>
      <c r="C317" s="172" t="s">
        <v>2311</v>
      </c>
      <c r="D317" s="172">
        <v>11.03</v>
      </c>
      <c r="E317" s="98"/>
      <c r="F317" s="98"/>
      <c r="G317" s="98"/>
      <c r="H317" s="98"/>
      <c r="I317" s="98"/>
      <c r="J317" s="98"/>
      <c r="K317" s="98"/>
      <c r="L317" s="98"/>
      <c r="M317" s="98"/>
      <c r="N317" s="98"/>
      <c r="O317" s="98"/>
      <c r="P317" s="98"/>
      <c r="Q317" s="98"/>
      <c r="R317" s="98"/>
      <c r="S317" s="98"/>
    </row>
    <row r="318" spans="1:19" ht="18" customHeight="1">
      <c r="A318" s="172">
        <v>2009</v>
      </c>
      <c r="B318" s="172" t="s">
        <v>68</v>
      </c>
      <c r="C318" s="172" t="s">
        <v>2311</v>
      </c>
      <c r="D318" s="172">
        <v>13.48</v>
      </c>
      <c r="E318" s="98"/>
      <c r="F318" s="98"/>
      <c r="G318" s="98"/>
      <c r="H318" s="98"/>
      <c r="I318" s="98"/>
      <c r="J318" s="98"/>
      <c r="K318" s="98"/>
      <c r="L318" s="98"/>
      <c r="M318" s="98"/>
      <c r="N318" s="98"/>
      <c r="O318" s="98"/>
      <c r="P318" s="98"/>
      <c r="Q318" s="98"/>
      <c r="R318" s="98"/>
      <c r="S318" s="98"/>
    </row>
    <row r="319" spans="1:19" ht="18" customHeight="1">
      <c r="A319" s="172">
        <v>2009</v>
      </c>
      <c r="B319" s="172" t="s">
        <v>45</v>
      </c>
      <c r="C319" s="172" t="s">
        <v>2302</v>
      </c>
      <c r="D319" s="172">
        <v>33.9</v>
      </c>
      <c r="E319" s="98"/>
      <c r="F319" s="98"/>
      <c r="G319" s="98"/>
      <c r="H319" s="98"/>
      <c r="I319" s="98"/>
      <c r="J319" s="98"/>
      <c r="K319" s="98"/>
      <c r="L319" s="98"/>
      <c r="M319" s="98"/>
      <c r="N319" s="98"/>
      <c r="O319" s="98"/>
      <c r="P319" s="98"/>
      <c r="Q319" s="98"/>
      <c r="R319" s="98"/>
      <c r="S319" s="98"/>
    </row>
    <row r="320" spans="1:19" ht="18" customHeight="1">
      <c r="A320" s="172">
        <v>2009</v>
      </c>
      <c r="B320" s="172" t="s">
        <v>68</v>
      </c>
      <c r="C320" s="172" t="s">
        <v>2302</v>
      </c>
      <c r="D320" s="172">
        <v>35.380000000000003</v>
      </c>
      <c r="E320" s="98"/>
      <c r="F320" s="98"/>
      <c r="G320" s="98"/>
      <c r="H320" s="98"/>
      <c r="I320" s="98"/>
      <c r="J320" s="98"/>
      <c r="K320" s="98"/>
      <c r="L320" s="98"/>
      <c r="M320" s="98"/>
      <c r="N320" s="98"/>
      <c r="O320" s="98"/>
      <c r="P320" s="98"/>
      <c r="Q320" s="98"/>
      <c r="R320" s="98"/>
      <c r="S320" s="98"/>
    </row>
    <row r="321" spans="1:19" ht="18" customHeight="1">
      <c r="A321" s="172">
        <v>2009</v>
      </c>
      <c r="B321" s="172" t="s">
        <v>45</v>
      </c>
      <c r="C321" s="172" t="s">
        <v>2315</v>
      </c>
      <c r="D321" s="172">
        <v>23.15</v>
      </c>
      <c r="E321" s="98"/>
      <c r="F321" s="98"/>
      <c r="G321" s="98"/>
      <c r="H321" s="98"/>
      <c r="I321" s="98"/>
      <c r="J321" s="98"/>
      <c r="K321" s="98"/>
      <c r="L321" s="98"/>
      <c r="M321" s="98"/>
      <c r="N321" s="98"/>
      <c r="O321" s="98"/>
      <c r="P321" s="98"/>
      <c r="Q321" s="98"/>
      <c r="R321" s="98"/>
      <c r="S321" s="98"/>
    </row>
    <row r="322" spans="1:19" ht="18" customHeight="1">
      <c r="A322" s="172">
        <v>2009</v>
      </c>
      <c r="B322" s="172" t="s">
        <v>68</v>
      </c>
      <c r="C322" s="172" t="s">
        <v>2315</v>
      </c>
      <c r="D322" s="172">
        <v>23.96</v>
      </c>
      <c r="E322" s="98"/>
      <c r="F322" s="98"/>
      <c r="G322" s="98"/>
      <c r="H322" s="98"/>
      <c r="I322" s="98"/>
      <c r="J322" s="98"/>
      <c r="K322" s="98"/>
      <c r="L322" s="98"/>
      <c r="M322" s="98"/>
      <c r="N322" s="98"/>
      <c r="O322" s="98"/>
      <c r="P322" s="98"/>
      <c r="Q322" s="98"/>
      <c r="R322" s="98"/>
      <c r="S322" s="98"/>
    </row>
    <row r="323" spans="1:19" ht="18" customHeight="1">
      <c r="A323" s="172">
        <v>2008</v>
      </c>
      <c r="B323" s="172" t="s">
        <v>45</v>
      </c>
      <c r="C323" s="172" t="s">
        <v>2348</v>
      </c>
      <c r="D323" s="172" t="s">
        <v>505</v>
      </c>
      <c r="E323" s="98"/>
      <c r="F323" s="98"/>
      <c r="G323" s="98"/>
      <c r="H323" s="98"/>
      <c r="I323" s="98"/>
      <c r="J323" s="98"/>
      <c r="K323" s="98"/>
      <c r="L323" s="98"/>
      <c r="M323" s="98"/>
      <c r="N323" s="98"/>
      <c r="O323" s="98"/>
      <c r="P323" s="98"/>
      <c r="Q323" s="98"/>
      <c r="R323" s="98"/>
      <c r="S323" s="98"/>
    </row>
    <row r="324" spans="1:19" ht="18" customHeight="1">
      <c r="A324" s="172">
        <v>2008</v>
      </c>
      <c r="B324" s="172" t="s">
        <v>68</v>
      </c>
      <c r="C324" s="172" t="s">
        <v>2348</v>
      </c>
      <c r="D324" s="172" t="s">
        <v>505</v>
      </c>
      <c r="E324" s="98"/>
      <c r="F324" s="98"/>
      <c r="G324" s="98"/>
      <c r="H324" s="98"/>
      <c r="I324" s="98"/>
      <c r="J324" s="98"/>
      <c r="K324" s="98"/>
      <c r="L324" s="98"/>
      <c r="M324" s="98"/>
      <c r="N324" s="98"/>
      <c r="O324" s="98"/>
      <c r="P324" s="98"/>
      <c r="Q324" s="98"/>
      <c r="R324" s="98"/>
      <c r="S324" s="98"/>
    </row>
    <row r="325" spans="1:19" ht="18" customHeight="1">
      <c r="A325" s="172">
        <v>2008</v>
      </c>
      <c r="B325" s="172" t="s">
        <v>45</v>
      </c>
      <c r="C325" s="172" t="s">
        <v>2349</v>
      </c>
      <c r="D325" s="172">
        <v>14.9</v>
      </c>
      <c r="E325" s="98"/>
      <c r="F325" s="98"/>
      <c r="G325" s="98"/>
      <c r="H325" s="98"/>
      <c r="I325" s="98"/>
      <c r="J325" s="98"/>
      <c r="K325" s="98"/>
      <c r="L325" s="98"/>
      <c r="M325" s="98"/>
      <c r="N325" s="98"/>
      <c r="O325" s="98"/>
      <c r="P325" s="98"/>
      <c r="Q325" s="98"/>
      <c r="R325" s="98"/>
      <c r="S325" s="98"/>
    </row>
    <row r="326" spans="1:19" ht="18" customHeight="1">
      <c r="A326" s="172">
        <v>2008</v>
      </c>
      <c r="B326" s="172" t="s">
        <v>68</v>
      </c>
      <c r="C326" s="172" t="s">
        <v>2349</v>
      </c>
      <c r="D326" s="172">
        <v>10.5</v>
      </c>
      <c r="E326" s="98"/>
      <c r="F326" s="98"/>
      <c r="G326" s="98"/>
      <c r="H326" s="98"/>
      <c r="I326" s="98"/>
      <c r="J326" s="98"/>
      <c r="K326" s="98"/>
      <c r="L326" s="98"/>
      <c r="M326" s="98"/>
      <c r="N326" s="98"/>
      <c r="O326" s="98"/>
      <c r="P326" s="98"/>
      <c r="Q326" s="98"/>
      <c r="R326" s="98"/>
      <c r="S326" s="98"/>
    </row>
    <row r="327" spans="1:19" ht="18" customHeight="1">
      <c r="A327" s="172">
        <v>2008</v>
      </c>
      <c r="B327" s="172" t="s">
        <v>45</v>
      </c>
      <c r="C327" s="172" t="s">
        <v>1787</v>
      </c>
      <c r="D327" s="172">
        <v>113.7</v>
      </c>
      <c r="E327" s="98"/>
      <c r="F327" s="98"/>
      <c r="G327" s="98"/>
      <c r="H327" s="98"/>
      <c r="I327" s="98"/>
      <c r="J327" s="98"/>
      <c r="K327" s="98"/>
      <c r="L327" s="98"/>
      <c r="M327" s="98"/>
      <c r="N327" s="98"/>
      <c r="O327" s="98"/>
      <c r="P327" s="98"/>
      <c r="Q327" s="98"/>
      <c r="R327" s="98"/>
      <c r="S327" s="98"/>
    </row>
    <row r="328" spans="1:19" ht="18" customHeight="1">
      <c r="A328" s="172">
        <v>2008</v>
      </c>
      <c r="B328" s="172" t="s">
        <v>68</v>
      </c>
      <c r="C328" s="172" t="s">
        <v>1787</v>
      </c>
      <c r="D328" s="172">
        <v>113.2</v>
      </c>
      <c r="E328" s="98"/>
      <c r="F328" s="98"/>
      <c r="G328" s="98"/>
      <c r="H328" s="98"/>
      <c r="I328" s="98"/>
      <c r="J328" s="98"/>
      <c r="K328" s="98"/>
      <c r="L328" s="98"/>
      <c r="M328" s="98"/>
      <c r="N328" s="98"/>
      <c r="O328" s="98"/>
      <c r="P328" s="98"/>
      <c r="Q328" s="98"/>
      <c r="R328" s="98"/>
      <c r="S328" s="98"/>
    </row>
    <row r="329" spans="1:19" ht="18" customHeight="1">
      <c r="A329" s="172">
        <v>2008</v>
      </c>
      <c r="B329" s="172" t="s">
        <v>45</v>
      </c>
      <c r="C329" s="172" t="s">
        <v>2350</v>
      </c>
      <c r="D329" s="172">
        <v>30.3</v>
      </c>
      <c r="E329" s="98"/>
      <c r="F329" s="98"/>
      <c r="G329" s="98"/>
      <c r="H329" s="98"/>
      <c r="I329" s="98"/>
      <c r="J329" s="98"/>
      <c r="K329" s="98"/>
      <c r="L329" s="98"/>
      <c r="M329" s="98"/>
      <c r="N329" s="98"/>
      <c r="O329" s="98"/>
      <c r="P329" s="98"/>
      <c r="Q329" s="98"/>
      <c r="R329" s="98"/>
      <c r="S329" s="98"/>
    </row>
    <row r="330" spans="1:19" ht="18" customHeight="1">
      <c r="A330" s="172">
        <v>2008</v>
      </c>
      <c r="B330" s="172" t="s">
        <v>68</v>
      </c>
      <c r="C330" s="172" t="s">
        <v>2350</v>
      </c>
      <c r="D330" s="172">
        <v>25.3</v>
      </c>
      <c r="E330" s="98"/>
      <c r="F330" s="98"/>
      <c r="G330" s="98"/>
      <c r="H330" s="98"/>
      <c r="I330" s="98"/>
      <c r="J330" s="98"/>
      <c r="K330" s="98"/>
      <c r="L330" s="98"/>
      <c r="M330" s="98"/>
      <c r="N330" s="98"/>
      <c r="O330" s="98"/>
      <c r="P330" s="98"/>
      <c r="Q330" s="98"/>
      <c r="R330" s="98"/>
      <c r="S330" s="98"/>
    </row>
    <row r="331" spans="1:19" ht="18" customHeight="1">
      <c r="A331" s="172">
        <v>2008</v>
      </c>
      <c r="B331" s="172" t="s">
        <v>45</v>
      </c>
      <c r="C331" s="172" t="s">
        <v>2351</v>
      </c>
      <c r="D331" s="172">
        <v>8.3000000000000007</v>
      </c>
      <c r="E331" s="98"/>
      <c r="F331" s="98"/>
      <c r="G331" s="98"/>
      <c r="H331" s="98"/>
      <c r="I331" s="98"/>
      <c r="J331" s="98"/>
      <c r="K331" s="98"/>
      <c r="L331" s="98"/>
      <c r="M331" s="98"/>
      <c r="N331" s="98"/>
      <c r="O331" s="98"/>
      <c r="P331" s="98"/>
      <c r="Q331" s="98"/>
      <c r="R331" s="98"/>
      <c r="S331" s="98"/>
    </row>
    <row r="332" spans="1:19" ht="18" customHeight="1">
      <c r="A332" s="172">
        <v>2008</v>
      </c>
      <c r="B332" s="172" t="s">
        <v>68</v>
      </c>
      <c r="C332" s="172" t="s">
        <v>2351</v>
      </c>
      <c r="D332" s="172">
        <v>8.6</v>
      </c>
      <c r="E332" s="98"/>
      <c r="F332" s="98"/>
      <c r="G332" s="98"/>
      <c r="H332" s="98"/>
      <c r="I332" s="98"/>
      <c r="J332" s="98"/>
      <c r="K332" s="98"/>
      <c r="L332" s="98"/>
      <c r="M332" s="98"/>
      <c r="N332" s="98"/>
      <c r="O332" s="98"/>
      <c r="P332" s="98"/>
      <c r="Q332" s="98"/>
      <c r="R332" s="98"/>
      <c r="S332" s="98"/>
    </row>
    <row r="333" spans="1:19" ht="18" customHeight="1">
      <c r="A333" s="172">
        <v>2008</v>
      </c>
      <c r="B333" s="172" t="s">
        <v>45</v>
      </c>
      <c r="C333" s="172" t="s">
        <v>2352</v>
      </c>
      <c r="D333" s="172">
        <v>27.7</v>
      </c>
      <c r="E333" s="98"/>
      <c r="F333" s="98"/>
      <c r="G333" s="98"/>
      <c r="H333" s="98"/>
      <c r="I333" s="98"/>
      <c r="J333" s="98"/>
      <c r="K333" s="98"/>
      <c r="L333" s="98"/>
      <c r="M333" s="98"/>
      <c r="N333" s="98"/>
      <c r="O333" s="98"/>
      <c r="P333" s="98"/>
      <c r="Q333" s="98"/>
      <c r="R333" s="98"/>
      <c r="S333" s="98"/>
    </row>
    <row r="334" spans="1:19" ht="18" customHeight="1">
      <c r="A334" s="172">
        <v>2008</v>
      </c>
      <c r="B334" s="172" t="s">
        <v>68</v>
      </c>
      <c r="C334" s="172" t="s">
        <v>2352</v>
      </c>
      <c r="D334" s="172">
        <v>24.6</v>
      </c>
      <c r="E334" s="98"/>
      <c r="F334" s="98"/>
      <c r="G334" s="98"/>
      <c r="H334" s="98"/>
      <c r="I334" s="98"/>
      <c r="J334" s="98"/>
      <c r="K334" s="98"/>
      <c r="L334" s="98"/>
      <c r="M334" s="98"/>
      <c r="N334" s="98"/>
      <c r="O334" s="98"/>
      <c r="P334" s="98"/>
      <c r="Q334" s="98"/>
      <c r="R334" s="98"/>
      <c r="S334" s="98"/>
    </row>
    <row r="335" spans="1:19" ht="18" customHeight="1">
      <c r="A335" s="172">
        <v>2008</v>
      </c>
      <c r="B335" s="172" t="s">
        <v>45</v>
      </c>
      <c r="C335" s="172" t="s">
        <v>2307</v>
      </c>
      <c r="D335" s="172">
        <v>13.52</v>
      </c>
      <c r="E335" s="98"/>
      <c r="F335" s="98"/>
      <c r="G335" s="98"/>
      <c r="H335" s="98"/>
      <c r="I335" s="98"/>
      <c r="J335" s="98"/>
      <c r="K335" s="98"/>
      <c r="L335" s="98"/>
      <c r="M335" s="98"/>
      <c r="N335" s="98"/>
      <c r="O335" s="98"/>
      <c r="P335" s="98"/>
      <c r="Q335" s="98"/>
      <c r="R335" s="98"/>
      <c r="S335" s="98"/>
    </row>
    <row r="336" spans="1:19" ht="18" customHeight="1">
      <c r="A336" s="172">
        <v>2008</v>
      </c>
      <c r="B336" s="172" t="s">
        <v>68</v>
      </c>
      <c r="C336" s="172" t="s">
        <v>2307</v>
      </c>
      <c r="D336" s="172">
        <v>10.81</v>
      </c>
      <c r="E336" s="98"/>
      <c r="F336" s="98"/>
      <c r="G336" s="98"/>
      <c r="H336" s="98"/>
      <c r="I336" s="98"/>
      <c r="J336" s="98"/>
      <c r="K336" s="98"/>
      <c r="L336" s="98"/>
      <c r="M336" s="98"/>
      <c r="N336" s="98"/>
      <c r="O336" s="98"/>
      <c r="P336" s="98"/>
      <c r="Q336" s="98"/>
      <c r="R336" s="98"/>
      <c r="S336" s="98"/>
    </row>
    <row r="337" spans="1:19" ht="18" customHeight="1">
      <c r="A337" s="172">
        <v>2008</v>
      </c>
      <c r="B337" s="172" t="s">
        <v>45</v>
      </c>
      <c r="C337" s="172" t="s">
        <v>2311</v>
      </c>
      <c r="D337" s="172">
        <v>9.2799999999999994</v>
      </c>
      <c r="E337" s="98"/>
      <c r="F337" s="98"/>
      <c r="G337" s="98"/>
      <c r="H337" s="98"/>
      <c r="I337" s="98"/>
      <c r="J337" s="98"/>
      <c r="K337" s="98"/>
      <c r="L337" s="98"/>
      <c r="M337" s="98"/>
      <c r="N337" s="98"/>
      <c r="O337" s="98"/>
      <c r="P337" s="98"/>
      <c r="Q337" s="98"/>
      <c r="R337" s="98"/>
      <c r="S337" s="98"/>
    </row>
    <row r="338" spans="1:19" ht="18" customHeight="1">
      <c r="A338" s="172">
        <v>2008</v>
      </c>
      <c r="B338" s="172" t="s">
        <v>68</v>
      </c>
      <c r="C338" s="172" t="s">
        <v>2311</v>
      </c>
      <c r="D338" s="172">
        <v>13.51</v>
      </c>
      <c r="E338" s="98"/>
      <c r="F338" s="98"/>
      <c r="G338" s="98"/>
      <c r="H338" s="98"/>
      <c r="I338" s="98"/>
      <c r="J338" s="98"/>
      <c r="K338" s="98"/>
      <c r="L338" s="98"/>
      <c r="M338" s="98"/>
      <c r="N338" s="98"/>
      <c r="O338" s="98"/>
      <c r="P338" s="98"/>
      <c r="Q338" s="98"/>
      <c r="R338" s="98"/>
      <c r="S338" s="98"/>
    </row>
    <row r="339" spans="1:19" ht="18" customHeight="1">
      <c r="A339" s="172">
        <v>2008</v>
      </c>
      <c r="B339" s="172" t="s">
        <v>45</v>
      </c>
      <c r="C339" s="172" t="s">
        <v>2302</v>
      </c>
      <c r="D339" s="172">
        <v>28.98</v>
      </c>
      <c r="E339" s="98"/>
      <c r="F339" s="98"/>
      <c r="G339" s="98"/>
      <c r="H339" s="98"/>
      <c r="I339" s="98"/>
      <c r="J339" s="98"/>
      <c r="K339" s="98"/>
      <c r="L339" s="98"/>
      <c r="M339" s="98"/>
      <c r="N339" s="98"/>
      <c r="O339" s="98"/>
      <c r="P339" s="98"/>
      <c r="Q339" s="98"/>
      <c r="R339" s="98"/>
      <c r="S339" s="98"/>
    </row>
    <row r="340" spans="1:19" ht="18" customHeight="1">
      <c r="A340" s="172">
        <v>2008</v>
      </c>
      <c r="B340" s="172" t="s">
        <v>68</v>
      </c>
      <c r="C340" s="172" t="s">
        <v>2302</v>
      </c>
      <c r="D340" s="172">
        <v>33.35</v>
      </c>
      <c r="E340" s="98"/>
      <c r="F340" s="98"/>
      <c r="G340" s="98"/>
      <c r="H340" s="98"/>
      <c r="I340" s="98"/>
      <c r="J340" s="98"/>
      <c r="K340" s="98"/>
      <c r="L340" s="98"/>
      <c r="M340" s="98"/>
      <c r="N340" s="98"/>
      <c r="O340" s="98"/>
      <c r="P340" s="98"/>
      <c r="Q340" s="98"/>
      <c r="R340" s="98"/>
      <c r="S340" s="98"/>
    </row>
    <row r="341" spans="1:19" ht="18" customHeight="1">
      <c r="A341" s="172">
        <v>2008</v>
      </c>
      <c r="B341" s="172" t="s">
        <v>45</v>
      </c>
      <c r="C341" s="172" t="s">
        <v>2315</v>
      </c>
      <c r="D341" s="172">
        <v>22.41</v>
      </c>
      <c r="E341" s="98"/>
      <c r="F341" s="98"/>
      <c r="G341" s="98"/>
      <c r="H341" s="98"/>
      <c r="I341" s="98"/>
      <c r="J341" s="98"/>
      <c r="K341" s="98"/>
      <c r="L341" s="98"/>
      <c r="M341" s="98"/>
      <c r="N341" s="98"/>
      <c r="O341" s="98"/>
      <c r="P341" s="98"/>
      <c r="Q341" s="98"/>
      <c r="R341" s="98"/>
      <c r="S341" s="98"/>
    </row>
    <row r="342" spans="1:19" ht="18" customHeight="1">
      <c r="A342" s="172">
        <v>2008</v>
      </c>
      <c r="B342" s="172" t="s">
        <v>68</v>
      </c>
      <c r="C342" s="172" t="s">
        <v>2315</v>
      </c>
      <c r="D342" s="172">
        <v>23.06</v>
      </c>
      <c r="E342" s="98"/>
      <c r="F342" s="98"/>
      <c r="G342" s="98"/>
      <c r="H342" s="98"/>
      <c r="I342" s="98"/>
      <c r="J342" s="98"/>
      <c r="K342" s="98"/>
      <c r="L342" s="98"/>
      <c r="M342" s="98"/>
      <c r="N342" s="98"/>
      <c r="O342" s="98"/>
      <c r="P342" s="98"/>
      <c r="Q342" s="98"/>
      <c r="R342" s="98"/>
      <c r="S342" s="98"/>
    </row>
    <row r="343" spans="1:19" ht="18" customHeight="1">
      <c r="A343" s="172">
        <v>2007</v>
      </c>
      <c r="B343" s="172" t="s">
        <v>45</v>
      </c>
      <c r="C343" s="172" t="s">
        <v>2348</v>
      </c>
      <c r="D343" s="172" t="s">
        <v>505</v>
      </c>
      <c r="E343" s="98"/>
      <c r="F343" s="98"/>
      <c r="G343" s="98"/>
      <c r="H343" s="98"/>
      <c r="I343" s="98"/>
      <c r="J343" s="98"/>
      <c r="K343" s="98"/>
      <c r="L343" s="98"/>
      <c r="M343" s="98"/>
      <c r="N343" s="98"/>
      <c r="O343" s="98"/>
      <c r="P343" s="98"/>
      <c r="Q343" s="98"/>
      <c r="R343" s="98"/>
      <c r="S343" s="98"/>
    </row>
    <row r="344" spans="1:19" ht="18" customHeight="1">
      <c r="A344" s="172">
        <v>2007</v>
      </c>
      <c r="B344" s="172" t="s">
        <v>68</v>
      </c>
      <c r="C344" s="172" t="s">
        <v>2348</v>
      </c>
      <c r="D344" s="172" t="s">
        <v>505</v>
      </c>
      <c r="E344" s="98"/>
      <c r="F344" s="98"/>
      <c r="G344" s="98"/>
      <c r="H344" s="98"/>
      <c r="I344" s="98"/>
      <c r="J344" s="98"/>
      <c r="K344" s="98"/>
      <c r="L344" s="98"/>
      <c r="M344" s="98"/>
      <c r="N344" s="98"/>
      <c r="O344" s="98"/>
      <c r="P344" s="98"/>
      <c r="Q344" s="98"/>
      <c r="R344" s="98"/>
      <c r="S344" s="98"/>
    </row>
    <row r="345" spans="1:19" ht="18" customHeight="1">
      <c r="A345" s="172">
        <v>2007</v>
      </c>
      <c r="B345" s="172" t="s">
        <v>45</v>
      </c>
      <c r="C345" s="172" t="s">
        <v>2349</v>
      </c>
      <c r="D345" s="172">
        <v>18.8</v>
      </c>
      <c r="E345" s="98"/>
      <c r="F345" s="98"/>
      <c r="G345" s="98"/>
      <c r="H345" s="98"/>
      <c r="I345" s="98"/>
      <c r="J345" s="98"/>
      <c r="K345" s="98"/>
      <c r="L345" s="98"/>
      <c r="M345" s="98"/>
      <c r="N345" s="98"/>
      <c r="O345" s="98"/>
      <c r="P345" s="98"/>
      <c r="Q345" s="98"/>
      <c r="R345" s="98"/>
      <c r="S345" s="98"/>
    </row>
    <row r="346" spans="1:19" ht="18" customHeight="1">
      <c r="A346" s="172">
        <v>2007</v>
      </c>
      <c r="B346" s="172" t="s">
        <v>68</v>
      </c>
      <c r="C346" s="172" t="s">
        <v>2349</v>
      </c>
      <c r="D346" s="172">
        <v>11</v>
      </c>
      <c r="E346" s="98"/>
      <c r="F346" s="98"/>
      <c r="G346" s="98"/>
      <c r="H346" s="98"/>
      <c r="I346" s="98"/>
      <c r="J346" s="98"/>
      <c r="K346" s="98"/>
      <c r="L346" s="98"/>
      <c r="M346" s="98"/>
      <c r="N346" s="98"/>
      <c r="O346" s="98"/>
      <c r="P346" s="98"/>
      <c r="Q346" s="98"/>
      <c r="R346" s="98"/>
      <c r="S346" s="98"/>
    </row>
    <row r="347" spans="1:19" ht="18" customHeight="1">
      <c r="A347" s="172">
        <v>2007</v>
      </c>
      <c r="B347" s="172" t="s">
        <v>45</v>
      </c>
      <c r="C347" s="172" t="s">
        <v>1787</v>
      </c>
      <c r="D347" s="172">
        <v>110.1</v>
      </c>
      <c r="E347" s="98"/>
      <c r="F347" s="98"/>
      <c r="G347" s="98"/>
      <c r="H347" s="98"/>
      <c r="I347" s="98"/>
      <c r="J347" s="98"/>
      <c r="K347" s="98"/>
      <c r="L347" s="98"/>
      <c r="M347" s="98"/>
      <c r="N347" s="98"/>
      <c r="O347" s="98"/>
      <c r="P347" s="98"/>
      <c r="Q347" s="98"/>
      <c r="R347" s="98"/>
      <c r="S347" s="98"/>
    </row>
    <row r="348" spans="1:19" ht="18" customHeight="1">
      <c r="A348" s="172">
        <v>2007</v>
      </c>
      <c r="B348" s="172" t="s">
        <v>68</v>
      </c>
      <c r="C348" s="172" t="s">
        <v>1787</v>
      </c>
      <c r="D348" s="172">
        <v>109.9</v>
      </c>
      <c r="E348" s="98"/>
      <c r="F348" s="98"/>
      <c r="G348" s="98"/>
      <c r="H348" s="98"/>
      <c r="I348" s="98"/>
      <c r="J348" s="98"/>
      <c r="K348" s="98"/>
      <c r="L348" s="98"/>
      <c r="M348" s="98"/>
      <c r="N348" s="98"/>
      <c r="O348" s="98"/>
      <c r="P348" s="98"/>
      <c r="Q348" s="98"/>
      <c r="R348" s="98"/>
      <c r="S348" s="98"/>
    </row>
    <row r="349" spans="1:19" ht="18" customHeight="1">
      <c r="A349" s="172">
        <v>2007</v>
      </c>
      <c r="B349" s="172" t="s">
        <v>45</v>
      </c>
      <c r="C349" s="172" t="s">
        <v>2350</v>
      </c>
      <c r="D349" s="172">
        <v>33.4</v>
      </c>
      <c r="E349" s="98"/>
      <c r="F349" s="98"/>
      <c r="G349" s="98"/>
      <c r="H349" s="98"/>
      <c r="I349" s="98"/>
      <c r="J349" s="98"/>
      <c r="K349" s="98"/>
      <c r="L349" s="98"/>
      <c r="M349" s="98"/>
      <c r="N349" s="98"/>
      <c r="O349" s="98"/>
      <c r="P349" s="98"/>
      <c r="Q349" s="98"/>
      <c r="R349" s="98"/>
      <c r="S349" s="98"/>
    </row>
    <row r="350" spans="1:19" ht="18" customHeight="1">
      <c r="A350" s="172">
        <v>2007</v>
      </c>
      <c r="B350" s="172" t="s">
        <v>68</v>
      </c>
      <c r="C350" s="172" t="s">
        <v>2350</v>
      </c>
      <c r="D350" s="172">
        <v>22.1</v>
      </c>
      <c r="E350" s="98"/>
      <c r="F350" s="98"/>
      <c r="G350" s="98"/>
      <c r="H350" s="98"/>
      <c r="I350" s="98"/>
      <c r="J350" s="98"/>
      <c r="K350" s="98"/>
      <c r="L350" s="98"/>
      <c r="M350" s="98"/>
      <c r="N350" s="98"/>
      <c r="O350" s="98"/>
      <c r="P350" s="98"/>
      <c r="Q350" s="98"/>
      <c r="R350" s="98"/>
      <c r="S350" s="98"/>
    </row>
    <row r="351" spans="1:19" ht="18" customHeight="1">
      <c r="A351" s="172">
        <v>2007</v>
      </c>
      <c r="B351" s="172" t="s">
        <v>45</v>
      </c>
      <c r="C351" s="172" t="s">
        <v>2351</v>
      </c>
      <c r="D351" s="172">
        <v>7.8</v>
      </c>
      <c r="E351" s="98"/>
      <c r="F351" s="98"/>
      <c r="G351" s="98"/>
      <c r="H351" s="98"/>
      <c r="I351" s="98"/>
      <c r="J351" s="98"/>
      <c r="K351" s="98"/>
      <c r="L351" s="98"/>
      <c r="M351" s="98"/>
      <c r="N351" s="98"/>
      <c r="O351" s="98"/>
      <c r="P351" s="98"/>
      <c r="Q351" s="98"/>
      <c r="R351" s="98"/>
      <c r="S351" s="98"/>
    </row>
    <row r="352" spans="1:19" ht="18" customHeight="1">
      <c r="A352" s="172">
        <v>2007</v>
      </c>
      <c r="B352" s="172" t="s">
        <v>68</v>
      </c>
      <c r="C352" s="172" t="s">
        <v>2351</v>
      </c>
      <c r="D352" s="172">
        <v>8.6999999999999993</v>
      </c>
      <c r="E352" s="98"/>
      <c r="F352" s="98"/>
      <c r="G352" s="98"/>
      <c r="H352" s="98"/>
      <c r="I352" s="98"/>
      <c r="J352" s="98"/>
      <c r="K352" s="98"/>
      <c r="L352" s="98"/>
      <c r="M352" s="98"/>
      <c r="N352" s="98"/>
      <c r="O352" s="98"/>
      <c r="P352" s="98"/>
      <c r="Q352" s="98"/>
      <c r="R352" s="98"/>
      <c r="S352" s="98"/>
    </row>
    <row r="353" spans="1:19" ht="18" customHeight="1">
      <c r="A353" s="172">
        <v>2007</v>
      </c>
      <c r="B353" s="172" t="s">
        <v>45</v>
      </c>
      <c r="C353" s="172" t="s">
        <v>2352</v>
      </c>
      <c r="D353" s="172">
        <v>27.4</v>
      </c>
      <c r="E353" s="98"/>
      <c r="F353" s="98"/>
      <c r="G353" s="98"/>
      <c r="H353" s="98"/>
      <c r="I353" s="98"/>
      <c r="J353" s="98"/>
      <c r="K353" s="98"/>
      <c r="L353" s="98"/>
      <c r="M353" s="98"/>
      <c r="N353" s="98"/>
      <c r="O353" s="98"/>
      <c r="P353" s="98"/>
      <c r="Q353" s="98"/>
      <c r="R353" s="98"/>
      <c r="S353" s="98"/>
    </row>
    <row r="354" spans="1:19" ht="18" customHeight="1">
      <c r="A354" s="172">
        <v>2007</v>
      </c>
      <c r="B354" s="172" t="s">
        <v>68</v>
      </c>
      <c r="C354" s="172" t="s">
        <v>2352</v>
      </c>
      <c r="D354" s="172">
        <v>24.3</v>
      </c>
      <c r="E354" s="98"/>
      <c r="F354" s="98"/>
      <c r="G354" s="98"/>
      <c r="H354" s="98"/>
      <c r="I354" s="98"/>
      <c r="J354" s="98"/>
      <c r="K354" s="98"/>
      <c r="L354" s="98"/>
      <c r="M354" s="98"/>
      <c r="N354" s="98"/>
      <c r="O354" s="98"/>
      <c r="P354" s="98"/>
      <c r="Q354" s="98"/>
      <c r="R354" s="98"/>
      <c r="S354" s="98"/>
    </row>
    <row r="355" spans="1:19" ht="18" customHeight="1">
      <c r="A355" s="172">
        <v>2007</v>
      </c>
      <c r="B355" s="172" t="s">
        <v>45</v>
      </c>
      <c r="C355" s="172" t="s">
        <v>2307</v>
      </c>
      <c r="D355" s="172">
        <v>13.43</v>
      </c>
      <c r="E355" s="98"/>
      <c r="F355" s="98"/>
      <c r="G355" s="98"/>
      <c r="H355" s="98"/>
      <c r="I355" s="98"/>
      <c r="J355" s="172"/>
      <c r="K355" s="172"/>
      <c r="L355" s="98"/>
      <c r="M355" s="98"/>
      <c r="N355" s="98"/>
      <c r="O355" s="98"/>
      <c r="P355" s="98"/>
      <c r="Q355" s="98"/>
      <c r="R355" s="98"/>
      <c r="S355" s="98"/>
    </row>
    <row r="356" spans="1:19" ht="18" customHeight="1">
      <c r="A356" s="172">
        <v>2007</v>
      </c>
      <c r="B356" s="172" t="s">
        <v>68</v>
      </c>
      <c r="C356" s="172" t="s">
        <v>2307</v>
      </c>
      <c r="D356" s="172">
        <v>11.27</v>
      </c>
      <c r="E356" s="98"/>
      <c r="F356" s="98"/>
      <c r="G356" s="98"/>
      <c r="H356" s="98"/>
      <c r="I356" s="98"/>
      <c r="J356" s="172"/>
      <c r="K356" s="172"/>
      <c r="L356" s="98"/>
      <c r="M356" s="98"/>
      <c r="N356" s="98"/>
      <c r="O356" s="98"/>
      <c r="P356" s="98"/>
      <c r="Q356" s="98"/>
      <c r="R356" s="98"/>
      <c r="S356" s="98"/>
    </row>
    <row r="357" spans="1:19" ht="18" customHeight="1">
      <c r="A357" s="172">
        <v>2007</v>
      </c>
      <c r="B357" s="172" t="s">
        <v>45</v>
      </c>
      <c r="C357" s="172" t="s">
        <v>2311</v>
      </c>
      <c r="D357" s="172">
        <v>9.66</v>
      </c>
      <c r="E357" s="98"/>
      <c r="F357" s="98"/>
      <c r="G357" s="98"/>
      <c r="H357" s="98"/>
      <c r="I357" s="98"/>
      <c r="J357" s="98"/>
      <c r="K357" s="98"/>
      <c r="L357" s="98"/>
      <c r="M357" s="98"/>
      <c r="N357" s="98"/>
      <c r="O357" s="98"/>
      <c r="P357" s="98"/>
      <c r="Q357" s="98"/>
      <c r="R357" s="98"/>
      <c r="S357" s="98"/>
    </row>
    <row r="358" spans="1:19" ht="18" customHeight="1">
      <c r="A358" s="172">
        <v>2007</v>
      </c>
      <c r="B358" s="172" t="s">
        <v>68</v>
      </c>
      <c r="C358" s="172" t="s">
        <v>2311</v>
      </c>
      <c r="D358" s="172">
        <v>13.24</v>
      </c>
      <c r="E358" s="98"/>
      <c r="F358" s="98"/>
      <c r="G358" s="98"/>
      <c r="H358" s="98"/>
      <c r="I358" s="98"/>
      <c r="J358" s="98"/>
      <c r="K358" s="98"/>
      <c r="L358" s="98"/>
      <c r="M358" s="98"/>
      <c r="N358" s="98"/>
      <c r="O358" s="98"/>
      <c r="P358" s="98"/>
      <c r="Q358" s="98"/>
      <c r="R358" s="98"/>
      <c r="S358" s="98"/>
    </row>
    <row r="359" spans="1:19" ht="18" customHeight="1">
      <c r="A359" s="172">
        <v>2007</v>
      </c>
      <c r="B359" s="172" t="s">
        <v>45</v>
      </c>
      <c r="C359" s="172" t="s">
        <v>2302</v>
      </c>
      <c r="D359" s="172">
        <v>30.69</v>
      </c>
      <c r="E359" s="98"/>
      <c r="F359" s="98"/>
      <c r="G359" s="98"/>
      <c r="H359" s="98"/>
      <c r="I359" s="98"/>
      <c r="J359" s="98"/>
      <c r="K359" s="98"/>
      <c r="L359" s="98"/>
      <c r="M359" s="98"/>
      <c r="N359" s="98"/>
      <c r="O359" s="98"/>
      <c r="P359" s="98"/>
      <c r="Q359" s="98"/>
      <c r="R359" s="98"/>
      <c r="S359" s="98"/>
    </row>
    <row r="360" spans="1:19" ht="18" customHeight="1">
      <c r="A360" s="172">
        <v>2007</v>
      </c>
      <c r="B360" s="172" t="s">
        <v>68</v>
      </c>
      <c r="C360" s="172" t="s">
        <v>2302</v>
      </c>
      <c r="D360" s="172">
        <v>32.61</v>
      </c>
      <c r="E360" s="98"/>
      <c r="F360" s="98"/>
      <c r="G360" s="98"/>
      <c r="H360" s="98"/>
      <c r="I360" s="98"/>
      <c r="J360" s="98"/>
      <c r="K360" s="98"/>
      <c r="L360" s="98"/>
      <c r="M360" s="98"/>
      <c r="N360" s="98"/>
      <c r="O360" s="98"/>
      <c r="P360" s="98"/>
      <c r="Q360" s="98"/>
      <c r="R360" s="98"/>
      <c r="S360" s="98"/>
    </row>
    <row r="361" spans="1:19" ht="18" customHeight="1">
      <c r="A361" s="172">
        <v>2007</v>
      </c>
      <c r="B361" s="172" t="s">
        <v>45</v>
      </c>
      <c r="C361" s="172" t="s">
        <v>2315</v>
      </c>
      <c r="D361" s="172">
        <v>23.77</v>
      </c>
      <c r="E361" s="98"/>
      <c r="F361" s="98"/>
      <c r="G361" s="98"/>
      <c r="H361" s="98"/>
      <c r="I361" s="98"/>
      <c r="J361" s="98"/>
      <c r="K361" s="98"/>
      <c r="L361" s="98"/>
      <c r="M361" s="98"/>
      <c r="N361" s="98"/>
      <c r="O361" s="98"/>
      <c r="P361" s="98"/>
      <c r="Q361" s="98"/>
      <c r="R361" s="98"/>
      <c r="S361" s="98"/>
    </row>
    <row r="362" spans="1:19" ht="18" customHeight="1">
      <c r="A362" s="172">
        <v>2007</v>
      </c>
      <c r="B362" s="172" t="s">
        <v>68</v>
      </c>
      <c r="C362" s="172" t="s">
        <v>2315</v>
      </c>
      <c r="D362" s="172">
        <v>22.91</v>
      </c>
      <c r="E362" s="98"/>
      <c r="F362" s="98"/>
      <c r="G362" s="98"/>
      <c r="H362" s="98"/>
      <c r="I362" s="98"/>
      <c r="J362" s="98"/>
      <c r="K362" s="98"/>
      <c r="L362" s="98"/>
      <c r="M362" s="98"/>
      <c r="N362" s="98"/>
      <c r="O362" s="98"/>
      <c r="P362" s="98"/>
      <c r="Q362" s="98"/>
      <c r="R362" s="98"/>
      <c r="S362" s="9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theme="5" tint="-0.249977111117893"/>
  </sheetPr>
  <dimension ref="A1:V99"/>
  <sheetViews>
    <sheetView showGridLines="0" workbookViewId="0"/>
  </sheetViews>
  <sheetFormatPr defaultColWidth="9.125" defaultRowHeight="15"/>
  <cols>
    <col min="1" max="8" width="9.125" style="13"/>
    <col min="9" max="9" width="44.625" style="13" customWidth="1"/>
    <col min="10" max="16384" width="9.125" style="13"/>
  </cols>
  <sheetData>
    <row r="1" spans="1:22" s="21" customFormat="1" ht="30.75" customHeight="1">
      <c r="I1" s="39" t="s">
        <v>4329</v>
      </c>
    </row>
    <row r="2" spans="1:22" s="37" customFormat="1" ht="15" customHeight="1">
      <c r="B2" s="35"/>
      <c r="D2" s="36"/>
      <c r="E2" s="36"/>
      <c r="F2" s="36"/>
      <c r="G2" s="36"/>
      <c r="H2" s="36"/>
      <c r="I2" s="35" t="s">
        <v>2353</v>
      </c>
      <c r="J2" s="35" t="s">
        <v>2354</v>
      </c>
      <c r="K2" s="36"/>
      <c r="L2" s="36"/>
      <c r="M2" s="36"/>
      <c r="N2" s="36"/>
      <c r="O2" s="36"/>
      <c r="P2" s="36"/>
      <c r="Q2" s="35" t="s">
        <v>2355</v>
      </c>
    </row>
    <row r="3" spans="1:22" ht="17.100000000000001" customHeight="1">
      <c r="A3" s="244"/>
      <c r="B3" s="244"/>
      <c r="C3" s="244"/>
      <c r="D3" s="244"/>
      <c r="E3" s="244"/>
      <c r="F3" s="244"/>
      <c r="G3" s="244"/>
      <c r="H3" s="244"/>
      <c r="I3" s="244"/>
      <c r="J3" s="244" t="s">
        <v>634</v>
      </c>
      <c r="K3" s="244"/>
      <c r="L3" s="244"/>
      <c r="M3" s="244"/>
      <c r="N3" s="244" t="s">
        <v>2356</v>
      </c>
      <c r="O3" s="244"/>
      <c r="P3" s="244"/>
      <c r="Q3" s="244"/>
      <c r="R3" s="245"/>
      <c r="S3" s="245"/>
      <c r="T3" s="245"/>
      <c r="U3" s="245"/>
      <c r="V3" s="245"/>
    </row>
    <row r="4" spans="1:22" ht="17.100000000000001" customHeight="1">
      <c r="A4" s="244" t="s">
        <v>639</v>
      </c>
      <c r="B4" s="244"/>
      <c r="C4" s="244"/>
      <c r="D4" s="244"/>
      <c r="E4" s="244"/>
      <c r="F4" s="244"/>
      <c r="G4" s="244"/>
      <c r="H4" s="244"/>
      <c r="I4" s="244"/>
      <c r="J4" s="244" t="s">
        <v>1527</v>
      </c>
      <c r="K4" s="244"/>
      <c r="L4" s="244"/>
      <c r="M4" s="244"/>
      <c r="N4" s="244">
        <v>360</v>
      </c>
      <c r="O4" s="244"/>
      <c r="P4" s="244"/>
      <c r="Q4" s="244" t="s">
        <v>1518</v>
      </c>
      <c r="R4" s="245"/>
      <c r="S4" s="245"/>
      <c r="T4" s="245"/>
      <c r="U4" s="245"/>
      <c r="V4" s="245"/>
    </row>
    <row r="5" spans="1:22" ht="17.100000000000001" customHeight="1">
      <c r="A5" s="244" t="s">
        <v>2357</v>
      </c>
      <c r="B5" s="244"/>
      <c r="C5" s="244"/>
      <c r="D5" s="244"/>
      <c r="E5" s="244"/>
      <c r="F5" s="244"/>
      <c r="G5" s="244"/>
      <c r="H5" s="244"/>
      <c r="I5" s="244"/>
      <c r="J5" s="244"/>
      <c r="K5" s="244"/>
      <c r="L5" s="244"/>
      <c r="M5" s="244"/>
      <c r="N5" s="244"/>
      <c r="O5" s="244"/>
      <c r="P5" s="244"/>
      <c r="Q5" s="244" t="s">
        <v>2358</v>
      </c>
      <c r="R5" s="245"/>
      <c r="S5" s="245"/>
      <c r="T5" s="245"/>
      <c r="U5" s="245"/>
      <c r="V5" s="245"/>
    </row>
    <row r="6" spans="1:22" ht="17.100000000000001" customHeight="1">
      <c r="A6" s="244" t="s">
        <v>2359</v>
      </c>
      <c r="B6" s="244"/>
      <c r="C6" s="244"/>
      <c r="D6" s="244"/>
      <c r="E6" s="244"/>
      <c r="F6" s="244"/>
      <c r="G6" s="244"/>
      <c r="H6" s="244"/>
      <c r="I6" s="244"/>
      <c r="J6" s="244" t="s">
        <v>639</v>
      </c>
      <c r="K6" s="244"/>
      <c r="L6" s="244"/>
      <c r="M6" s="244"/>
      <c r="N6" s="244"/>
      <c r="O6" s="244"/>
      <c r="P6" s="244"/>
      <c r="Q6" s="244" t="s">
        <v>1519</v>
      </c>
      <c r="R6" s="245"/>
      <c r="S6" s="245"/>
      <c r="T6" s="245"/>
      <c r="U6" s="245"/>
      <c r="V6" s="245"/>
    </row>
    <row r="7" spans="1:22" ht="17.100000000000001" customHeight="1">
      <c r="A7" s="244"/>
      <c r="B7" s="244"/>
      <c r="C7" s="244"/>
      <c r="D7" s="244"/>
      <c r="E7" s="244"/>
      <c r="F7" s="244"/>
      <c r="G7" s="244"/>
      <c r="H7" s="244"/>
      <c r="I7" s="244"/>
      <c r="J7" s="244" t="s">
        <v>1536</v>
      </c>
      <c r="K7" s="244"/>
      <c r="L7" s="244"/>
      <c r="M7" s="244"/>
      <c r="N7" s="244" t="s">
        <v>2360</v>
      </c>
      <c r="O7" s="244" t="s">
        <v>2361</v>
      </c>
      <c r="P7" s="244"/>
      <c r="Q7" s="244" t="s">
        <v>2358</v>
      </c>
      <c r="R7" s="245"/>
      <c r="S7" s="245"/>
      <c r="T7" s="245"/>
      <c r="U7" s="245"/>
      <c r="V7" s="245"/>
    </row>
    <row r="8" spans="1:22" ht="17.100000000000001" customHeight="1">
      <c r="A8" s="244" t="s">
        <v>2362</v>
      </c>
      <c r="B8" s="244"/>
      <c r="C8" s="244"/>
      <c r="D8" s="244"/>
      <c r="E8" s="244"/>
      <c r="F8" s="244"/>
      <c r="G8" s="244"/>
      <c r="H8" s="244"/>
      <c r="I8" s="244"/>
      <c r="J8" s="244" t="s">
        <v>1540</v>
      </c>
      <c r="K8" s="244"/>
      <c r="L8" s="244"/>
      <c r="M8" s="244"/>
      <c r="N8" s="244" t="s">
        <v>45</v>
      </c>
      <c r="O8" s="244">
        <v>180</v>
      </c>
      <c r="P8" s="244"/>
      <c r="Q8" s="244" t="s">
        <v>1520</v>
      </c>
      <c r="R8" s="245"/>
      <c r="S8" s="245"/>
      <c r="T8" s="245"/>
      <c r="U8" s="245"/>
      <c r="V8" s="245"/>
    </row>
    <row r="9" spans="1:22" ht="17.100000000000001" customHeight="1">
      <c r="A9" s="244" t="s">
        <v>2363</v>
      </c>
      <c r="B9" s="244"/>
      <c r="C9" s="244"/>
      <c r="D9" s="244"/>
      <c r="E9" s="244"/>
      <c r="F9" s="244"/>
      <c r="G9" s="244"/>
      <c r="H9" s="244"/>
      <c r="I9" s="244"/>
      <c r="J9" s="244" t="s">
        <v>1543</v>
      </c>
      <c r="K9" s="244"/>
      <c r="L9" s="244"/>
      <c r="M9" s="244"/>
      <c r="N9" s="244" t="s">
        <v>68</v>
      </c>
      <c r="O9" s="244">
        <v>180</v>
      </c>
      <c r="P9" s="244"/>
      <c r="Q9" s="244" t="s">
        <v>2358</v>
      </c>
      <c r="R9" s="245"/>
      <c r="S9" s="245"/>
      <c r="T9" s="245"/>
      <c r="U9" s="245"/>
      <c r="V9" s="245"/>
    </row>
    <row r="10" spans="1:22" ht="17.100000000000001" customHeight="1">
      <c r="A10" s="244"/>
      <c r="B10" s="244"/>
      <c r="C10" s="244"/>
      <c r="D10" s="244"/>
      <c r="E10" s="244"/>
      <c r="F10" s="244"/>
      <c r="G10" s="244"/>
      <c r="H10" s="244"/>
      <c r="I10" s="244"/>
      <c r="J10" s="244" t="s">
        <v>1547</v>
      </c>
      <c r="K10" s="244"/>
      <c r="L10" s="244"/>
      <c r="M10" s="244"/>
      <c r="N10" s="244"/>
      <c r="O10" s="244"/>
      <c r="P10" s="244"/>
      <c r="Q10" s="244" t="s">
        <v>1521</v>
      </c>
      <c r="R10" s="245"/>
      <c r="S10" s="245"/>
      <c r="T10" s="245"/>
      <c r="U10" s="245"/>
      <c r="V10" s="245"/>
    </row>
    <row r="11" spans="1:22" ht="17.100000000000001" customHeight="1">
      <c r="A11" s="244" t="s">
        <v>2364</v>
      </c>
      <c r="B11" s="244"/>
      <c r="C11" s="244"/>
      <c r="D11" s="244"/>
      <c r="E11" s="244"/>
      <c r="F11" s="244"/>
      <c r="G11" s="244"/>
      <c r="H11" s="244"/>
      <c r="I11" s="244"/>
      <c r="J11" s="244" t="s">
        <v>1551</v>
      </c>
      <c r="K11" s="244"/>
      <c r="L11" s="244"/>
      <c r="M11" s="244"/>
      <c r="N11" s="244"/>
      <c r="O11" s="244"/>
      <c r="P11" s="244"/>
      <c r="Q11" s="244" t="s">
        <v>2358</v>
      </c>
      <c r="R11" s="245"/>
      <c r="S11" s="245"/>
      <c r="T11" s="245"/>
      <c r="U11" s="245"/>
      <c r="V11" s="245"/>
    </row>
    <row r="12" spans="1:22" ht="17.100000000000001" customHeight="1">
      <c r="A12" s="244" t="s">
        <v>2365</v>
      </c>
      <c r="B12" s="244"/>
      <c r="C12" s="244"/>
      <c r="D12" s="244"/>
      <c r="E12" s="244"/>
      <c r="F12" s="244"/>
      <c r="G12" s="244"/>
      <c r="H12" s="244"/>
      <c r="I12" s="244"/>
      <c r="J12" s="244"/>
      <c r="K12" s="244"/>
      <c r="L12" s="244"/>
      <c r="M12" s="244"/>
      <c r="N12" s="244"/>
      <c r="O12" s="244"/>
      <c r="P12" s="244"/>
      <c r="Q12" s="244" t="s">
        <v>1522</v>
      </c>
      <c r="R12" s="245"/>
      <c r="S12" s="245"/>
      <c r="T12" s="245"/>
      <c r="U12" s="245"/>
      <c r="V12" s="245"/>
    </row>
    <row r="13" spans="1:22" ht="17.100000000000001" customHeight="1">
      <c r="A13" s="244"/>
      <c r="B13" s="244"/>
      <c r="C13" s="244"/>
      <c r="D13" s="244"/>
      <c r="E13" s="244"/>
      <c r="F13" s="244"/>
      <c r="G13" s="244"/>
      <c r="H13" s="244"/>
      <c r="I13" s="244"/>
      <c r="J13" s="244" t="s">
        <v>639</v>
      </c>
      <c r="K13" s="244"/>
      <c r="L13" s="244"/>
      <c r="M13" s="244"/>
      <c r="N13" s="244" t="s">
        <v>2366</v>
      </c>
      <c r="O13" s="244" t="s">
        <v>2361</v>
      </c>
      <c r="P13" s="244"/>
      <c r="Q13" s="244"/>
      <c r="R13" s="245"/>
      <c r="S13" s="245"/>
      <c r="T13" s="245"/>
      <c r="U13" s="245"/>
      <c r="V13" s="245"/>
    </row>
    <row r="14" spans="1:22" ht="17.100000000000001" customHeight="1">
      <c r="A14" s="244" t="s">
        <v>2367</v>
      </c>
      <c r="B14" s="244"/>
      <c r="C14" s="244"/>
      <c r="D14" s="244"/>
      <c r="E14" s="244"/>
      <c r="F14" s="244"/>
      <c r="G14" s="244"/>
      <c r="H14" s="244"/>
      <c r="I14" s="244"/>
      <c r="J14" s="244" t="s">
        <v>641</v>
      </c>
      <c r="K14" s="244"/>
      <c r="L14" s="244"/>
      <c r="M14" s="244"/>
      <c r="N14" s="244">
        <v>2007</v>
      </c>
      <c r="O14" s="244">
        <v>20</v>
      </c>
      <c r="P14" s="244"/>
      <c r="Q14" s="246" t="s">
        <v>2368</v>
      </c>
      <c r="R14" s="245"/>
      <c r="S14" s="245"/>
      <c r="T14" s="245"/>
      <c r="U14" s="245"/>
      <c r="V14" s="245"/>
    </row>
    <row r="15" spans="1:22" ht="17.100000000000001" customHeight="1">
      <c r="A15" s="244" t="s">
        <v>2369</v>
      </c>
      <c r="B15" s="244"/>
      <c r="C15" s="244"/>
      <c r="D15" s="244"/>
      <c r="E15" s="244"/>
      <c r="F15" s="244"/>
      <c r="G15" s="244"/>
      <c r="H15" s="244"/>
      <c r="I15" s="244"/>
      <c r="J15" s="244" t="s">
        <v>1540</v>
      </c>
      <c r="K15" s="244"/>
      <c r="L15" s="244"/>
      <c r="M15" s="244"/>
      <c r="N15" s="244">
        <v>2008</v>
      </c>
      <c r="O15" s="244">
        <v>20</v>
      </c>
      <c r="P15" s="244"/>
      <c r="Q15" s="244"/>
      <c r="R15" s="245"/>
      <c r="S15" s="245"/>
      <c r="T15" s="245"/>
      <c r="U15" s="245"/>
      <c r="V15" s="245"/>
    </row>
    <row r="16" spans="1:22" ht="17.100000000000001" customHeight="1">
      <c r="A16" s="244"/>
      <c r="B16" s="244"/>
      <c r="C16" s="244"/>
      <c r="D16" s="244"/>
      <c r="E16" s="244"/>
      <c r="F16" s="244"/>
      <c r="G16" s="244"/>
      <c r="H16" s="244"/>
      <c r="I16" s="244"/>
      <c r="J16" s="244" t="s">
        <v>1543</v>
      </c>
      <c r="K16" s="244"/>
      <c r="L16" s="244"/>
      <c r="M16" s="244"/>
      <c r="N16" s="244">
        <v>2009</v>
      </c>
      <c r="O16" s="244">
        <v>20</v>
      </c>
      <c r="P16" s="244"/>
      <c r="Q16" s="244" t="s">
        <v>2370</v>
      </c>
      <c r="R16" s="245"/>
      <c r="S16" s="245"/>
      <c r="T16" s="245"/>
      <c r="U16" s="245"/>
      <c r="V16" s="245"/>
    </row>
    <row r="17" spans="1:22" ht="17.100000000000001" customHeight="1">
      <c r="A17" s="244" t="s">
        <v>2371</v>
      </c>
      <c r="B17" s="244"/>
      <c r="C17" s="244"/>
      <c r="D17" s="244"/>
      <c r="E17" s="244"/>
      <c r="F17" s="244"/>
      <c r="G17" s="244"/>
      <c r="H17" s="244"/>
      <c r="I17" s="244"/>
      <c r="J17" s="244" t="s">
        <v>1571</v>
      </c>
      <c r="K17" s="244"/>
      <c r="L17" s="244"/>
      <c r="M17" s="244"/>
      <c r="N17" s="244">
        <v>2010</v>
      </c>
      <c r="O17" s="244">
        <v>20</v>
      </c>
      <c r="P17" s="244"/>
      <c r="Q17" s="244" t="s">
        <v>2358</v>
      </c>
      <c r="R17" s="245"/>
      <c r="S17" s="245"/>
      <c r="T17" s="245"/>
      <c r="U17" s="245"/>
      <c r="V17" s="245"/>
    </row>
    <row r="18" spans="1:22" ht="17.100000000000001" customHeight="1">
      <c r="A18" s="244" t="s">
        <v>2372</v>
      </c>
      <c r="B18" s="244"/>
      <c r="C18" s="244"/>
      <c r="D18" s="244"/>
      <c r="E18" s="244"/>
      <c r="F18" s="244"/>
      <c r="G18" s="244"/>
      <c r="H18" s="244"/>
      <c r="I18" s="244"/>
      <c r="J18" s="244" t="s">
        <v>1574</v>
      </c>
      <c r="K18" s="244"/>
      <c r="L18" s="244"/>
      <c r="M18" s="244"/>
      <c r="N18" s="244">
        <v>2011</v>
      </c>
      <c r="O18" s="244">
        <v>20</v>
      </c>
      <c r="P18" s="244"/>
      <c r="Q18" s="244" t="s">
        <v>2373</v>
      </c>
      <c r="R18" s="245"/>
      <c r="S18" s="245"/>
      <c r="T18" s="245"/>
      <c r="U18" s="245"/>
      <c r="V18" s="245"/>
    </row>
    <row r="19" spans="1:22" ht="17.100000000000001" customHeight="1">
      <c r="A19" s="244"/>
      <c r="B19" s="244"/>
      <c r="C19" s="244"/>
      <c r="D19" s="244"/>
      <c r="E19" s="244"/>
      <c r="F19" s="244"/>
      <c r="G19" s="244"/>
      <c r="H19" s="244"/>
      <c r="I19" s="244"/>
      <c r="J19" s="244"/>
      <c r="K19" s="244"/>
      <c r="L19" s="244"/>
      <c r="M19" s="244"/>
      <c r="N19" s="244">
        <v>2012</v>
      </c>
      <c r="O19" s="244">
        <v>20</v>
      </c>
      <c r="P19" s="244"/>
      <c r="Q19" s="244" t="s">
        <v>2358</v>
      </c>
      <c r="R19" s="245"/>
      <c r="S19" s="245"/>
      <c r="T19" s="245"/>
      <c r="U19" s="245"/>
      <c r="V19" s="245"/>
    </row>
    <row r="20" spans="1:22" ht="17.100000000000001" customHeight="1">
      <c r="A20" s="244" t="s">
        <v>2374</v>
      </c>
      <c r="B20" s="244"/>
      <c r="C20" s="244"/>
      <c r="D20" s="244"/>
      <c r="E20" s="244"/>
      <c r="F20" s="244"/>
      <c r="G20" s="244"/>
      <c r="H20" s="244"/>
      <c r="I20" s="244"/>
      <c r="J20" s="244"/>
      <c r="K20" s="244"/>
      <c r="L20" s="244"/>
      <c r="M20" s="244"/>
      <c r="N20" s="244">
        <v>2013</v>
      </c>
      <c r="O20" s="244">
        <v>20</v>
      </c>
      <c r="P20" s="244"/>
      <c r="Q20" s="244" t="s">
        <v>2375</v>
      </c>
      <c r="R20" s="245"/>
      <c r="S20" s="245"/>
      <c r="T20" s="245"/>
      <c r="U20" s="245"/>
      <c r="V20" s="245"/>
    </row>
    <row r="21" spans="1:22" ht="17.100000000000001" customHeight="1">
      <c r="A21" s="244" t="s">
        <v>2376</v>
      </c>
      <c r="B21" s="244"/>
      <c r="C21" s="244"/>
      <c r="D21" s="244"/>
      <c r="E21" s="244"/>
      <c r="F21" s="244"/>
      <c r="G21" s="244"/>
      <c r="H21" s="244"/>
      <c r="I21" s="244"/>
      <c r="J21" s="244"/>
      <c r="K21" s="244"/>
      <c r="L21" s="244"/>
      <c r="M21" s="244"/>
      <c r="N21" s="244">
        <v>2014</v>
      </c>
      <c r="O21" s="244">
        <v>20</v>
      </c>
      <c r="P21" s="244"/>
      <c r="Q21" s="244" t="s">
        <v>2358</v>
      </c>
      <c r="R21" s="245"/>
      <c r="S21" s="245"/>
      <c r="T21" s="245"/>
      <c r="U21" s="245"/>
      <c r="V21" s="245"/>
    </row>
    <row r="22" spans="1:22" ht="17.100000000000001" customHeight="1">
      <c r="A22" s="244"/>
      <c r="B22" s="244"/>
      <c r="C22" s="244"/>
      <c r="D22" s="244"/>
      <c r="E22" s="244"/>
      <c r="F22" s="244"/>
      <c r="G22" s="244"/>
      <c r="H22" s="244"/>
      <c r="I22" s="244"/>
      <c r="J22" s="244"/>
      <c r="K22" s="244"/>
      <c r="L22" s="244"/>
      <c r="M22" s="244"/>
      <c r="N22" s="244">
        <v>2015</v>
      </c>
      <c r="O22" s="244">
        <v>20</v>
      </c>
      <c r="P22" s="244"/>
      <c r="Q22" s="244" t="s">
        <v>2377</v>
      </c>
      <c r="R22" s="245"/>
      <c r="S22" s="245"/>
      <c r="T22" s="245"/>
      <c r="U22" s="245"/>
      <c r="V22" s="245"/>
    </row>
    <row r="23" spans="1:22" ht="17.100000000000001" customHeight="1">
      <c r="A23" s="244" t="s">
        <v>2378</v>
      </c>
      <c r="B23" s="244"/>
      <c r="C23" s="244"/>
      <c r="D23" s="244"/>
      <c r="E23" s="244"/>
      <c r="F23" s="244"/>
      <c r="G23" s="244"/>
      <c r="H23" s="244"/>
      <c r="I23" s="244"/>
      <c r="J23" s="244"/>
      <c r="K23" s="244"/>
      <c r="L23" s="244"/>
      <c r="M23" s="244"/>
      <c r="N23" s="244">
        <v>2016</v>
      </c>
      <c r="O23" s="244">
        <v>20</v>
      </c>
      <c r="P23" s="244"/>
      <c r="Q23" s="244" t="s">
        <v>2358</v>
      </c>
      <c r="R23" s="245"/>
      <c r="S23" s="245"/>
      <c r="T23" s="245"/>
      <c r="U23" s="245"/>
      <c r="V23" s="245"/>
    </row>
    <row r="24" spans="1:22" ht="17.100000000000001" customHeight="1">
      <c r="A24" s="244" t="s">
        <v>2379</v>
      </c>
      <c r="B24" s="244"/>
      <c r="C24" s="244"/>
      <c r="D24" s="244"/>
      <c r="E24" s="244"/>
      <c r="F24" s="244"/>
      <c r="G24" s="244"/>
      <c r="H24" s="244"/>
      <c r="I24" s="244"/>
      <c r="J24" s="244"/>
      <c r="K24" s="244"/>
      <c r="L24" s="244"/>
      <c r="M24" s="244"/>
      <c r="N24" s="244">
        <v>2017</v>
      </c>
      <c r="O24" s="244">
        <v>20</v>
      </c>
      <c r="P24" s="244"/>
      <c r="Q24" s="244" t="s">
        <v>2380</v>
      </c>
      <c r="R24" s="245"/>
      <c r="S24" s="245"/>
      <c r="T24" s="245"/>
      <c r="U24" s="245"/>
      <c r="V24" s="245"/>
    </row>
    <row r="25" spans="1:22" ht="17.100000000000001" customHeight="1">
      <c r="A25" s="244"/>
      <c r="B25" s="244"/>
      <c r="C25" s="244"/>
      <c r="D25" s="244"/>
      <c r="E25" s="244"/>
      <c r="F25" s="244"/>
      <c r="G25" s="244"/>
      <c r="H25" s="244"/>
      <c r="I25" s="244"/>
      <c r="J25" s="244"/>
      <c r="K25" s="244"/>
      <c r="L25" s="244"/>
      <c r="M25" s="244"/>
      <c r="N25" s="244">
        <v>2018</v>
      </c>
      <c r="O25" s="244">
        <v>20</v>
      </c>
      <c r="P25" s="244"/>
      <c r="Q25" s="244" t="s">
        <v>2358</v>
      </c>
      <c r="R25" s="245"/>
      <c r="S25" s="245"/>
      <c r="T25" s="245"/>
      <c r="U25" s="245"/>
      <c r="V25" s="245"/>
    </row>
    <row r="26" spans="1:22" ht="17.100000000000001" customHeight="1">
      <c r="A26" s="244" t="s">
        <v>2381</v>
      </c>
      <c r="B26" s="244"/>
      <c r="C26" s="244"/>
      <c r="D26" s="244"/>
      <c r="E26" s="244"/>
      <c r="F26" s="244"/>
      <c r="G26" s="244"/>
      <c r="H26" s="244"/>
      <c r="I26" s="244"/>
      <c r="J26" s="244"/>
      <c r="K26" s="244"/>
      <c r="L26" s="244"/>
      <c r="M26" s="244"/>
      <c r="N26" s="244">
        <v>2019</v>
      </c>
      <c r="O26" s="244">
        <v>20</v>
      </c>
      <c r="P26" s="244"/>
      <c r="Q26" s="244" t="s">
        <v>2382</v>
      </c>
      <c r="R26" s="245"/>
      <c r="S26" s="245"/>
      <c r="T26" s="245"/>
      <c r="U26" s="245"/>
      <c r="V26" s="245"/>
    </row>
    <row r="27" spans="1:22" ht="17.100000000000001" customHeight="1">
      <c r="A27" s="244" t="s">
        <v>2383</v>
      </c>
      <c r="B27" s="244"/>
      <c r="C27" s="244"/>
      <c r="D27" s="244"/>
      <c r="E27" s="244"/>
      <c r="F27" s="244"/>
      <c r="G27" s="244"/>
      <c r="H27" s="244"/>
      <c r="I27" s="244"/>
      <c r="J27" s="244"/>
      <c r="K27" s="244"/>
      <c r="L27" s="244"/>
      <c r="M27" s="244"/>
      <c r="N27" s="244">
        <v>2020</v>
      </c>
      <c r="O27" s="244">
        <v>20</v>
      </c>
      <c r="P27" s="244"/>
      <c r="Q27" s="244"/>
      <c r="R27" s="245"/>
      <c r="S27" s="245"/>
      <c r="T27" s="245"/>
      <c r="U27" s="245"/>
      <c r="V27" s="245"/>
    </row>
    <row r="28" spans="1:22" ht="17.100000000000001" customHeight="1">
      <c r="A28" s="244"/>
      <c r="B28" s="244"/>
      <c r="C28" s="244"/>
      <c r="D28" s="244"/>
      <c r="E28" s="244"/>
      <c r="F28" s="244"/>
      <c r="G28" s="244"/>
      <c r="H28" s="244"/>
      <c r="I28" s="244"/>
      <c r="J28" s="244"/>
      <c r="K28" s="244"/>
      <c r="L28" s="244"/>
      <c r="M28" s="244"/>
      <c r="N28" s="244">
        <v>2021</v>
      </c>
      <c r="O28" s="244">
        <v>20</v>
      </c>
      <c r="P28" s="244"/>
      <c r="Q28" s="244"/>
      <c r="R28" s="245"/>
      <c r="S28" s="245"/>
      <c r="T28" s="245"/>
      <c r="U28" s="245"/>
      <c r="V28" s="245"/>
    </row>
    <row r="29" spans="1:22" ht="17.100000000000001" customHeight="1">
      <c r="A29" s="244" t="s">
        <v>2384</v>
      </c>
      <c r="B29" s="244"/>
      <c r="C29" s="244"/>
      <c r="D29" s="244"/>
      <c r="E29" s="244"/>
      <c r="F29" s="244"/>
      <c r="G29" s="244"/>
      <c r="H29" s="244"/>
      <c r="I29" s="244"/>
      <c r="J29" s="244"/>
      <c r="K29" s="244"/>
      <c r="L29" s="244"/>
      <c r="M29" s="244"/>
      <c r="N29" s="244">
        <v>2022</v>
      </c>
      <c r="O29" s="244">
        <v>20</v>
      </c>
      <c r="P29" s="244"/>
      <c r="Q29" s="244"/>
      <c r="R29" s="245"/>
      <c r="S29" s="245"/>
      <c r="T29" s="245"/>
      <c r="U29" s="245"/>
      <c r="V29" s="245"/>
    </row>
    <row r="30" spans="1:22" ht="17.100000000000001" customHeight="1">
      <c r="A30" s="244" t="s">
        <v>2385</v>
      </c>
      <c r="B30" s="244"/>
      <c r="C30" s="244"/>
      <c r="D30" s="244"/>
      <c r="E30" s="244"/>
      <c r="F30" s="244"/>
      <c r="G30" s="244"/>
      <c r="H30" s="244"/>
      <c r="I30" s="244"/>
      <c r="J30" s="244"/>
      <c r="K30" s="244"/>
      <c r="L30" s="244"/>
      <c r="M30" s="244"/>
      <c r="N30" s="244">
        <v>2023</v>
      </c>
      <c r="O30" s="244">
        <v>20</v>
      </c>
      <c r="P30" s="244"/>
      <c r="Q30" s="246" t="s">
        <v>2386</v>
      </c>
      <c r="R30" s="245"/>
      <c r="S30" s="245"/>
      <c r="T30" s="245"/>
      <c r="U30" s="245"/>
      <c r="V30" s="245"/>
    </row>
    <row r="31" spans="1:22" ht="17.100000000000001" customHeight="1">
      <c r="A31" s="244"/>
      <c r="B31" s="244"/>
      <c r="C31" s="244"/>
      <c r="D31" s="244"/>
      <c r="E31" s="244"/>
      <c r="F31" s="244"/>
      <c r="G31" s="244"/>
      <c r="H31" s="244"/>
      <c r="I31" s="244"/>
      <c r="J31" s="244"/>
      <c r="K31" s="244"/>
      <c r="L31" s="244"/>
      <c r="M31" s="244"/>
      <c r="N31" s="244">
        <v>2024</v>
      </c>
      <c r="O31" s="244">
        <v>20</v>
      </c>
      <c r="P31" s="244"/>
      <c r="Q31" s="247"/>
      <c r="R31" s="245"/>
      <c r="S31" s="245"/>
      <c r="T31" s="245"/>
      <c r="U31" s="245"/>
      <c r="V31" s="245"/>
    </row>
    <row r="32" spans="1:22" ht="17.100000000000001" customHeight="1">
      <c r="A32" s="244" t="s">
        <v>2387</v>
      </c>
      <c r="B32" s="244"/>
      <c r="C32" s="244"/>
      <c r="D32" s="244"/>
      <c r="E32" s="244"/>
      <c r="F32" s="244"/>
      <c r="G32" s="244"/>
      <c r="H32" s="244"/>
      <c r="I32" s="244"/>
      <c r="J32" s="244"/>
      <c r="K32" s="244"/>
      <c r="L32" s="244"/>
      <c r="M32" s="244"/>
      <c r="N32" s="244"/>
      <c r="O32" s="244"/>
      <c r="P32" s="244"/>
      <c r="Q32" s="247" t="s">
        <v>2388</v>
      </c>
      <c r="R32" s="245"/>
      <c r="S32" s="245"/>
      <c r="T32" s="245"/>
      <c r="U32" s="245"/>
      <c r="V32" s="245"/>
    </row>
    <row r="33" spans="1:22" ht="17.100000000000001" customHeight="1">
      <c r="A33" s="244" t="s">
        <v>2389</v>
      </c>
      <c r="B33" s="244"/>
      <c r="C33" s="244"/>
      <c r="D33" s="244"/>
      <c r="E33" s="244"/>
      <c r="F33" s="244"/>
      <c r="G33" s="244"/>
      <c r="H33" s="244"/>
      <c r="I33" s="244"/>
      <c r="J33" s="244"/>
      <c r="K33" s="244"/>
      <c r="L33" s="244"/>
      <c r="M33" s="244"/>
      <c r="N33" s="244"/>
      <c r="O33" s="244"/>
      <c r="P33" s="244"/>
      <c r="Q33" s="247" t="s">
        <v>2390</v>
      </c>
      <c r="R33" s="245"/>
      <c r="S33" s="245"/>
      <c r="T33" s="245"/>
      <c r="U33" s="245"/>
      <c r="V33" s="245"/>
    </row>
    <row r="34" spans="1:22" ht="17.100000000000001" customHeight="1">
      <c r="A34" s="244"/>
      <c r="B34" s="244"/>
      <c r="C34" s="244"/>
      <c r="D34" s="244"/>
      <c r="E34" s="244"/>
      <c r="F34" s="244"/>
      <c r="G34" s="244"/>
      <c r="H34" s="244"/>
      <c r="I34" s="244"/>
      <c r="J34" s="244"/>
      <c r="K34" s="244"/>
      <c r="L34" s="244"/>
      <c r="M34" s="244"/>
      <c r="N34" s="244"/>
      <c r="O34" s="244"/>
      <c r="P34" s="244"/>
      <c r="Q34" s="247" t="s">
        <v>2391</v>
      </c>
      <c r="R34" s="245"/>
      <c r="S34" s="245"/>
      <c r="T34" s="245"/>
      <c r="U34" s="245"/>
      <c r="V34" s="245"/>
    </row>
    <row r="35" spans="1:22" ht="17.100000000000001" customHeight="1">
      <c r="A35" s="244" t="s">
        <v>2392</v>
      </c>
      <c r="B35" s="244"/>
      <c r="C35" s="244"/>
      <c r="D35" s="244"/>
      <c r="E35" s="244"/>
      <c r="F35" s="244"/>
      <c r="G35" s="244"/>
      <c r="H35" s="244"/>
      <c r="I35" s="244"/>
      <c r="J35" s="244"/>
      <c r="K35" s="244"/>
      <c r="L35" s="244"/>
      <c r="M35" s="244"/>
      <c r="N35" s="244"/>
      <c r="O35" s="244"/>
      <c r="P35" s="244"/>
      <c r="Q35" s="247" t="s">
        <v>2393</v>
      </c>
      <c r="R35" s="245"/>
      <c r="S35" s="245"/>
      <c r="T35" s="245"/>
      <c r="U35" s="245"/>
      <c r="V35" s="245"/>
    </row>
    <row r="36" spans="1:22" ht="17.100000000000001" customHeight="1">
      <c r="A36" s="244" t="s">
        <v>2394</v>
      </c>
      <c r="B36" s="244"/>
      <c r="C36" s="244"/>
      <c r="D36" s="244"/>
      <c r="E36" s="244"/>
      <c r="F36" s="244"/>
      <c r="G36" s="244"/>
      <c r="H36" s="244"/>
      <c r="I36" s="244"/>
      <c r="J36" s="244"/>
      <c r="K36" s="244"/>
      <c r="L36" s="244"/>
      <c r="M36" s="244"/>
      <c r="N36" s="244"/>
      <c r="O36" s="244"/>
      <c r="P36" s="244"/>
      <c r="Q36" s="247" t="s">
        <v>2395</v>
      </c>
      <c r="R36" s="245"/>
      <c r="S36" s="245"/>
      <c r="T36" s="245"/>
      <c r="U36" s="245"/>
      <c r="V36" s="245"/>
    </row>
    <row r="37" spans="1:22" ht="17.100000000000001" customHeight="1">
      <c r="A37" s="244"/>
      <c r="B37" s="244"/>
      <c r="C37" s="244"/>
      <c r="D37" s="244"/>
      <c r="E37" s="244"/>
      <c r="F37" s="244"/>
      <c r="G37" s="244"/>
      <c r="H37" s="244"/>
      <c r="I37" s="244"/>
      <c r="J37" s="244"/>
      <c r="K37" s="244"/>
      <c r="L37" s="244"/>
      <c r="M37" s="244"/>
      <c r="N37" s="244"/>
      <c r="O37" s="244"/>
      <c r="P37" s="244"/>
      <c r="Q37" s="247" t="s">
        <v>2396</v>
      </c>
      <c r="R37" s="245"/>
      <c r="S37" s="245"/>
      <c r="T37" s="245"/>
      <c r="U37" s="245"/>
      <c r="V37" s="245"/>
    </row>
    <row r="38" spans="1:22" ht="17.100000000000001" customHeight="1">
      <c r="A38" s="244" t="s">
        <v>2397</v>
      </c>
      <c r="B38" s="244"/>
      <c r="C38" s="244"/>
      <c r="D38" s="244"/>
      <c r="E38" s="244"/>
      <c r="F38" s="244"/>
      <c r="G38" s="244"/>
      <c r="H38" s="244"/>
      <c r="I38" s="244"/>
      <c r="J38" s="244"/>
      <c r="K38" s="244"/>
      <c r="L38" s="244"/>
      <c r="M38" s="244"/>
      <c r="N38" s="244"/>
      <c r="O38" s="244"/>
      <c r="P38" s="244"/>
      <c r="Q38" s="247" t="s">
        <v>2398</v>
      </c>
      <c r="R38" s="245"/>
      <c r="S38" s="245"/>
      <c r="T38" s="245"/>
      <c r="U38" s="245"/>
      <c r="V38" s="245"/>
    </row>
    <row r="39" spans="1:22" ht="17.100000000000001" customHeight="1">
      <c r="A39" s="244"/>
      <c r="B39" s="244"/>
      <c r="C39" s="244"/>
      <c r="D39" s="244"/>
      <c r="E39" s="244"/>
      <c r="F39" s="244"/>
      <c r="G39" s="244"/>
      <c r="H39" s="244"/>
      <c r="I39" s="244"/>
      <c r="J39" s="244"/>
      <c r="K39" s="244"/>
      <c r="L39" s="244"/>
      <c r="M39" s="244"/>
      <c r="N39" s="244"/>
      <c r="O39" s="244"/>
      <c r="P39" s="244"/>
      <c r="Q39" s="247" t="s">
        <v>2399</v>
      </c>
      <c r="R39" s="245"/>
      <c r="S39" s="245"/>
      <c r="T39" s="245"/>
      <c r="U39" s="245"/>
      <c r="V39" s="245"/>
    </row>
    <row r="40" spans="1:22" ht="17.100000000000001" customHeight="1">
      <c r="A40" s="244" t="s">
        <v>1683</v>
      </c>
      <c r="B40" s="244"/>
      <c r="C40" s="244"/>
      <c r="D40" s="244"/>
      <c r="E40" s="244"/>
      <c r="F40" s="244"/>
      <c r="G40" s="244"/>
      <c r="H40" s="244"/>
      <c r="I40" s="244"/>
      <c r="J40" s="244"/>
      <c r="K40" s="244"/>
      <c r="L40" s="244"/>
      <c r="M40" s="244"/>
      <c r="N40" s="244"/>
      <c r="O40" s="244"/>
      <c r="P40" s="244"/>
      <c r="Q40" s="247" t="s">
        <v>2400</v>
      </c>
      <c r="R40" s="245"/>
      <c r="S40" s="245"/>
      <c r="T40" s="245"/>
      <c r="U40" s="245"/>
      <c r="V40" s="245"/>
    </row>
    <row r="41" spans="1:22" ht="17.100000000000001" customHeight="1">
      <c r="A41" s="244" t="s">
        <v>2357</v>
      </c>
      <c r="B41" s="244"/>
      <c r="C41" s="244"/>
      <c r="D41" s="244"/>
      <c r="E41" s="244"/>
      <c r="F41" s="244"/>
      <c r="G41" s="244"/>
      <c r="H41" s="244"/>
      <c r="I41" s="244"/>
      <c r="J41" s="244"/>
      <c r="K41" s="244"/>
      <c r="L41" s="244"/>
      <c r="M41" s="244"/>
      <c r="N41" s="244"/>
      <c r="O41" s="244"/>
      <c r="P41" s="244"/>
      <c r="Q41" s="244"/>
      <c r="R41" s="245"/>
      <c r="S41" s="245"/>
      <c r="T41" s="245"/>
      <c r="U41" s="245"/>
      <c r="V41" s="245"/>
    </row>
    <row r="42" spans="1:22" ht="17.100000000000001" customHeight="1">
      <c r="A42" s="244" t="s">
        <v>2401</v>
      </c>
      <c r="B42" s="244"/>
      <c r="C42" s="244"/>
      <c r="D42" s="244"/>
      <c r="E42" s="244"/>
      <c r="F42" s="244"/>
      <c r="G42" s="244"/>
      <c r="H42" s="244"/>
      <c r="I42" s="244"/>
      <c r="J42" s="244"/>
      <c r="K42" s="244"/>
      <c r="L42" s="244"/>
      <c r="M42" s="244"/>
      <c r="N42" s="244"/>
      <c r="O42" s="244"/>
      <c r="P42" s="244"/>
      <c r="Q42" s="244"/>
      <c r="R42" s="245"/>
      <c r="S42" s="245"/>
      <c r="T42" s="245"/>
      <c r="U42" s="245"/>
      <c r="V42" s="245"/>
    </row>
    <row r="43" spans="1:22" ht="17.100000000000001" customHeight="1">
      <c r="A43" s="244"/>
      <c r="B43" s="244"/>
      <c r="C43" s="244"/>
      <c r="D43" s="244"/>
      <c r="E43" s="244"/>
      <c r="F43" s="244"/>
      <c r="G43" s="244"/>
      <c r="H43" s="244"/>
      <c r="I43" s="244"/>
      <c r="J43" s="244"/>
      <c r="K43" s="244"/>
      <c r="L43" s="244"/>
      <c r="M43" s="244"/>
      <c r="N43" s="244"/>
      <c r="O43" s="244"/>
      <c r="P43" s="244"/>
      <c r="Q43" s="244"/>
      <c r="R43" s="245"/>
      <c r="S43" s="245"/>
      <c r="T43" s="245"/>
      <c r="U43" s="245"/>
      <c r="V43" s="245"/>
    </row>
    <row r="44" spans="1:22" ht="17.100000000000001" customHeight="1">
      <c r="A44" s="244" t="s">
        <v>1691</v>
      </c>
      <c r="B44" s="244"/>
      <c r="C44" s="244"/>
      <c r="D44" s="244"/>
      <c r="E44" s="244"/>
      <c r="F44" s="244"/>
      <c r="G44" s="244"/>
      <c r="H44" s="244"/>
      <c r="I44" s="244"/>
      <c r="J44" s="244"/>
      <c r="K44" s="244"/>
      <c r="L44" s="244"/>
      <c r="M44" s="244"/>
      <c r="N44" s="244"/>
      <c r="O44" s="244"/>
      <c r="P44" s="244"/>
      <c r="Q44" s="246" t="s">
        <v>2402</v>
      </c>
      <c r="R44" s="245"/>
      <c r="S44" s="245"/>
      <c r="T44" s="245"/>
      <c r="U44" s="245"/>
      <c r="V44" s="245"/>
    </row>
    <row r="45" spans="1:22" ht="17.100000000000001" customHeight="1">
      <c r="A45" s="244" t="s">
        <v>2357</v>
      </c>
      <c r="B45" s="244"/>
      <c r="C45" s="244"/>
      <c r="D45" s="244"/>
      <c r="E45" s="244"/>
      <c r="F45" s="244"/>
      <c r="G45" s="244"/>
      <c r="H45" s="244"/>
      <c r="I45" s="244"/>
      <c r="J45" s="244"/>
      <c r="K45" s="244"/>
      <c r="L45" s="244"/>
      <c r="M45" s="244"/>
      <c r="N45" s="244"/>
      <c r="O45" s="244"/>
      <c r="P45" s="244"/>
      <c r="Q45" s="244"/>
      <c r="R45" s="245"/>
      <c r="S45" s="245"/>
      <c r="T45" s="245"/>
      <c r="U45" s="245"/>
      <c r="V45" s="245"/>
    </row>
    <row r="46" spans="1:22" ht="17.100000000000001" customHeight="1">
      <c r="A46" s="244" t="s">
        <v>2403</v>
      </c>
      <c r="B46" s="244"/>
      <c r="C46" s="244"/>
      <c r="D46" s="244"/>
      <c r="E46" s="244"/>
      <c r="F46" s="244"/>
      <c r="G46" s="244"/>
      <c r="H46" s="244"/>
      <c r="I46" s="244"/>
      <c r="J46" s="244"/>
      <c r="K46" s="244"/>
      <c r="L46" s="244"/>
      <c r="M46" s="244"/>
      <c r="N46" s="244"/>
      <c r="O46" s="244"/>
      <c r="P46" s="244"/>
      <c r="Q46" s="244" t="s">
        <v>2404</v>
      </c>
      <c r="R46" s="245"/>
      <c r="S46" s="245"/>
      <c r="T46" s="245"/>
      <c r="U46" s="245"/>
      <c r="V46" s="245"/>
    </row>
    <row r="47" spans="1:22" ht="17.100000000000001" customHeight="1">
      <c r="A47" s="244"/>
      <c r="B47" s="244"/>
      <c r="C47" s="244"/>
      <c r="D47" s="244"/>
      <c r="E47" s="244"/>
      <c r="F47" s="244"/>
      <c r="G47" s="244"/>
      <c r="H47" s="244"/>
      <c r="I47" s="244"/>
      <c r="J47" s="244"/>
      <c r="K47" s="244"/>
      <c r="L47" s="244"/>
      <c r="M47" s="244"/>
      <c r="N47" s="244"/>
      <c r="O47" s="244"/>
      <c r="P47" s="244"/>
      <c r="Q47" s="244"/>
      <c r="R47" s="245"/>
      <c r="S47" s="245"/>
      <c r="T47" s="245"/>
      <c r="U47" s="245"/>
      <c r="V47" s="245"/>
    </row>
    <row r="48" spans="1:22" ht="17.100000000000001" customHeight="1">
      <c r="A48" s="244"/>
      <c r="B48" s="244"/>
      <c r="C48" s="244"/>
      <c r="D48" s="244"/>
      <c r="E48" s="244"/>
      <c r="F48" s="244"/>
      <c r="G48" s="244"/>
      <c r="H48" s="244"/>
      <c r="I48" s="244"/>
      <c r="J48" s="244"/>
      <c r="K48" s="244"/>
      <c r="L48" s="244"/>
      <c r="M48" s="244"/>
      <c r="N48" s="244"/>
      <c r="O48" s="244"/>
      <c r="P48" s="244"/>
      <c r="Q48" s="246" t="s">
        <v>2405</v>
      </c>
      <c r="R48" s="245"/>
      <c r="S48" s="245"/>
      <c r="T48" s="245"/>
      <c r="U48" s="245"/>
      <c r="V48" s="245"/>
    </row>
    <row r="49" spans="1:22" ht="17.100000000000001" customHeight="1">
      <c r="A49" s="244" t="s">
        <v>639</v>
      </c>
      <c r="B49" s="244"/>
      <c r="C49" s="244"/>
      <c r="D49" s="244"/>
      <c r="E49" s="244"/>
      <c r="F49" s="244"/>
      <c r="G49" s="244"/>
      <c r="H49" s="244"/>
      <c r="I49" s="244"/>
      <c r="J49" s="244"/>
      <c r="K49" s="244"/>
      <c r="L49" s="244"/>
      <c r="M49" s="244"/>
      <c r="N49" s="244"/>
      <c r="O49" s="244"/>
      <c r="P49" s="244"/>
      <c r="Q49" s="244"/>
      <c r="R49" s="245"/>
      <c r="S49" s="245"/>
      <c r="T49" s="245"/>
      <c r="U49" s="245"/>
      <c r="V49" s="245"/>
    </row>
    <row r="50" spans="1:22" ht="17.100000000000001" customHeight="1">
      <c r="A50" s="244" t="s">
        <v>2406</v>
      </c>
      <c r="B50" s="244"/>
      <c r="C50" s="244"/>
      <c r="D50" s="244"/>
      <c r="E50" s="244"/>
      <c r="F50" s="244"/>
      <c r="G50" s="244"/>
      <c r="H50" s="244"/>
      <c r="I50" s="244"/>
      <c r="J50" s="244"/>
      <c r="K50" s="244"/>
      <c r="L50" s="244"/>
      <c r="M50" s="244"/>
      <c r="N50" s="244"/>
      <c r="O50" s="244"/>
      <c r="P50" s="244"/>
      <c r="Q50" s="244" t="s">
        <v>2407</v>
      </c>
      <c r="R50" s="245"/>
      <c r="S50" s="245"/>
      <c r="T50" s="245"/>
      <c r="U50" s="245"/>
      <c r="V50" s="245"/>
    </row>
    <row r="51" spans="1:22" ht="17.100000000000001" customHeight="1">
      <c r="A51" s="244" t="s">
        <v>2408</v>
      </c>
      <c r="B51" s="244"/>
      <c r="C51" s="244"/>
      <c r="D51" s="244"/>
      <c r="E51" s="244"/>
      <c r="F51" s="244"/>
      <c r="G51" s="244"/>
      <c r="H51" s="244"/>
      <c r="I51" s="244"/>
      <c r="J51" s="244"/>
      <c r="K51" s="244"/>
      <c r="L51" s="244"/>
      <c r="M51" s="244"/>
      <c r="N51" s="244"/>
      <c r="O51" s="244"/>
      <c r="P51" s="244"/>
      <c r="Q51" s="244"/>
      <c r="R51" s="245"/>
      <c r="S51" s="245"/>
      <c r="T51" s="245"/>
      <c r="U51" s="245"/>
      <c r="V51" s="245"/>
    </row>
    <row r="52" spans="1:22" ht="17.100000000000001" customHeight="1">
      <c r="A52" s="244" t="s">
        <v>2409</v>
      </c>
      <c r="B52" s="244"/>
      <c r="C52" s="244"/>
      <c r="D52" s="244"/>
      <c r="E52" s="244"/>
      <c r="F52" s="244"/>
      <c r="G52" s="244"/>
      <c r="H52" s="244"/>
      <c r="I52" s="244"/>
      <c r="J52" s="244"/>
      <c r="K52" s="244"/>
      <c r="L52" s="244"/>
      <c r="M52" s="244"/>
      <c r="N52" s="244"/>
      <c r="O52" s="244"/>
      <c r="P52" s="244"/>
      <c r="Q52" s="246" t="s">
        <v>2410</v>
      </c>
      <c r="R52" s="245"/>
      <c r="S52" s="245"/>
      <c r="T52" s="245"/>
      <c r="U52" s="245"/>
      <c r="V52" s="245"/>
    </row>
    <row r="53" spans="1:22" ht="17.100000000000001" customHeight="1">
      <c r="A53" s="244" t="s">
        <v>645</v>
      </c>
      <c r="B53" s="244"/>
      <c r="C53" s="244"/>
      <c r="D53" s="244"/>
      <c r="E53" s="244"/>
      <c r="F53" s="244"/>
      <c r="G53" s="244"/>
      <c r="H53" s="244"/>
      <c r="I53" s="244"/>
      <c r="J53" s="244"/>
      <c r="K53" s="244"/>
      <c r="L53" s="244"/>
      <c r="M53" s="244"/>
      <c r="N53" s="244"/>
      <c r="O53" s="244"/>
      <c r="P53" s="244"/>
      <c r="Q53" s="244"/>
      <c r="R53" s="245"/>
      <c r="S53" s="245"/>
      <c r="T53" s="245"/>
      <c r="U53" s="245"/>
      <c r="V53" s="245"/>
    </row>
    <row r="54" spans="1:22" ht="17.100000000000001" customHeight="1">
      <c r="A54" s="244" t="s">
        <v>699</v>
      </c>
      <c r="B54" s="244"/>
      <c r="C54" s="244"/>
      <c r="D54" s="244"/>
      <c r="E54" s="244"/>
      <c r="F54" s="244"/>
      <c r="G54" s="244"/>
      <c r="H54" s="244"/>
      <c r="I54" s="244"/>
      <c r="J54" s="244"/>
      <c r="K54" s="244"/>
      <c r="L54" s="244"/>
      <c r="M54" s="244"/>
      <c r="N54" s="244"/>
      <c r="O54" s="244"/>
      <c r="P54" s="244"/>
      <c r="Q54" s="244" t="s">
        <v>2411</v>
      </c>
      <c r="R54" s="245"/>
      <c r="S54" s="245"/>
      <c r="T54" s="245"/>
      <c r="U54" s="245"/>
      <c r="V54" s="245"/>
    </row>
    <row r="55" spans="1:22" ht="17.100000000000001" customHeight="1">
      <c r="A55" s="244" t="s">
        <v>2412</v>
      </c>
      <c r="B55" s="244"/>
      <c r="C55" s="244"/>
      <c r="D55" s="244"/>
      <c r="E55" s="244"/>
      <c r="F55" s="244"/>
      <c r="G55" s="244"/>
      <c r="H55" s="244"/>
      <c r="I55" s="244"/>
      <c r="J55" s="244"/>
      <c r="K55" s="244"/>
      <c r="L55" s="244"/>
      <c r="M55" s="244"/>
      <c r="N55" s="244"/>
      <c r="O55" s="244"/>
      <c r="P55" s="244"/>
      <c r="Q55" s="244"/>
      <c r="R55" s="245"/>
      <c r="S55" s="245"/>
      <c r="T55" s="245"/>
      <c r="U55" s="245"/>
      <c r="V55" s="245"/>
    </row>
    <row r="56" spans="1:22" ht="17.100000000000001" customHeight="1">
      <c r="A56" s="244" t="s">
        <v>2413</v>
      </c>
      <c r="B56" s="244"/>
      <c r="C56" s="244"/>
      <c r="D56" s="244"/>
      <c r="E56" s="244"/>
      <c r="F56" s="244"/>
      <c r="G56" s="244"/>
      <c r="H56" s="244"/>
      <c r="I56" s="244"/>
      <c r="J56" s="244"/>
      <c r="K56" s="244"/>
      <c r="L56" s="244"/>
      <c r="M56" s="244"/>
      <c r="N56" s="244"/>
      <c r="O56" s="244"/>
      <c r="P56" s="244"/>
      <c r="Q56" s="246" t="s">
        <v>2414</v>
      </c>
      <c r="R56" s="245"/>
      <c r="S56" s="245"/>
      <c r="T56" s="245"/>
      <c r="U56" s="245"/>
      <c r="V56" s="245"/>
    </row>
    <row r="57" spans="1:22" ht="17.100000000000001" customHeight="1">
      <c r="A57" s="244" t="s">
        <v>2415</v>
      </c>
      <c r="B57" s="244"/>
      <c r="C57" s="244"/>
      <c r="D57" s="244"/>
      <c r="E57" s="244"/>
      <c r="F57" s="244"/>
      <c r="G57" s="244"/>
      <c r="H57" s="244"/>
      <c r="I57" s="244"/>
      <c r="J57" s="244"/>
      <c r="K57" s="244"/>
      <c r="L57" s="244"/>
      <c r="M57" s="244"/>
      <c r="N57" s="244"/>
      <c r="O57" s="244"/>
      <c r="P57" s="244"/>
      <c r="Q57" s="247"/>
      <c r="R57" s="245"/>
      <c r="S57" s="245"/>
      <c r="T57" s="245"/>
      <c r="U57" s="245"/>
      <c r="V57" s="245"/>
    </row>
    <row r="58" spans="1:22" ht="17.100000000000001" customHeight="1">
      <c r="A58" s="244" t="s">
        <v>2416</v>
      </c>
      <c r="B58" s="244"/>
      <c r="C58" s="244"/>
      <c r="D58" s="244"/>
      <c r="E58" s="244"/>
      <c r="F58" s="244"/>
      <c r="G58" s="244"/>
      <c r="H58" s="244"/>
      <c r="I58" s="244"/>
      <c r="J58" s="244"/>
      <c r="K58" s="244"/>
      <c r="L58" s="244"/>
      <c r="M58" s="244"/>
      <c r="N58" s="244"/>
      <c r="O58" s="244"/>
      <c r="P58" s="244"/>
      <c r="Q58" s="247" t="s">
        <v>2417</v>
      </c>
      <c r="R58" s="245"/>
      <c r="S58" s="245"/>
      <c r="T58" s="245"/>
      <c r="U58" s="245"/>
      <c r="V58" s="245"/>
    </row>
    <row r="59" spans="1:22" ht="17.100000000000001" customHeight="1">
      <c r="A59" s="244" t="s">
        <v>2418</v>
      </c>
      <c r="B59" s="244"/>
      <c r="C59" s="244"/>
      <c r="D59" s="244"/>
      <c r="E59" s="244"/>
      <c r="F59" s="244"/>
      <c r="G59" s="244"/>
      <c r="H59" s="244"/>
      <c r="I59" s="244"/>
      <c r="J59" s="244"/>
      <c r="K59" s="244"/>
      <c r="L59" s="244"/>
      <c r="M59" s="244"/>
      <c r="N59" s="244"/>
      <c r="O59" s="244"/>
      <c r="P59" s="244"/>
      <c r="Q59" s="247" t="s">
        <v>2419</v>
      </c>
      <c r="R59" s="245"/>
      <c r="S59" s="245"/>
      <c r="T59" s="245"/>
      <c r="U59" s="245"/>
      <c r="V59" s="245"/>
    </row>
    <row r="60" spans="1:22" ht="17.100000000000001" customHeight="1">
      <c r="A60" s="244"/>
      <c r="B60" s="244"/>
      <c r="C60" s="244"/>
      <c r="D60" s="244"/>
      <c r="E60" s="244"/>
      <c r="F60" s="244"/>
      <c r="G60" s="244"/>
      <c r="H60" s="244"/>
      <c r="I60" s="244"/>
      <c r="J60" s="244"/>
      <c r="K60" s="244"/>
      <c r="L60" s="244"/>
      <c r="M60" s="244"/>
      <c r="N60" s="244"/>
      <c r="O60" s="244"/>
      <c r="P60" s="244"/>
      <c r="Q60" s="247" t="s">
        <v>2420</v>
      </c>
      <c r="R60" s="245"/>
      <c r="S60" s="245"/>
      <c r="T60" s="245"/>
      <c r="U60" s="245"/>
      <c r="V60" s="245"/>
    </row>
    <row r="61" spans="1:22" ht="17.100000000000001" customHeight="1">
      <c r="A61" s="244"/>
      <c r="B61" s="244"/>
      <c r="C61" s="244"/>
      <c r="D61" s="244"/>
      <c r="E61" s="244"/>
      <c r="F61" s="244"/>
      <c r="G61" s="244"/>
      <c r="H61" s="244"/>
      <c r="I61" s="244"/>
      <c r="J61" s="244"/>
      <c r="K61" s="244"/>
      <c r="L61" s="244"/>
      <c r="M61" s="244"/>
      <c r="N61" s="244"/>
      <c r="O61" s="244"/>
      <c r="P61" s="244"/>
      <c r="Q61" s="247" t="s">
        <v>2421</v>
      </c>
      <c r="R61" s="245"/>
      <c r="S61" s="245"/>
      <c r="T61" s="245"/>
      <c r="U61" s="245"/>
      <c r="V61" s="245"/>
    </row>
    <row r="62" spans="1:22" ht="17.100000000000001" customHeight="1">
      <c r="A62" s="244" t="s">
        <v>2422</v>
      </c>
      <c r="B62" s="244"/>
      <c r="C62" s="244"/>
      <c r="D62" s="244"/>
      <c r="E62" s="244"/>
      <c r="F62" s="244"/>
      <c r="G62" s="244"/>
      <c r="H62" s="244"/>
      <c r="I62" s="244"/>
      <c r="J62" s="244"/>
      <c r="K62" s="244"/>
      <c r="L62" s="244"/>
      <c r="M62" s="244"/>
      <c r="N62" s="244"/>
      <c r="O62" s="244"/>
      <c r="P62" s="244"/>
      <c r="Q62" s="244"/>
      <c r="R62" s="245"/>
      <c r="S62" s="245"/>
      <c r="T62" s="245"/>
      <c r="U62" s="245"/>
      <c r="V62" s="245"/>
    </row>
    <row r="63" spans="1:22" ht="17.100000000000001" customHeight="1">
      <c r="A63" s="244" t="s">
        <v>2423</v>
      </c>
      <c r="B63" s="244"/>
      <c r="C63" s="244"/>
      <c r="D63" s="244"/>
      <c r="E63" s="244"/>
      <c r="F63" s="244"/>
      <c r="G63" s="244"/>
      <c r="H63" s="244"/>
      <c r="I63" s="244"/>
      <c r="J63" s="244"/>
      <c r="K63" s="244"/>
      <c r="L63" s="244"/>
      <c r="M63" s="244"/>
      <c r="N63" s="244"/>
      <c r="O63" s="244"/>
      <c r="P63" s="244"/>
      <c r="Q63" s="246" t="s">
        <v>2424</v>
      </c>
      <c r="R63" s="245"/>
      <c r="S63" s="245"/>
      <c r="T63" s="245"/>
      <c r="U63" s="245"/>
      <c r="V63" s="245"/>
    </row>
    <row r="64" spans="1:22" ht="17.100000000000001" customHeight="1">
      <c r="A64" s="244" t="s">
        <v>2425</v>
      </c>
      <c r="B64" s="244"/>
      <c r="C64" s="244"/>
      <c r="D64" s="244"/>
      <c r="E64" s="244"/>
      <c r="F64" s="244"/>
      <c r="G64" s="244"/>
      <c r="H64" s="244"/>
      <c r="I64" s="244"/>
      <c r="J64" s="244"/>
      <c r="K64" s="244"/>
      <c r="L64" s="244"/>
      <c r="M64" s="244"/>
      <c r="N64" s="244"/>
      <c r="O64" s="244"/>
      <c r="P64" s="244"/>
      <c r="Q64" s="247"/>
      <c r="R64" s="245"/>
      <c r="S64" s="245"/>
      <c r="T64" s="245"/>
      <c r="U64" s="245"/>
      <c r="V64" s="245"/>
    </row>
    <row r="65" spans="1:22" ht="17.100000000000001" customHeight="1">
      <c r="A65" s="244" t="s">
        <v>2426</v>
      </c>
      <c r="B65" s="244"/>
      <c r="C65" s="244"/>
      <c r="D65" s="244"/>
      <c r="E65" s="244"/>
      <c r="F65" s="244"/>
      <c r="G65" s="244"/>
      <c r="H65" s="244"/>
      <c r="I65" s="244"/>
      <c r="J65" s="244"/>
      <c r="K65" s="244"/>
      <c r="L65" s="244"/>
      <c r="M65" s="244"/>
      <c r="N65" s="244"/>
      <c r="O65" s="244"/>
      <c r="P65" s="244"/>
      <c r="Q65" s="247" t="s">
        <v>2427</v>
      </c>
      <c r="R65" s="245"/>
      <c r="S65" s="245"/>
      <c r="T65" s="245"/>
      <c r="U65" s="245"/>
      <c r="V65" s="245"/>
    </row>
    <row r="66" spans="1:22" ht="17.100000000000001" customHeight="1">
      <c r="A66" s="244"/>
      <c r="B66" s="244"/>
      <c r="C66" s="244"/>
      <c r="D66" s="244"/>
      <c r="E66" s="244"/>
      <c r="F66" s="244"/>
      <c r="G66" s="244"/>
      <c r="H66" s="244"/>
      <c r="I66" s="244"/>
      <c r="J66" s="244"/>
      <c r="K66" s="244"/>
      <c r="L66" s="244"/>
      <c r="M66" s="244"/>
      <c r="N66" s="244"/>
      <c r="O66" s="244"/>
      <c r="P66" s="244"/>
      <c r="Q66" s="247" t="s">
        <v>2428</v>
      </c>
      <c r="R66" s="245"/>
      <c r="S66" s="245"/>
      <c r="T66" s="245"/>
      <c r="U66" s="245"/>
      <c r="V66" s="245"/>
    </row>
    <row r="67" spans="1:22" ht="17.100000000000001" customHeight="1">
      <c r="A67" s="244" t="s">
        <v>2429</v>
      </c>
      <c r="B67" s="244"/>
      <c r="C67" s="244"/>
      <c r="D67" s="244"/>
      <c r="E67" s="244"/>
      <c r="F67" s="244"/>
      <c r="G67" s="244"/>
      <c r="H67" s="244"/>
      <c r="I67" s="244"/>
      <c r="J67" s="244"/>
      <c r="K67" s="244"/>
      <c r="L67" s="244"/>
      <c r="M67" s="244"/>
      <c r="N67" s="244"/>
      <c r="O67" s="244"/>
      <c r="P67" s="244"/>
      <c r="Q67" s="247" t="s">
        <v>2430</v>
      </c>
      <c r="R67" s="245"/>
      <c r="S67" s="245"/>
      <c r="T67" s="245"/>
      <c r="U67" s="245"/>
      <c r="V67" s="245"/>
    </row>
    <row r="68" spans="1:22" ht="17.100000000000001" customHeight="1">
      <c r="A68" s="244" t="s">
        <v>2431</v>
      </c>
      <c r="B68" s="244"/>
      <c r="C68" s="244"/>
      <c r="D68" s="244"/>
      <c r="E68" s="244"/>
      <c r="F68" s="244"/>
      <c r="G68" s="244"/>
      <c r="H68" s="244"/>
      <c r="I68" s="244"/>
      <c r="J68" s="244"/>
      <c r="K68" s="244"/>
      <c r="L68" s="244"/>
      <c r="M68" s="244"/>
      <c r="N68" s="244"/>
      <c r="O68" s="244"/>
      <c r="P68" s="244"/>
      <c r="Q68" s="244"/>
      <c r="R68" s="245"/>
      <c r="S68" s="245"/>
      <c r="T68" s="245"/>
      <c r="U68" s="245"/>
      <c r="V68" s="245"/>
    </row>
    <row r="69" spans="1:22" ht="17.100000000000001" customHeight="1">
      <c r="A69" s="244" t="s">
        <v>2432</v>
      </c>
      <c r="B69" s="244"/>
      <c r="C69" s="244"/>
      <c r="D69" s="244"/>
      <c r="E69" s="244"/>
      <c r="F69" s="244"/>
      <c r="G69" s="244"/>
      <c r="H69" s="244"/>
      <c r="I69" s="244"/>
      <c r="J69" s="244"/>
      <c r="K69" s="244"/>
      <c r="L69" s="244"/>
      <c r="M69" s="244"/>
      <c r="N69" s="244"/>
      <c r="O69" s="244"/>
      <c r="P69" s="244"/>
      <c r="Q69" s="246" t="s">
        <v>2433</v>
      </c>
      <c r="R69" s="245"/>
      <c r="S69" s="245"/>
      <c r="T69" s="245"/>
      <c r="U69" s="245"/>
      <c r="V69" s="245"/>
    </row>
    <row r="70" spans="1:22" ht="17.100000000000001" customHeight="1">
      <c r="A70" s="244" t="s">
        <v>2434</v>
      </c>
      <c r="B70" s="244"/>
      <c r="C70" s="244"/>
      <c r="D70" s="244"/>
      <c r="E70" s="244"/>
      <c r="F70" s="244"/>
      <c r="G70" s="244"/>
      <c r="H70" s="244"/>
      <c r="I70" s="244"/>
      <c r="J70" s="244"/>
      <c r="K70" s="244"/>
      <c r="L70" s="244"/>
      <c r="M70" s="244"/>
      <c r="N70" s="244"/>
      <c r="O70" s="244"/>
      <c r="P70" s="244"/>
      <c r="Q70" s="247"/>
      <c r="R70" s="245"/>
      <c r="S70" s="245"/>
      <c r="T70" s="245"/>
      <c r="U70" s="245"/>
      <c r="V70" s="245"/>
    </row>
    <row r="71" spans="1:22" ht="17.100000000000001" customHeight="1">
      <c r="A71" s="244" t="s">
        <v>2435</v>
      </c>
      <c r="B71" s="244"/>
      <c r="C71" s="244"/>
      <c r="D71" s="244"/>
      <c r="E71" s="244"/>
      <c r="F71" s="244"/>
      <c r="G71" s="244"/>
      <c r="H71" s="244"/>
      <c r="I71" s="244"/>
      <c r="J71" s="244"/>
      <c r="K71" s="244"/>
      <c r="L71" s="244"/>
      <c r="M71" s="244"/>
      <c r="N71" s="244"/>
      <c r="O71" s="244"/>
      <c r="P71" s="244"/>
      <c r="Q71" s="247" t="s">
        <v>2417</v>
      </c>
      <c r="R71" s="245"/>
      <c r="S71" s="245"/>
      <c r="T71" s="245"/>
      <c r="U71" s="245"/>
      <c r="V71" s="245"/>
    </row>
    <row r="72" spans="1:22" ht="17.100000000000001" customHeight="1">
      <c r="A72" s="244" t="s">
        <v>2436</v>
      </c>
      <c r="B72" s="244"/>
      <c r="C72" s="244"/>
      <c r="D72" s="244"/>
      <c r="E72" s="244"/>
      <c r="F72" s="244"/>
      <c r="G72" s="244"/>
      <c r="H72" s="244"/>
      <c r="I72" s="244"/>
      <c r="J72" s="244"/>
      <c r="K72" s="244"/>
      <c r="L72" s="244"/>
      <c r="M72" s="244"/>
      <c r="N72" s="244"/>
      <c r="O72" s="244"/>
      <c r="P72" s="244"/>
      <c r="Q72" s="247" t="s">
        <v>2437</v>
      </c>
      <c r="R72" s="245"/>
      <c r="S72" s="245"/>
      <c r="T72" s="245"/>
      <c r="U72" s="245"/>
      <c r="V72" s="245"/>
    </row>
    <row r="73" spans="1:22" ht="17.100000000000001" customHeight="1">
      <c r="A73" s="244" t="s">
        <v>2438</v>
      </c>
      <c r="B73" s="244"/>
      <c r="C73" s="244"/>
      <c r="D73" s="244"/>
      <c r="E73" s="244"/>
      <c r="F73" s="244"/>
      <c r="G73" s="244"/>
      <c r="H73" s="244"/>
      <c r="I73" s="244"/>
      <c r="J73" s="244"/>
      <c r="K73" s="244"/>
      <c r="L73" s="244"/>
      <c r="M73" s="244"/>
      <c r="N73" s="244"/>
      <c r="O73" s="244"/>
      <c r="P73" s="244"/>
      <c r="Q73" s="247" t="s">
        <v>2439</v>
      </c>
      <c r="R73" s="245"/>
      <c r="S73" s="245"/>
      <c r="T73" s="245"/>
      <c r="U73" s="245"/>
      <c r="V73" s="245"/>
    </row>
    <row r="74" spans="1:22" ht="17.100000000000001" customHeight="1">
      <c r="A74" s="244" t="s">
        <v>2426</v>
      </c>
      <c r="B74" s="244"/>
      <c r="C74" s="244"/>
      <c r="D74" s="244"/>
      <c r="E74" s="244"/>
      <c r="F74" s="244"/>
      <c r="G74" s="244"/>
      <c r="H74" s="244"/>
      <c r="I74" s="244"/>
      <c r="J74" s="244"/>
      <c r="K74" s="244"/>
      <c r="L74" s="244"/>
      <c r="M74" s="244"/>
      <c r="N74" s="244"/>
      <c r="O74" s="244"/>
      <c r="P74" s="244"/>
      <c r="Q74" s="247" t="s">
        <v>2440</v>
      </c>
      <c r="R74" s="245"/>
      <c r="S74" s="245"/>
      <c r="T74" s="245"/>
      <c r="U74" s="245"/>
      <c r="V74" s="245"/>
    </row>
    <row r="75" spans="1:22" ht="17.100000000000001" customHeight="1">
      <c r="A75" s="244" t="s">
        <v>2441</v>
      </c>
      <c r="B75" s="244"/>
      <c r="C75" s="244"/>
      <c r="D75" s="244"/>
      <c r="E75" s="244"/>
      <c r="F75" s="244"/>
      <c r="G75" s="244"/>
      <c r="H75" s="244"/>
      <c r="I75" s="244"/>
      <c r="J75" s="244"/>
      <c r="K75" s="244"/>
      <c r="L75" s="244"/>
      <c r="M75" s="244"/>
      <c r="N75" s="244"/>
      <c r="O75" s="244"/>
      <c r="P75" s="244"/>
      <c r="Q75" s="244"/>
      <c r="R75" s="245"/>
      <c r="S75" s="245"/>
      <c r="T75" s="245"/>
      <c r="U75" s="245"/>
      <c r="V75" s="245"/>
    </row>
    <row r="76" spans="1:22" ht="17.100000000000001" customHeight="1">
      <c r="A76" s="244" t="s">
        <v>2442</v>
      </c>
      <c r="B76" s="244"/>
      <c r="C76" s="244"/>
      <c r="D76" s="244"/>
      <c r="E76" s="244"/>
      <c r="F76" s="244"/>
      <c r="G76" s="244"/>
      <c r="H76" s="244"/>
      <c r="I76" s="244"/>
      <c r="J76" s="244"/>
      <c r="K76" s="244"/>
      <c r="L76" s="244"/>
      <c r="M76" s="244"/>
      <c r="N76" s="244"/>
      <c r="O76" s="244"/>
      <c r="P76" s="244"/>
      <c r="Q76" s="244"/>
      <c r="R76" s="245"/>
      <c r="S76" s="245"/>
      <c r="T76" s="245"/>
      <c r="U76" s="245"/>
      <c r="V76" s="245"/>
    </row>
    <row r="77" spans="1:22" ht="17.100000000000001" customHeight="1">
      <c r="A77" s="244" t="s">
        <v>2443</v>
      </c>
      <c r="B77" s="244"/>
      <c r="C77" s="244"/>
      <c r="D77" s="244"/>
      <c r="E77" s="244"/>
      <c r="F77" s="244"/>
      <c r="G77" s="244"/>
      <c r="H77" s="244"/>
      <c r="I77" s="244"/>
      <c r="J77" s="244"/>
      <c r="K77" s="244"/>
      <c r="L77" s="244"/>
      <c r="M77" s="244"/>
      <c r="N77" s="244"/>
      <c r="O77" s="244"/>
      <c r="P77" s="244"/>
      <c r="Q77" s="244"/>
      <c r="R77" s="245"/>
      <c r="S77" s="245"/>
      <c r="T77" s="245"/>
      <c r="U77" s="245"/>
      <c r="V77" s="245"/>
    </row>
    <row r="78" spans="1:22" ht="17.100000000000001" customHeight="1">
      <c r="A78" s="244"/>
      <c r="B78" s="244"/>
      <c r="C78" s="244"/>
      <c r="D78" s="244"/>
      <c r="E78" s="244"/>
      <c r="F78" s="244"/>
      <c r="G78" s="244"/>
      <c r="H78" s="244"/>
      <c r="I78" s="244"/>
      <c r="J78" s="244"/>
      <c r="K78" s="244"/>
      <c r="L78" s="244"/>
      <c r="M78" s="244"/>
      <c r="N78" s="244"/>
      <c r="O78" s="244"/>
      <c r="P78" s="244"/>
      <c r="Q78" s="244"/>
      <c r="R78" s="245"/>
      <c r="S78" s="245"/>
      <c r="T78" s="245"/>
      <c r="U78" s="245"/>
      <c r="V78" s="245"/>
    </row>
    <row r="79" spans="1:22" ht="17.100000000000001" customHeight="1">
      <c r="A79" s="244" t="s">
        <v>2429</v>
      </c>
      <c r="B79" s="244"/>
      <c r="C79" s="244"/>
      <c r="D79" s="244"/>
      <c r="E79" s="244"/>
      <c r="F79" s="244"/>
      <c r="G79" s="244"/>
      <c r="H79" s="244"/>
      <c r="I79" s="244"/>
      <c r="J79" s="244"/>
      <c r="K79" s="244"/>
      <c r="L79" s="244"/>
      <c r="M79" s="244"/>
      <c r="N79" s="244"/>
      <c r="O79" s="244"/>
      <c r="P79" s="244"/>
      <c r="Q79" s="244"/>
      <c r="R79" s="245"/>
      <c r="S79" s="245"/>
      <c r="T79" s="245"/>
      <c r="U79" s="245"/>
      <c r="V79" s="245"/>
    </row>
    <row r="80" spans="1:22" ht="17.100000000000001" customHeight="1">
      <c r="A80" s="244" t="s">
        <v>2435</v>
      </c>
      <c r="B80" s="244"/>
      <c r="C80" s="244"/>
      <c r="D80" s="244"/>
      <c r="E80" s="244"/>
      <c r="F80" s="244"/>
      <c r="G80" s="244"/>
      <c r="H80" s="244"/>
      <c r="I80" s="244"/>
      <c r="J80" s="244"/>
      <c r="K80" s="244"/>
      <c r="L80" s="244"/>
      <c r="M80" s="244"/>
      <c r="N80" s="244"/>
      <c r="O80" s="244"/>
      <c r="P80" s="244"/>
      <c r="Q80" s="244"/>
      <c r="R80" s="245"/>
      <c r="S80" s="245"/>
      <c r="T80" s="245"/>
      <c r="U80" s="245"/>
      <c r="V80" s="245"/>
    </row>
    <row r="81" spans="1:22" ht="17.100000000000001" customHeight="1">
      <c r="A81" s="244" t="s">
        <v>2444</v>
      </c>
      <c r="B81" s="244"/>
      <c r="C81" s="244"/>
      <c r="D81" s="244"/>
      <c r="E81" s="244"/>
      <c r="F81" s="244"/>
      <c r="G81" s="244"/>
      <c r="H81" s="244"/>
      <c r="I81" s="244"/>
      <c r="J81" s="244"/>
      <c r="K81" s="244"/>
      <c r="L81" s="244"/>
      <c r="M81" s="244"/>
      <c r="N81" s="244"/>
      <c r="O81" s="244"/>
      <c r="P81" s="244"/>
      <c r="Q81" s="244"/>
      <c r="R81" s="245"/>
      <c r="S81" s="245"/>
      <c r="T81" s="245"/>
      <c r="U81" s="245"/>
      <c r="V81" s="245"/>
    </row>
    <row r="82" spans="1:22" ht="17.100000000000001" customHeight="1">
      <c r="A82" s="244" t="s">
        <v>2426</v>
      </c>
      <c r="B82" s="244"/>
      <c r="C82" s="244"/>
      <c r="D82" s="244"/>
      <c r="E82" s="244"/>
      <c r="F82" s="244"/>
      <c r="G82" s="244"/>
      <c r="H82" s="244"/>
      <c r="I82" s="244"/>
      <c r="J82" s="244"/>
      <c r="K82" s="244"/>
      <c r="L82" s="244"/>
      <c r="M82" s="244"/>
      <c r="N82" s="244"/>
      <c r="O82" s="244"/>
      <c r="P82" s="244"/>
      <c r="Q82" s="244"/>
      <c r="R82" s="245"/>
      <c r="S82" s="245"/>
      <c r="T82" s="245"/>
      <c r="U82" s="245"/>
      <c r="V82" s="245"/>
    </row>
    <row r="83" spans="1:22">
      <c r="A83" s="245"/>
      <c r="B83" s="245"/>
      <c r="C83" s="245"/>
      <c r="D83" s="245"/>
      <c r="E83" s="245"/>
      <c r="F83" s="245"/>
      <c r="G83" s="245"/>
      <c r="H83" s="245"/>
      <c r="I83" s="245"/>
      <c r="J83" s="245"/>
      <c r="K83" s="245"/>
      <c r="L83" s="245"/>
      <c r="M83" s="245"/>
      <c r="N83" s="245"/>
      <c r="O83" s="245"/>
      <c r="P83" s="245"/>
      <c r="Q83" s="245"/>
      <c r="R83" s="245"/>
      <c r="S83" s="245"/>
      <c r="T83" s="245"/>
      <c r="U83" s="245"/>
      <c r="V83" s="245"/>
    </row>
    <row r="84" spans="1:22">
      <c r="A84" s="245"/>
      <c r="B84" s="245"/>
      <c r="C84" s="245"/>
      <c r="D84" s="245"/>
      <c r="E84" s="245"/>
      <c r="F84" s="245"/>
      <c r="G84" s="245"/>
      <c r="H84" s="245"/>
      <c r="I84" s="245"/>
      <c r="J84" s="245"/>
      <c r="K84" s="245"/>
      <c r="L84" s="245"/>
      <c r="M84" s="245"/>
      <c r="N84" s="245"/>
      <c r="O84" s="245"/>
      <c r="P84" s="245"/>
      <c r="Q84" s="245"/>
      <c r="R84" s="245"/>
      <c r="S84" s="245"/>
      <c r="T84" s="245"/>
      <c r="U84" s="245"/>
      <c r="V84" s="245"/>
    </row>
    <row r="85" spans="1:22">
      <c r="A85" s="245"/>
      <c r="B85" s="245"/>
      <c r="C85" s="245"/>
      <c r="D85" s="245"/>
      <c r="E85" s="245"/>
      <c r="F85" s="245"/>
      <c r="G85" s="245"/>
      <c r="H85" s="245"/>
      <c r="I85" s="245"/>
      <c r="J85" s="245"/>
      <c r="K85" s="245"/>
      <c r="L85" s="245"/>
      <c r="M85" s="245"/>
      <c r="N85" s="245"/>
      <c r="O85" s="245"/>
      <c r="P85" s="245"/>
      <c r="Q85" s="245"/>
      <c r="R85" s="245"/>
      <c r="S85" s="245"/>
      <c r="T85" s="245"/>
      <c r="U85" s="245"/>
      <c r="V85" s="245"/>
    </row>
    <row r="86" spans="1:22">
      <c r="A86" s="245"/>
      <c r="B86" s="245"/>
      <c r="C86" s="245"/>
      <c r="D86" s="245"/>
      <c r="E86" s="245"/>
      <c r="F86" s="245"/>
      <c r="G86" s="245"/>
      <c r="H86" s="245"/>
      <c r="I86" s="245"/>
      <c r="J86" s="245"/>
      <c r="K86" s="245"/>
      <c r="L86" s="245"/>
      <c r="M86" s="245"/>
      <c r="N86" s="245"/>
      <c r="O86" s="245"/>
      <c r="P86" s="245"/>
      <c r="Q86" s="245"/>
      <c r="R86" s="245"/>
      <c r="S86" s="245"/>
      <c r="T86" s="245"/>
      <c r="U86" s="245"/>
      <c r="V86" s="245"/>
    </row>
    <row r="87" spans="1:22">
      <c r="A87" s="245"/>
      <c r="B87" s="245"/>
      <c r="C87" s="245"/>
      <c r="D87" s="245"/>
      <c r="E87" s="245"/>
      <c r="F87" s="245"/>
      <c r="G87" s="245"/>
      <c r="H87" s="245"/>
      <c r="I87" s="245"/>
      <c r="J87" s="245"/>
      <c r="K87" s="245"/>
      <c r="L87" s="245"/>
      <c r="M87" s="245"/>
      <c r="N87" s="245"/>
      <c r="O87" s="245"/>
      <c r="P87" s="245"/>
      <c r="Q87" s="245"/>
      <c r="R87" s="245"/>
      <c r="S87" s="245"/>
      <c r="T87" s="245"/>
      <c r="U87" s="245"/>
      <c r="V87" s="245"/>
    </row>
    <row r="88" spans="1:22">
      <c r="A88" s="245"/>
      <c r="B88" s="245"/>
      <c r="C88" s="245"/>
      <c r="D88" s="245"/>
      <c r="E88" s="245"/>
      <c r="F88" s="245"/>
      <c r="G88" s="245"/>
      <c r="H88" s="245"/>
      <c r="I88" s="245"/>
      <c r="J88" s="245"/>
      <c r="K88" s="245"/>
      <c r="L88" s="245"/>
      <c r="M88" s="245"/>
      <c r="N88" s="245"/>
      <c r="O88" s="245"/>
      <c r="P88" s="245"/>
      <c r="Q88" s="245"/>
      <c r="R88" s="245"/>
      <c r="S88" s="245"/>
      <c r="T88" s="245"/>
      <c r="U88" s="245"/>
      <c r="V88" s="245"/>
    </row>
    <row r="89" spans="1:22">
      <c r="A89" s="245"/>
      <c r="B89" s="245"/>
      <c r="C89" s="245"/>
      <c r="D89" s="245"/>
      <c r="E89" s="245"/>
      <c r="F89" s="245"/>
      <c r="G89" s="245"/>
      <c r="H89" s="245"/>
      <c r="I89" s="245"/>
      <c r="J89" s="245"/>
      <c r="K89" s="245"/>
      <c r="L89" s="245"/>
      <c r="M89" s="245"/>
      <c r="N89" s="245"/>
      <c r="O89" s="245"/>
      <c r="P89" s="245"/>
      <c r="Q89" s="245"/>
      <c r="R89" s="245"/>
      <c r="S89" s="245"/>
      <c r="T89" s="245"/>
      <c r="U89" s="245"/>
      <c r="V89" s="245"/>
    </row>
    <row r="90" spans="1:22">
      <c r="A90" s="245"/>
      <c r="B90" s="245"/>
      <c r="C90" s="245"/>
      <c r="D90" s="245"/>
      <c r="E90" s="245"/>
      <c r="F90" s="245"/>
      <c r="G90" s="245"/>
      <c r="H90" s="245"/>
      <c r="I90" s="245"/>
      <c r="J90" s="245"/>
      <c r="K90" s="245"/>
      <c r="L90" s="245"/>
      <c r="M90" s="245"/>
      <c r="N90" s="245"/>
      <c r="O90" s="245"/>
      <c r="P90" s="245"/>
      <c r="Q90" s="245"/>
      <c r="R90" s="245"/>
      <c r="S90" s="245"/>
      <c r="T90" s="245"/>
      <c r="U90" s="245"/>
      <c r="V90" s="245"/>
    </row>
    <row r="91" spans="1:22">
      <c r="A91" s="245"/>
      <c r="B91" s="245"/>
      <c r="C91" s="245"/>
      <c r="D91" s="245"/>
      <c r="E91" s="245"/>
      <c r="F91" s="245"/>
      <c r="G91" s="245"/>
      <c r="H91" s="245"/>
      <c r="I91" s="245"/>
      <c r="J91" s="245"/>
      <c r="K91" s="245"/>
      <c r="L91" s="245"/>
      <c r="M91" s="245"/>
      <c r="N91" s="245"/>
      <c r="O91" s="245"/>
      <c r="P91" s="245"/>
      <c r="Q91" s="245"/>
      <c r="R91" s="245"/>
      <c r="S91" s="245"/>
      <c r="T91" s="245"/>
      <c r="U91" s="245"/>
      <c r="V91" s="245"/>
    </row>
    <row r="92" spans="1:22">
      <c r="A92" s="245"/>
      <c r="B92" s="245"/>
      <c r="C92" s="245"/>
      <c r="D92" s="245"/>
      <c r="E92" s="245"/>
      <c r="F92" s="245"/>
      <c r="G92" s="245"/>
      <c r="H92" s="245"/>
      <c r="I92" s="245"/>
      <c r="J92" s="245"/>
      <c r="K92" s="245"/>
      <c r="L92" s="245"/>
      <c r="M92" s="245"/>
      <c r="N92" s="245"/>
      <c r="O92" s="245"/>
      <c r="P92" s="245"/>
      <c r="Q92" s="245"/>
      <c r="R92" s="245"/>
      <c r="S92" s="245"/>
      <c r="T92" s="245"/>
      <c r="U92" s="245"/>
      <c r="V92" s="245"/>
    </row>
    <row r="93" spans="1:22">
      <c r="A93" s="245"/>
      <c r="B93" s="245"/>
      <c r="C93" s="245"/>
      <c r="D93" s="245"/>
      <c r="E93" s="245"/>
      <c r="F93" s="245"/>
      <c r="G93" s="245"/>
      <c r="H93" s="245"/>
      <c r="I93" s="245"/>
      <c r="J93" s="245"/>
      <c r="K93" s="245"/>
      <c r="L93" s="245"/>
      <c r="M93" s="245"/>
      <c r="N93" s="245"/>
      <c r="O93" s="245"/>
      <c r="P93" s="245"/>
      <c r="Q93" s="245"/>
      <c r="R93" s="245"/>
      <c r="S93" s="245"/>
      <c r="T93" s="245"/>
      <c r="U93" s="245"/>
      <c r="V93" s="245"/>
    </row>
    <row r="94" spans="1:22">
      <c r="A94" s="245"/>
      <c r="B94" s="245"/>
      <c r="C94" s="245"/>
      <c r="D94" s="245"/>
      <c r="E94" s="245"/>
      <c r="F94" s="245"/>
      <c r="G94" s="245"/>
      <c r="H94" s="245"/>
      <c r="I94" s="245"/>
      <c r="J94" s="245"/>
      <c r="K94" s="245"/>
      <c r="L94" s="245"/>
      <c r="M94" s="245"/>
      <c r="N94" s="245"/>
      <c r="O94" s="245"/>
      <c r="P94" s="245"/>
      <c r="Q94" s="245"/>
      <c r="R94" s="245"/>
      <c r="S94" s="245"/>
      <c r="T94" s="245"/>
      <c r="U94" s="245"/>
      <c r="V94" s="245"/>
    </row>
    <row r="95" spans="1:22">
      <c r="A95" s="245"/>
      <c r="B95" s="245"/>
      <c r="C95" s="245"/>
      <c r="D95" s="245"/>
      <c r="E95" s="245"/>
      <c r="F95" s="245"/>
      <c r="G95" s="245"/>
      <c r="H95" s="245"/>
      <c r="I95" s="245"/>
      <c r="J95" s="245"/>
      <c r="K95" s="245"/>
      <c r="L95" s="245"/>
      <c r="M95" s="245"/>
      <c r="N95" s="245"/>
      <c r="O95" s="245"/>
      <c r="P95" s="245"/>
      <c r="Q95" s="245"/>
      <c r="R95" s="245"/>
      <c r="S95" s="245"/>
      <c r="T95" s="245"/>
      <c r="U95" s="245"/>
      <c r="V95" s="245"/>
    </row>
    <row r="96" spans="1:22">
      <c r="A96" s="245"/>
      <c r="B96" s="245"/>
      <c r="C96" s="245"/>
      <c r="D96" s="245"/>
      <c r="E96" s="245"/>
      <c r="F96" s="245"/>
      <c r="G96" s="245"/>
      <c r="H96" s="245"/>
      <c r="I96" s="245"/>
      <c r="J96" s="245"/>
      <c r="K96" s="245"/>
      <c r="L96" s="245"/>
      <c r="M96" s="245"/>
      <c r="N96" s="245"/>
      <c r="O96" s="245"/>
      <c r="P96" s="245"/>
      <c r="Q96" s="245"/>
      <c r="R96" s="245"/>
      <c r="S96" s="245"/>
      <c r="T96" s="245"/>
      <c r="U96" s="245"/>
      <c r="V96" s="245"/>
    </row>
    <row r="97" spans="1:22">
      <c r="A97" s="245"/>
      <c r="B97" s="245"/>
      <c r="C97" s="245"/>
      <c r="D97" s="245"/>
      <c r="E97" s="245"/>
      <c r="F97" s="245"/>
      <c r="G97" s="245"/>
      <c r="H97" s="245"/>
      <c r="I97" s="245"/>
      <c r="J97" s="245"/>
      <c r="K97" s="245"/>
      <c r="L97" s="245"/>
      <c r="M97" s="245"/>
      <c r="N97" s="245"/>
      <c r="O97" s="245"/>
      <c r="P97" s="245"/>
      <c r="Q97" s="245"/>
      <c r="R97" s="245"/>
      <c r="S97" s="245"/>
      <c r="T97" s="245"/>
      <c r="U97" s="245"/>
      <c r="V97" s="245"/>
    </row>
    <row r="98" spans="1:22">
      <c r="A98" s="245"/>
      <c r="B98" s="245"/>
      <c r="C98" s="245"/>
      <c r="D98" s="245"/>
      <c r="E98" s="245"/>
      <c r="F98" s="245"/>
      <c r="G98" s="245"/>
      <c r="H98" s="245"/>
      <c r="I98" s="245"/>
      <c r="J98" s="245"/>
      <c r="K98" s="245"/>
      <c r="L98" s="245"/>
      <c r="M98" s="245"/>
      <c r="N98" s="245"/>
      <c r="O98" s="245"/>
      <c r="P98" s="245"/>
      <c r="Q98" s="245"/>
      <c r="R98" s="245"/>
      <c r="S98" s="245"/>
      <c r="T98" s="245"/>
      <c r="U98" s="245"/>
      <c r="V98" s="245"/>
    </row>
    <row r="99" spans="1:22">
      <c r="A99" s="245"/>
      <c r="B99" s="245"/>
      <c r="C99" s="245"/>
      <c r="D99" s="245"/>
      <c r="E99" s="245"/>
      <c r="F99" s="245"/>
      <c r="G99" s="245"/>
      <c r="H99" s="245"/>
      <c r="I99" s="245"/>
      <c r="J99" s="245"/>
      <c r="K99" s="245"/>
      <c r="L99" s="245"/>
      <c r="M99" s="245"/>
      <c r="N99" s="245"/>
      <c r="O99" s="245"/>
      <c r="P99" s="245"/>
      <c r="Q99" s="245"/>
      <c r="R99" s="245"/>
      <c r="S99" s="245"/>
      <c r="T99" s="245"/>
      <c r="U99" s="245"/>
      <c r="V99" s="24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theme="5" tint="-0.249977111117893"/>
  </sheetPr>
  <dimension ref="A1:AH213"/>
  <sheetViews>
    <sheetView showGridLines="0" zoomScaleNormal="100" workbookViewId="0"/>
  </sheetViews>
  <sheetFormatPr defaultRowHeight="15"/>
  <sheetData>
    <row r="1" spans="1:34" ht="30.75" customHeight="1">
      <c r="A1" s="22"/>
      <c r="B1" s="30"/>
      <c r="C1" s="30"/>
      <c r="D1" s="30"/>
      <c r="E1" s="30"/>
      <c r="F1" s="30"/>
      <c r="G1" s="30"/>
      <c r="H1" s="30"/>
      <c r="I1" s="43" t="s">
        <v>4328</v>
      </c>
      <c r="J1" s="22"/>
      <c r="K1" s="30"/>
      <c r="L1" s="30"/>
      <c r="M1" s="22"/>
      <c r="N1" s="30"/>
      <c r="O1" s="30"/>
      <c r="P1" s="30"/>
      <c r="Q1" s="30"/>
      <c r="R1" s="30"/>
      <c r="S1" s="30"/>
      <c r="T1" s="30"/>
      <c r="U1" s="30"/>
      <c r="V1" s="30"/>
      <c r="W1" s="30"/>
      <c r="X1" s="30"/>
      <c r="Y1" s="30"/>
      <c r="Z1" s="30"/>
      <c r="AA1" s="30"/>
      <c r="AB1" s="30"/>
      <c r="AC1" s="30"/>
      <c r="AD1" s="30"/>
      <c r="AE1" s="30"/>
      <c r="AF1" s="30"/>
      <c r="AG1" s="22"/>
    </row>
    <row r="2" spans="1:34" s="34" customFormat="1" ht="15" customHeight="1">
      <c r="A2" s="32" t="s">
        <v>2445</v>
      </c>
      <c r="B2" s="33"/>
      <c r="C2" s="33"/>
      <c r="D2" s="33"/>
      <c r="E2" s="33"/>
      <c r="F2" s="33"/>
      <c r="G2" s="33"/>
      <c r="H2" s="32" t="s">
        <v>2446</v>
      </c>
      <c r="I2" s="33"/>
      <c r="J2" s="33"/>
      <c r="K2" s="33"/>
      <c r="L2" s="33"/>
      <c r="M2" s="33"/>
      <c r="N2" s="33"/>
      <c r="O2" s="32" t="s">
        <v>2447</v>
      </c>
      <c r="P2" s="33"/>
      <c r="Q2" s="33"/>
      <c r="R2" s="33"/>
      <c r="S2" s="33"/>
      <c r="T2" s="33"/>
      <c r="U2" s="33"/>
      <c r="V2" s="33"/>
      <c r="W2" s="32" t="s">
        <v>2448</v>
      </c>
      <c r="AH2" s="31"/>
    </row>
    <row r="3" spans="1:34" ht="17.100000000000001" customHeight="1">
      <c r="A3" s="3" t="s">
        <v>2449</v>
      </c>
      <c r="B3" s="3"/>
      <c r="C3" s="3"/>
      <c r="D3" s="3"/>
      <c r="E3" s="3"/>
      <c r="F3" s="3"/>
      <c r="G3" s="3"/>
      <c r="H3" s="3"/>
      <c r="I3" s="3"/>
      <c r="J3" s="3"/>
      <c r="K3" s="3"/>
      <c r="L3" s="3"/>
      <c r="M3" s="3"/>
      <c r="N3" s="3"/>
      <c r="O3" s="3"/>
      <c r="P3" s="3"/>
      <c r="Q3" s="3"/>
      <c r="R3" s="3"/>
      <c r="S3" s="3"/>
      <c r="T3" s="3"/>
      <c r="U3" s="3"/>
      <c r="V3" s="3"/>
      <c r="W3" s="240"/>
      <c r="X3" s="45"/>
      <c r="Y3" s="45"/>
      <c r="Z3" s="45"/>
      <c r="AA3" s="45"/>
      <c r="AB3" s="45"/>
      <c r="AC3" s="45"/>
      <c r="AD3" s="45"/>
      <c r="AE3" s="45"/>
    </row>
    <row r="4" spans="1:34" ht="17.100000000000001" customHeight="1">
      <c r="A4" s="3" t="s">
        <v>2450</v>
      </c>
      <c r="B4" s="3"/>
      <c r="C4" s="3"/>
      <c r="D4" s="3"/>
      <c r="E4" s="3"/>
      <c r="F4" s="3"/>
      <c r="G4" s="3"/>
      <c r="H4" s="3" t="s">
        <v>2451</v>
      </c>
      <c r="I4" s="3"/>
      <c r="J4" s="3"/>
      <c r="K4" s="3"/>
      <c r="L4" s="3"/>
      <c r="M4" s="3"/>
      <c r="N4" s="3"/>
      <c r="O4" s="3" t="s">
        <v>2451</v>
      </c>
      <c r="P4" s="3"/>
      <c r="Q4" s="3"/>
      <c r="R4" s="3"/>
      <c r="S4" s="3"/>
      <c r="T4" s="3"/>
      <c r="U4" s="3"/>
      <c r="V4" s="3"/>
      <c r="W4" s="240" t="s">
        <v>2451</v>
      </c>
      <c r="X4" s="45"/>
      <c r="Y4" s="45"/>
      <c r="Z4" s="45"/>
      <c r="AA4" s="45"/>
      <c r="AB4" s="45"/>
      <c r="AC4" s="45"/>
      <c r="AD4" s="45"/>
      <c r="AE4" s="45"/>
    </row>
    <row r="5" spans="1:34" ht="17.100000000000001" customHeight="1">
      <c r="A5" s="3" t="s">
        <v>2450</v>
      </c>
      <c r="B5" s="3"/>
      <c r="C5" s="3"/>
      <c r="D5" s="3"/>
      <c r="E5" s="3"/>
      <c r="F5" s="3"/>
      <c r="G5" s="3"/>
      <c r="H5" s="3" t="s">
        <v>350</v>
      </c>
      <c r="I5" s="3"/>
      <c r="J5" s="3"/>
      <c r="K5" s="3"/>
      <c r="L5" s="3"/>
      <c r="M5" s="240"/>
      <c r="N5" s="3"/>
      <c r="O5" s="3" t="s">
        <v>350</v>
      </c>
      <c r="P5" s="3"/>
      <c r="Q5" s="3"/>
      <c r="R5" s="3"/>
      <c r="S5" s="3"/>
      <c r="T5" s="3"/>
      <c r="U5" s="3"/>
      <c r="V5" s="3"/>
      <c r="W5" s="240" t="s">
        <v>350</v>
      </c>
      <c r="X5" s="45"/>
      <c r="Y5" s="45"/>
      <c r="Z5" s="45"/>
      <c r="AA5" s="45"/>
      <c r="AB5" s="45"/>
      <c r="AC5" s="45"/>
      <c r="AD5" s="45"/>
      <c r="AE5" s="45"/>
    </row>
    <row r="6" spans="1:34" ht="17.100000000000001" customHeight="1">
      <c r="A6" s="3" t="s">
        <v>2452</v>
      </c>
      <c r="B6" s="3"/>
      <c r="C6" s="3"/>
      <c r="D6" s="3"/>
      <c r="E6" s="3"/>
      <c r="F6" s="3"/>
      <c r="G6" s="3"/>
      <c r="H6" s="3"/>
      <c r="I6" s="3"/>
      <c r="J6" s="3"/>
      <c r="K6" s="3"/>
      <c r="L6" s="3"/>
      <c r="M6" s="3"/>
      <c r="N6" s="3"/>
      <c r="O6" s="3"/>
      <c r="P6" s="3"/>
      <c r="Q6" s="3"/>
      <c r="R6" s="3"/>
      <c r="S6" s="3"/>
      <c r="T6" s="3"/>
      <c r="U6" s="3"/>
      <c r="V6" s="3"/>
      <c r="W6" s="240"/>
      <c r="X6" s="45"/>
      <c r="Y6" s="45"/>
      <c r="Z6" s="45"/>
      <c r="AA6" s="45"/>
      <c r="AB6" s="45"/>
      <c r="AC6" s="45"/>
      <c r="AD6" s="45"/>
      <c r="AE6" s="45"/>
    </row>
    <row r="7" spans="1:34" ht="17.100000000000001" customHeight="1">
      <c r="A7" s="3"/>
      <c r="B7" s="3"/>
      <c r="C7" s="3"/>
      <c r="D7" s="3"/>
      <c r="E7" s="3"/>
      <c r="F7" s="3"/>
      <c r="G7" s="3"/>
      <c r="H7" s="3" t="s">
        <v>2453</v>
      </c>
      <c r="I7" s="3"/>
      <c r="J7" s="3"/>
      <c r="K7" s="3"/>
      <c r="L7" s="3"/>
      <c r="M7" s="3"/>
      <c r="N7" s="3"/>
      <c r="O7" s="3" t="s">
        <v>2453</v>
      </c>
      <c r="P7" s="3"/>
      <c r="Q7" s="3"/>
      <c r="R7" s="3"/>
      <c r="S7" s="3"/>
      <c r="T7" s="3"/>
      <c r="U7" s="3"/>
      <c r="V7" s="3"/>
      <c r="W7" s="240" t="s">
        <v>2453</v>
      </c>
      <c r="X7" s="45"/>
      <c r="Y7" s="45"/>
      <c r="Z7" s="45"/>
      <c r="AA7" s="45"/>
      <c r="AB7" s="45"/>
      <c r="AC7" s="45"/>
      <c r="AD7" s="45"/>
      <c r="AE7" s="45"/>
    </row>
    <row r="8" spans="1:34" ht="17.100000000000001" customHeight="1">
      <c r="A8" s="3" t="s">
        <v>2454</v>
      </c>
      <c r="B8" s="3"/>
      <c r="C8" s="3"/>
      <c r="D8" s="3"/>
      <c r="E8" s="3"/>
      <c r="F8" s="3"/>
      <c r="G8" s="3"/>
      <c r="H8" s="3" t="s">
        <v>2455</v>
      </c>
      <c r="I8" s="3"/>
      <c r="J8" s="3"/>
      <c r="K8" s="3"/>
      <c r="L8" s="3"/>
      <c r="M8" s="3"/>
      <c r="N8" s="3"/>
      <c r="O8" s="3" t="s">
        <v>2455</v>
      </c>
      <c r="P8" s="3"/>
      <c r="Q8" s="3"/>
      <c r="R8" s="3"/>
      <c r="S8" s="3"/>
      <c r="T8" s="3"/>
      <c r="U8" s="3"/>
      <c r="V8" s="3"/>
      <c r="W8" s="240" t="s">
        <v>2455</v>
      </c>
      <c r="X8" s="45"/>
      <c r="Y8" s="45"/>
      <c r="Z8" s="45"/>
      <c r="AA8" s="45"/>
      <c r="AB8" s="45"/>
      <c r="AC8" s="45"/>
      <c r="AD8" s="45"/>
      <c r="AE8" s="45"/>
    </row>
    <row r="9" spans="1:34" ht="17.100000000000001" customHeight="1">
      <c r="A9" s="3"/>
      <c r="B9" s="3"/>
      <c r="C9" s="3"/>
      <c r="D9" s="3"/>
      <c r="E9" s="3"/>
      <c r="F9" s="3"/>
      <c r="G9" s="3"/>
      <c r="H9" s="3" t="s">
        <v>2456</v>
      </c>
      <c r="I9" s="3"/>
      <c r="J9" s="3"/>
      <c r="K9" s="3"/>
      <c r="L9" s="3"/>
      <c r="M9" s="3"/>
      <c r="N9" s="3"/>
      <c r="O9" s="3" t="s">
        <v>2456</v>
      </c>
      <c r="P9" s="3"/>
      <c r="Q9" s="3"/>
      <c r="R9" s="3"/>
      <c r="S9" s="3"/>
      <c r="T9" s="3"/>
      <c r="U9" s="3"/>
      <c r="V9" s="3"/>
      <c r="W9" s="240" t="s">
        <v>2456</v>
      </c>
      <c r="X9" s="45"/>
      <c r="Y9" s="45"/>
      <c r="Z9" s="45"/>
      <c r="AA9" s="45"/>
      <c r="AB9" s="45"/>
      <c r="AC9" s="45"/>
      <c r="AD9" s="45"/>
      <c r="AE9" s="45"/>
    </row>
    <row r="10" spans="1:34" ht="17.100000000000001" customHeight="1">
      <c r="A10" s="3" t="s">
        <v>2457</v>
      </c>
      <c r="B10" s="3"/>
      <c r="C10" s="3"/>
      <c r="D10" s="3"/>
      <c r="E10" s="3"/>
      <c r="F10" s="3"/>
      <c r="G10" s="3"/>
      <c r="H10" s="3" t="s">
        <v>2458</v>
      </c>
      <c r="I10" s="3"/>
      <c r="J10" s="3"/>
      <c r="K10" s="3"/>
      <c r="L10" s="3"/>
      <c r="M10" s="3"/>
      <c r="N10" s="3"/>
      <c r="O10" s="3" t="s">
        <v>2458</v>
      </c>
      <c r="P10" s="3"/>
      <c r="Q10" s="3"/>
      <c r="R10" s="3"/>
      <c r="S10" s="3"/>
      <c r="T10" s="3"/>
      <c r="U10" s="3"/>
      <c r="V10" s="3"/>
      <c r="W10" s="240" t="s">
        <v>2458</v>
      </c>
      <c r="X10" s="45"/>
      <c r="Y10" s="45"/>
      <c r="Z10" s="45"/>
      <c r="AA10" s="45"/>
      <c r="AB10" s="45"/>
      <c r="AC10" s="45"/>
      <c r="AD10" s="45"/>
      <c r="AE10" s="45"/>
    </row>
    <row r="11" spans="1:34" ht="17.100000000000001" customHeight="1">
      <c r="A11" s="3" t="s">
        <v>2450</v>
      </c>
      <c r="B11" s="3"/>
      <c r="C11" s="3"/>
      <c r="D11" s="3"/>
      <c r="E11" s="3"/>
      <c r="F11" s="3"/>
      <c r="G11" s="3"/>
      <c r="H11" s="3" t="s">
        <v>2459</v>
      </c>
      <c r="I11" s="3"/>
      <c r="J11" s="3"/>
      <c r="K11" s="3"/>
      <c r="L11" s="3"/>
      <c r="M11" s="3"/>
      <c r="N11" s="3"/>
      <c r="O11" s="3" t="s">
        <v>2459</v>
      </c>
      <c r="P11" s="3"/>
      <c r="Q11" s="3"/>
      <c r="R11" s="3"/>
      <c r="S11" s="3"/>
      <c r="T11" s="3"/>
      <c r="U11" s="3"/>
      <c r="V11" s="3"/>
      <c r="W11" s="240" t="s">
        <v>2459</v>
      </c>
      <c r="X11" s="45"/>
      <c r="Y11" s="45"/>
      <c r="Z11" s="45"/>
      <c r="AA11" s="45"/>
      <c r="AB11" s="45"/>
      <c r="AC11" s="45"/>
      <c r="AD11" s="45"/>
      <c r="AE11" s="45"/>
    </row>
    <row r="12" spans="1:34" ht="17.100000000000001" customHeight="1">
      <c r="A12" s="3"/>
      <c r="B12" s="3"/>
      <c r="C12" s="3"/>
      <c r="D12" s="3"/>
      <c r="E12" s="3"/>
      <c r="F12" s="3"/>
      <c r="G12" s="3"/>
      <c r="H12" s="3" t="s">
        <v>2460</v>
      </c>
      <c r="I12" s="3"/>
      <c r="J12" s="3"/>
      <c r="K12" s="3"/>
      <c r="L12" s="3"/>
      <c r="M12" s="3"/>
      <c r="N12" s="3"/>
      <c r="O12" s="3" t="s">
        <v>2461</v>
      </c>
      <c r="P12" s="3"/>
      <c r="Q12" s="3"/>
      <c r="R12" s="3"/>
      <c r="S12" s="3"/>
      <c r="T12" s="3"/>
      <c r="U12" s="3"/>
      <c r="V12" s="3"/>
      <c r="W12" s="240" t="s">
        <v>2462</v>
      </c>
      <c r="X12" s="45"/>
      <c r="Y12" s="45"/>
      <c r="Z12" s="45"/>
      <c r="AA12" s="45"/>
      <c r="AB12" s="45"/>
      <c r="AC12" s="45"/>
      <c r="AD12" s="45"/>
      <c r="AE12" s="45"/>
    </row>
    <row r="13" spans="1:34" ht="17.100000000000001" customHeight="1">
      <c r="A13" s="3" t="s">
        <v>2463</v>
      </c>
      <c r="B13" s="3"/>
      <c r="C13" s="3"/>
      <c r="D13" s="3"/>
      <c r="E13" s="3"/>
      <c r="F13" s="3"/>
      <c r="G13" s="3"/>
      <c r="H13" s="3" t="s">
        <v>2453</v>
      </c>
      <c r="I13" s="3"/>
      <c r="J13" s="3"/>
      <c r="K13" s="3"/>
      <c r="L13" s="3"/>
      <c r="M13" s="3"/>
      <c r="N13" s="3"/>
      <c r="O13" s="3" t="s">
        <v>2453</v>
      </c>
      <c r="P13" s="3"/>
      <c r="Q13" s="3"/>
      <c r="R13" s="3"/>
      <c r="S13" s="3"/>
      <c r="T13" s="3"/>
      <c r="U13" s="3"/>
      <c r="V13" s="3"/>
      <c r="W13" s="240" t="s">
        <v>2453</v>
      </c>
      <c r="X13" s="45"/>
      <c r="Y13" s="45"/>
      <c r="Z13" s="45"/>
      <c r="AA13" s="45"/>
      <c r="AB13" s="45"/>
      <c r="AC13" s="45"/>
      <c r="AD13" s="45"/>
      <c r="AE13" s="45"/>
    </row>
    <row r="14" spans="1:34" ht="17.100000000000001" customHeight="1">
      <c r="A14" s="3"/>
      <c r="B14" s="3"/>
      <c r="C14" s="3"/>
      <c r="D14" s="3"/>
      <c r="E14" s="3"/>
      <c r="F14" s="3"/>
      <c r="G14" s="3"/>
      <c r="H14" s="3"/>
      <c r="I14" s="3"/>
      <c r="J14" s="3"/>
      <c r="K14" s="3"/>
      <c r="L14" s="3"/>
      <c r="M14" s="3"/>
      <c r="N14" s="3"/>
      <c r="O14" s="3"/>
      <c r="P14" s="3"/>
      <c r="Q14" s="3"/>
      <c r="R14" s="3"/>
      <c r="S14" s="3"/>
      <c r="T14" s="3"/>
      <c r="U14" s="3"/>
      <c r="V14" s="3"/>
      <c r="W14" s="240"/>
      <c r="X14" s="45"/>
      <c r="Y14" s="45"/>
      <c r="Z14" s="45"/>
      <c r="AA14" s="45"/>
      <c r="AB14" s="45"/>
      <c r="AC14" s="45"/>
      <c r="AD14" s="45"/>
      <c r="AE14" s="45"/>
    </row>
    <row r="15" spans="1:34" ht="17.100000000000001" customHeight="1">
      <c r="A15" s="3" t="s">
        <v>2464</v>
      </c>
      <c r="B15" s="3"/>
      <c r="C15" s="3"/>
      <c r="D15" s="3"/>
      <c r="E15" s="3"/>
      <c r="F15" s="3"/>
      <c r="G15" s="3"/>
      <c r="H15" s="3" t="s">
        <v>2465</v>
      </c>
      <c r="I15" s="3"/>
      <c r="J15" s="3"/>
      <c r="K15" s="3"/>
      <c r="L15" s="3"/>
      <c r="M15" s="3"/>
      <c r="N15" s="3"/>
      <c r="O15" s="3" t="s">
        <v>2465</v>
      </c>
      <c r="P15" s="3"/>
      <c r="Q15" s="3"/>
      <c r="R15" s="3"/>
      <c r="S15" s="3"/>
      <c r="T15" s="3"/>
      <c r="U15" s="3"/>
      <c r="V15" s="3"/>
      <c r="W15" s="240" t="s">
        <v>2465</v>
      </c>
      <c r="X15" s="45"/>
      <c r="Y15" s="45"/>
      <c r="Z15" s="45"/>
      <c r="AA15" s="45"/>
      <c r="AB15" s="45"/>
      <c r="AC15" s="45"/>
      <c r="AD15" s="45"/>
      <c r="AE15" s="45"/>
    </row>
    <row r="16" spans="1:34" ht="17.100000000000001" customHeight="1">
      <c r="A16" s="3" t="s">
        <v>2466</v>
      </c>
      <c r="B16" s="3"/>
      <c r="C16" s="3"/>
      <c r="D16" s="3"/>
      <c r="E16" s="3"/>
      <c r="F16" s="3"/>
      <c r="G16" s="3"/>
      <c r="H16" s="3" t="s">
        <v>2467</v>
      </c>
      <c r="I16" s="3"/>
      <c r="J16" s="3"/>
      <c r="K16" s="3"/>
      <c r="L16" s="3"/>
      <c r="M16" s="3"/>
      <c r="N16" s="3"/>
      <c r="O16" s="3" t="s">
        <v>2467</v>
      </c>
      <c r="P16" s="3"/>
      <c r="Q16" s="3"/>
      <c r="R16" s="3"/>
      <c r="S16" s="3"/>
      <c r="T16" s="3"/>
      <c r="U16" s="3"/>
      <c r="V16" s="3"/>
      <c r="W16" s="240" t="s">
        <v>2467</v>
      </c>
      <c r="X16" s="45"/>
      <c r="Y16" s="45"/>
      <c r="Z16" s="45"/>
      <c r="AA16" s="45"/>
      <c r="AB16" s="45"/>
      <c r="AC16" s="45"/>
      <c r="AD16" s="45"/>
      <c r="AE16" s="45"/>
    </row>
    <row r="17" spans="1:31" ht="17.100000000000001" customHeight="1">
      <c r="A17" s="3" t="s">
        <v>2452</v>
      </c>
      <c r="B17" s="3"/>
      <c r="C17" s="3"/>
      <c r="D17" s="3"/>
      <c r="E17" s="3"/>
      <c r="F17" s="3"/>
      <c r="G17" s="3"/>
      <c r="H17" s="3" t="s">
        <v>2426</v>
      </c>
      <c r="I17" s="3"/>
      <c r="J17" s="3"/>
      <c r="K17" s="3"/>
      <c r="L17" s="3"/>
      <c r="M17" s="3"/>
      <c r="N17" s="3"/>
      <c r="O17" s="3" t="s">
        <v>2426</v>
      </c>
      <c r="P17" s="3"/>
      <c r="Q17" s="3"/>
      <c r="R17" s="3"/>
      <c r="S17" s="3"/>
      <c r="T17" s="3"/>
      <c r="U17" s="3"/>
      <c r="V17" s="3"/>
      <c r="W17" s="240" t="s">
        <v>2426</v>
      </c>
      <c r="X17" s="45"/>
      <c r="Y17" s="45"/>
      <c r="Z17" s="45"/>
      <c r="AA17" s="45"/>
      <c r="AB17" s="45"/>
      <c r="AC17" s="45"/>
      <c r="AD17" s="45"/>
      <c r="AE17" s="45"/>
    </row>
    <row r="18" spans="1:31" ht="17.100000000000001" customHeight="1">
      <c r="A18" s="3"/>
      <c r="B18" s="3"/>
      <c r="C18" s="3"/>
      <c r="D18" s="3"/>
      <c r="E18" s="3"/>
      <c r="F18" s="3"/>
      <c r="G18" s="3"/>
      <c r="H18" s="3"/>
      <c r="I18" s="3"/>
      <c r="J18" s="3"/>
      <c r="K18" s="3"/>
      <c r="L18" s="3"/>
      <c r="M18" s="3"/>
      <c r="N18" s="3"/>
      <c r="O18" s="3"/>
      <c r="P18" s="3"/>
      <c r="Q18" s="3"/>
      <c r="R18" s="3"/>
      <c r="S18" s="3"/>
      <c r="T18" s="3"/>
      <c r="U18" s="3"/>
      <c r="V18" s="3"/>
      <c r="W18" s="240"/>
      <c r="X18" s="45"/>
      <c r="Y18" s="45"/>
      <c r="Z18" s="45"/>
      <c r="AA18" s="45"/>
      <c r="AB18" s="45"/>
      <c r="AC18" s="45"/>
      <c r="AD18" s="45"/>
      <c r="AE18" s="45"/>
    </row>
    <row r="19" spans="1:31" ht="17.100000000000001" customHeight="1">
      <c r="A19" s="3" t="s">
        <v>2468</v>
      </c>
      <c r="B19" s="3"/>
      <c r="C19" s="3"/>
      <c r="D19" s="3"/>
      <c r="E19" s="3"/>
      <c r="F19" s="3"/>
      <c r="G19" s="3"/>
      <c r="H19" s="3" t="s">
        <v>2469</v>
      </c>
      <c r="I19" s="3"/>
      <c r="J19" s="3"/>
      <c r="K19" s="3"/>
      <c r="L19" s="3"/>
      <c r="M19" s="3"/>
      <c r="N19" s="3"/>
      <c r="O19" s="3" t="s">
        <v>2470</v>
      </c>
      <c r="P19" s="3"/>
      <c r="Q19" s="3"/>
      <c r="R19" s="3"/>
      <c r="S19" s="3"/>
      <c r="T19" s="3"/>
      <c r="U19" s="3"/>
      <c r="V19" s="3"/>
      <c r="W19" s="240" t="s">
        <v>2470</v>
      </c>
      <c r="X19" s="45"/>
      <c r="Y19" s="45"/>
      <c r="Z19" s="45"/>
      <c r="AA19" s="45"/>
      <c r="AB19" s="45"/>
      <c r="AC19" s="45"/>
      <c r="AD19" s="45"/>
      <c r="AE19" s="45"/>
    </row>
    <row r="20" spans="1:31" ht="17.100000000000001" customHeight="1">
      <c r="A20" s="3" t="s">
        <v>2471</v>
      </c>
      <c r="B20" s="3"/>
      <c r="C20" s="3"/>
      <c r="D20" s="3"/>
      <c r="E20" s="3"/>
      <c r="F20" s="3"/>
      <c r="G20" s="3"/>
      <c r="H20" s="3" t="s">
        <v>2472</v>
      </c>
      <c r="I20" s="3"/>
      <c r="J20" s="3"/>
      <c r="K20" s="3"/>
      <c r="L20" s="3"/>
      <c r="M20" s="3"/>
      <c r="N20" s="3"/>
      <c r="O20" s="3" t="s">
        <v>2473</v>
      </c>
      <c r="P20" s="3"/>
      <c r="Q20" s="3"/>
      <c r="R20" s="3"/>
      <c r="S20" s="3"/>
      <c r="T20" s="3"/>
      <c r="U20" s="3"/>
      <c r="V20" s="3"/>
      <c r="W20" s="240" t="s">
        <v>2473</v>
      </c>
      <c r="X20" s="45"/>
      <c r="Y20" s="45"/>
      <c r="Z20" s="45"/>
      <c r="AA20" s="45"/>
      <c r="AB20" s="45"/>
      <c r="AC20" s="45"/>
      <c r="AD20" s="45"/>
      <c r="AE20" s="45"/>
    </row>
    <row r="21" spans="1:31" ht="17.100000000000001" customHeight="1">
      <c r="A21" s="3" t="s">
        <v>2474</v>
      </c>
      <c r="B21" s="3"/>
      <c r="C21" s="3"/>
      <c r="D21" s="3"/>
      <c r="E21" s="3"/>
      <c r="F21" s="3"/>
      <c r="G21" s="3"/>
      <c r="H21" s="3" t="s">
        <v>2475</v>
      </c>
      <c r="I21" s="3"/>
      <c r="J21" s="3"/>
      <c r="K21" s="3"/>
      <c r="L21" s="3"/>
      <c r="M21" s="3"/>
      <c r="N21" s="3"/>
      <c r="O21" s="3"/>
      <c r="P21" s="3"/>
      <c r="Q21" s="3"/>
      <c r="R21" s="3"/>
      <c r="S21" s="3"/>
      <c r="T21" s="3"/>
      <c r="U21" s="3"/>
      <c r="V21" s="3"/>
      <c r="W21" s="240" t="s">
        <v>2476</v>
      </c>
      <c r="X21" s="45"/>
      <c r="Y21" s="45"/>
      <c r="Z21" s="45"/>
      <c r="AA21" s="45"/>
      <c r="AB21" s="45"/>
      <c r="AC21" s="45"/>
      <c r="AD21" s="45"/>
      <c r="AE21" s="45"/>
    </row>
    <row r="22" spans="1:31" ht="17.100000000000001" customHeight="1">
      <c r="A22" s="3" t="s">
        <v>2477</v>
      </c>
      <c r="B22" s="3"/>
      <c r="C22" s="3"/>
      <c r="D22" s="3"/>
      <c r="E22" s="3"/>
      <c r="F22" s="3"/>
      <c r="G22" s="3"/>
      <c r="H22" s="3" t="s">
        <v>2426</v>
      </c>
      <c r="I22" s="3"/>
      <c r="J22" s="3"/>
      <c r="K22" s="3"/>
      <c r="L22" s="3"/>
      <c r="M22" s="3"/>
      <c r="N22" s="3"/>
      <c r="O22" s="3" t="s">
        <v>2476</v>
      </c>
      <c r="P22" s="3"/>
      <c r="Q22" s="3"/>
      <c r="R22" s="3"/>
      <c r="S22" s="3"/>
      <c r="T22" s="3"/>
      <c r="U22" s="3"/>
      <c r="V22" s="3"/>
      <c r="W22" s="240"/>
      <c r="X22" s="45"/>
      <c r="Y22" s="45"/>
      <c r="Z22" s="45"/>
      <c r="AA22" s="45"/>
      <c r="AB22" s="45"/>
      <c r="AC22" s="45"/>
      <c r="AD22" s="45"/>
      <c r="AE22" s="45"/>
    </row>
    <row r="23" spans="1:31" ht="17.100000000000001" customHeight="1">
      <c r="A23" s="3"/>
      <c r="B23" s="3"/>
      <c r="C23" s="3"/>
      <c r="D23" s="3"/>
      <c r="E23" s="3"/>
      <c r="F23" s="3"/>
      <c r="G23" s="3"/>
      <c r="H23" s="3"/>
      <c r="I23" s="3"/>
      <c r="J23" s="3"/>
      <c r="K23" s="3"/>
      <c r="L23" s="3"/>
      <c r="M23" s="3"/>
      <c r="N23" s="3"/>
      <c r="O23" s="3"/>
      <c r="P23" s="3"/>
      <c r="Q23" s="3"/>
      <c r="R23" s="3"/>
      <c r="S23" s="3"/>
      <c r="T23" s="3"/>
      <c r="U23" s="3"/>
      <c r="V23" s="3"/>
      <c r="W23" s="240" t="s">
        <v>2478</v>
      </c>
      <c r="X23" s="45"/>
      <c r="Y23" s="45"/>
      <c r="Z23" s="45"/>
      <c r="AA23" s="45"/>
      <c r="AB23" s="45"/>
      <c r="AC23" s="45"/>
      <c r="AD23" s="45"/>
      <c r="AE23" s="45"/>
    </row>
    <row r="24" spans="1:31" ht="17.100000000000001" customHeight="1">
      <c r="A24" s="3" t="s">
        <v>2479</v>
      </c>
      <c r="B24" s="3"/>
      <c r="C24" s="3"/>
      <c r="D24" s="3"/>
      <c r="E24" s="3"/>
      <c r="F24" s="3"/>
      <c r="G24" s="3"/>
      <c r="H24" s="3" t="s">
        <v>2478</v>
      </c>
      <c r="I24" s="3"/>
      <c r="J24" s="3"/>
      <c r="K24" s="3"/>
      <c r="L24" s="3"/>
      <c r="M24" s="3"/>
      <c r="N24" s="3"/>
      <c r="O24" s="3" t="s">
        <v>2480</v>
      </c>
      <c r="P24" s="3"/>
      <c r="Q24" s="3"/>
      <c r="R24" s="3"/>
      <c r="S24" s="3"/>
      <c r="T24" s="3"/>
      <c r="U24" s="3"/>
      <c r="V24" s="3"/>
      <c r="W24" s="240" t="s">
        <v>2481</v>
      </c>
      <c r="X24" s="45"/>
      <c r="Y24" s="45"/>
      <c r="Z24" s="45"/>
      <c r="AA24" s="45"/>
      <c r="AB24" s="45"/>
      <c r="AC24" s="45"/>
      <c r="AD24" s="45"/>
      <c r="AE24" s="45"/>
    </row>
    <row r="25" spans="1:31" ht="17.100000000000001" customHeight="1">
      <c r="A25" s="3" t="s">
        <v>2482</v>
      </c>
      <c r="B25" s="3"/>
      <c r="C25" s="3"/>
      <c r="D25" s="3"/>
      <c r="E25" s="3"/>
      <c r="F25" s="3"/>
      <c r="G25" s="3"/>
      <c r="H25" s="3" t="s">
        <v>2481</v>
      </c>
      <c r="I25" s="3"/>
      <c r="J25" s="3"/>
      <c r="K25" s="3"/>
      <c r="L25" s="3"/>
      <c r="M25" s="3"/>
      <c r="N25" s="3"/>
      <c r="O25" s="3" t="s">
        <v>2483</v>
      </c>
      <c r="P25" s="3"/>
      <c r="Q25" s="3"/>
      <c r="R25" s="3"/>
      <c r="S25" s="3"/>
      <c r="T25" s="3"/>
      <c r="U25" s="3"/>
      <c r="V25" s="3"/>
      <c r="W25" s="240" t="s">
        <v>2484</v>
      </c>
      <c r="X25" s="45"/>
      <c r="Y25" s="45"/>
      <c r="Z25" s="45"/>
      <c r="AA25" s="45"/>
      <c r="AB25" s="45"/>
      <c r="AC25" s="45"/>
      <c r="AD25" s="45"/>
      <c r="AE25" s="45"/>
    </row>
    <row r="26" spans="1:31" ht="17.100000000000001" customHeight="1">
      <c r="A26" s="3" t="s">
        <v>2485</v>
      </c>
      <c r="B26" s="3"/>
      <c r="C26" s="3"/>
      <c r="D26" s="3"/>
      <c r="E26" s="3"/>
      <c r="F26" s="3"/>
      <c r="G26" s="3"/>
      <c r="H26" s="3" t="s">
        <v>2484</v>
      </c>
      <c r="I26" s="3"/>
      <c r="J26" s="3"/>
      <c r="K26" s="3"/>
      <c r="L26" s="3"/>
      <c r="M26" s="3"/>
      <c r="N26" s="3"/>
      <c r="O26" s="3" t="s">
        <v>2486</v>
      </c>
      <c r="P26" s="3"/>
      <c r="Q26" s="3"/>
      <c r="R26" s="3"/>
      <c r="S26" s="3"/>
      <c r="T26" s="3"/>
      <c r="U26" s="3"/>
      <c r="V26" s="3"/>
      <c r="W26" s="240" t="s">
        <v>2426</v>
      </c>
      <c r="X26" s="45"/>
      <c r="Y26" s="45"/>
      <c r="Z26" s="45"/>
      <c r="AA26" s="45"/>
      <c r="AB26" s="45"/>
      <c r="AC26" s="45"/>
      <c r="AD26" s="45"/>
      <c r="AE26" s="45"/>
    </row>
    <row r="27" spans="1:31" ht="17.100000000000001" customHeight="1">
      <c r="A27" s="3" t="s">
        <v>2487</v>
      </c>
      <c r="B27" s="3"/>
      <c r="C27" s="3"/>
      <c r="D27" s="3"/>
      <c r="E27" s="3"/>
      <c r="F27" s="3"/>
      <c r="G27" s="3"/>
      <c r="H27" s="3" t="s">
        <v>2426</v>
      </c>
      <c r="I27" s="3"/>
      <c r="J27" s="3"/>
      <c r="K27" s="3"/>
      <c r="L27" s="3"/>
      <c r="M27" s="3"/>
      <c r="N27" s="3"/>
      <c r="O27" s="3" t="s">
        <v>2426</v>
      </c>
      <c r="P27" s="3"/>
      <c r="Q27" s="3"/>
      <c r="R27" s="3"/>
      <c r="S27" s="3"/>
      <c r="T27" s="3"/>
      <c r="U27" s="3"/>
      <c r="V27" s="3"/>
      <c r="W27" s="240"/>
      <c r="X27" s="45"/>
      <c r="Y27" s="45"/>
      <c r="Z27" s="45"/>
      <c r="AA27" s="45"/>
      <c r="AB27" s="45"/>
      <c r="AC27" s="45"/>
      <c r="AD27" s="45"/>
      <c r="AE27" s="45"/>
    </row>
    <row r="28" spans="1:31" ht="17.100000000000001" customHeight="1">
      <c r="A28" s="3"/>
      <c r="B28" s="3"/>
      <c r="C28" s="3"/>
      <c r="D28" s="3"/>
      <c r="E28" s="3"/>
      <c r="F28" s="3"/>
      <c r="G28" s="3"/>
      <c r="H28" s="3" t="s">
        <v>2488</v>
      </c>
      <c r="I28" s="3"/>
      <c r="J28" s="3"/>
      <c r="K28" s="3"/>
      <c r="L28" s="3"/>
      <c r="M28" s="3"/>
      <c r="N28" s="3"/>
      <c r="O28" s="3"/>
      <c r="P28" s="3"/>
      <c r="Q28" s="3"/>
      <c r="R28" s="3"/>
      <c r="S28" s="3"/>
      <c r="T28" s="3"/>
      <c r="U28" s="3"/>
      <c r="V28" s="3"/>
      <c r="W28" s="240" t="s">
        <v>2489</v>
      </c>
      <c r="X28" s="45"/>
      <c r="Y28" s="45"/>
      <c r="Z28" s="45"/>
      <c r="AA28" s="45"/>
      <c r="AB28" s="45"/>
      <c r="AC28" s="45"/>
      <c r="AD28" s="45"/>
      <c r="AE28" s="45"/>
    </row>
    <row r="29" spans="1:31" ht="17.100000000000001" customHeight="1">
      <c r="A29" s="3" t="s">
        <v>2490</v>
      </c>
      <c r="B29" s="3"/>
      <c r="C29" s="3"/>
      <c r="D29" s="3"/>
      <c r="E29" s="3"/>
      <c r="F29" s="3"/>
      <c r="G29" s="3"/>
      <c r="H29" s="3" t="s">
        <v>2491</v>
      </c>
      <c r="I29" s="3"/>
      <c r="J29" s="3"/>
      <c r="K29" s="3"/>
      <c r="L29" s="3"/>
      <c r="M29" s="3"/>
      <c r="N29" s="3"/>
      <c r="O29" s="3" t="s">
        <v>2492</v>
      </c>
      <c r="P29" s="3"/>
      <c r="Q29" s="3"/>
      <c r="R29" s="3"/>
      <c r="S29" s="3"/>
      <c r="T29" s="3"/>
      <c r="U29" s="3"/>
      <c r="V29" s="3"/>
      <c r="W29" s="240" t="s">
        <v>2493</v>
      </c>
      <c r="X29" s="45"/>
      <c r="Y29" s="45"/>
      <c r="Z29" s="45"/>
      <c r="AA29" s="45"/>
      <c r="AB29" s="45"/>
      <c r="AC29" s="45"/>
      <c r="AD29" s="45"/>
      <c r="AE29" s="45"/>
    </row>
    <row r="30" spans="1:31" ht="17.100000000000001" customHeight="1">
      <c r="A30" s="3" t="s">
        <v>2494</v>
      </c>
      <c r="B30" s="3"/>
      <c r="C30" s="3"/>
      <c r="D30" s="3"/>
      <c r="E30" s="3"/>
      <c r="F30" s="3"/>
      <c r="G30" s="3"/>
      <c r="H30" s="3"/>
      <c r="I30" s="3"/>
      <c r="J30" s="3"/>
      <c r="K30" s="3"/>
      <c r="L30" s="3"/>
      <c r="M30" s="3"/>
      <c r="N30" s="3"/>
      <c r="O30" s="3" t="s">
        <v>2495</v>
      </c>
      <c r="P30" s="3"/>
      <c r="Q30" s="3"/>
      <c r="R30" s="3"/>
      <c r="S30" s="3"/>
      <c r="T30" s="3"/>
      <c r="U30" s="3"/>
      <c r="V30" s="3"/>
      <c r="W30" s="240" t="s">
        <v>2496</v>
      </c>
      <c r="X30" s="45"/>
      <c r="Y30" s="45"/>
      <c r="Z30" s="45"/>
      <c r="AA30" s="45"/>
      <c r="AB30" s="45"/>
      <c r="AC30" s="45"/>
      <c r="AD30" s="45"/>
      <c r="AE30" s="45"/>
    </row>
    <row r="31" spans="1:31" ht="17.100000000000001" customHeight="1">
      <c r="A31" s="3" t="s">
        <v>2497</v>
      </c>
      <c r="B31" s="3"/>
      <c r="C31" s="3"/>
      <c r="D31" s="3"/>
      <c r="E31" s="3"/>
      <c r="F31" s="3"/>
      <c r="G31" s="3"/>
      <c r="H31" s="3" t="s">
        <v>2498</v>
      </c>
      <c r="I31" s="3"/>
      <c r="J31" s="3"/>
      <c r="K31" s="3"/>
      <c r="L31" s="3"/>
      <c r="M31" s="3"/>
      <c r="N31" s="3"/>
      <c r="O31" s="3"/>
      <c r="P31" s="3"/>
      <c r="Q31" s="3"/>
      <c r="R31" s="3"/>
      <c r="S31" s="3"/>
      <c r="T31" s="3"/>
      <c r="U31" s="3"/>
      <c r="V31" s="3"/>
      <c r="W31" s="240" t="s">
        <v>2499</v>
      </c>
      <c r="X31" s="45"/>
      <c r="Y31" s="45"/>
      <c r="Z31" s="45"/>
      <c r="AA31" s="45"/>
      <c r="AB31" s="45"/>
      <c r="AC31" s="45"/>
      <c r="AD31" s="45"/>
      <c r="AE31" s="45"/>
    </row>
    <row r="32" spans="1:31" ht="17.100000000000001" customHeight="1">
      <c r="A32" s="3"/>
      <c r="B32" s="3"/>
      <c r="C32" s="3"/>
      <c r="D32" s="3"/>
      <c r="E32" s="3"/>
      <c r="F32" s="3"/>
      <c r="G32" s="3"/>
      <c r="H32" s="3"/>
      <c r="I32" s="3"/>
      <c r="J32" s="3"/>
      <c r="K32" s="3"/>
      <c r="L32" s="3"/>
      <c r="M32" s="3"/>
      <c r="N32" s="3"/>
      <c r="O32" s="3" t="s">
        <v>2500</v>
      </c>
      <c r="P32" s="3"/>
      <c r="Q32" s="3"/>
      <c r="R32" s="3"/>
      <c r="S32" s="3"/>
      <c r="T32" s="3"/>
      <c r="U32" s="3"/>
      <c r="V32" s="3"/>
      <c r="W32" s="240" t="s">
        <v>2501</v>
      </c>
      <c r="X32" s="45"/>
      <c r="Y32" s="45"/>
      <c r="Z32" s="45"/>
      <c r="AA32" s="45"/>
      <c r="AB32" s="45"/>
      <c r="AC32" s="45"/>
      <c r="AD32" s="45"/>
      <c r="AE32" s="45"/>
    </row>
    <row r="33" spans="1:31" ht="17.100000000000001" customHeight="1">
      <c r="A33" s="3" t="s">
        <v>2502</v>
      </c>
      <c r="B33" s="3"/>
      <c r="C33" s="3"/>
      <c r="D33" s="3"/>
      <c r="E33" s="3"/>
      <c r="F33" s="3"/>
      <c r="G33" s="3"/>
      <c r="H33" s="3" t="s">
        <v>2503</v>
      </c>
      <c r="I33" s="3"/>
      <c r="J33" s="3"/>
      <c r="K33" s="3"/>
      <c r="L33" s="3"/>
      <c r="M33" s="3"/>
      <c r="N33" s="3"/>
      <c r="O33" s="3" t="s">
        <v>2504</v>
      </c>
      <c r="P33" s="3"/>
      <c r="Q33" s="3"/>
      <c r="R33" s="3"/>
      <c r="S33" s="3"/>
      <c r="T33" s="3"/>
      <c r="U33" s="3"/>
      <c r="V33" s="3"/>
      <c r="W33" s="240" t="s">
        <v>2505</v>
      </c>
      <c r="X33" s="45"/>
      <c r="Y33" s="45"/>
      <c r="Z33" s="45"/>
      <c r="AA33" s="45"/>
      <c r="AB33" s="45"/>
      <c r="AC33" s="45"/>
      <c r="AD33" s="45"/>
      <c r="AE33" s="45"/>
    </row>
    <row r="34" spans="1:31" ht="17.100000000000001" customHeight="1">
      <c r="A34" s="3" t="s">
        <v>2466</v>
      </c>
      <c r="B34" s="3"/>
      <c r="C34" s="3"/>
      <c r="D34" s="3"/>
      <c r="E34" s="3"/>
      <c r="F34" s="3"/>
      <c r="G34" s="3"/>
      <c r="H34" s="3"/>
      <c r="I34" s="3"/>
      <c r="J34" s="3"/>
      <c r="K34" s="3"/>
      <c r="L34" s="3"/>
      <c r="M34" s="3"/>
      <c r="N34" s="3"/>
      <c r="O34" s="3" t="s">
        <v>2506</v>
      </c>
      <c r="P34" s="3"/>
      <c r="Q34" s="3"/>
      <c r="R34" s="3"/>
      <c r="S34" s="3"/>
      <c r="T34" s="3"/>
      <c r="U34" s="3"/>
      <c r="V34" s="3"/>
      <c r="W34" s="240" t="s">
        <v>2507</v>
      </c>
      <c r="X34" s="45"/>
      <c r="Y34" s="45"/>
      <c r="Z34" s="45"/>
      <c r="AA34" s="45"/>
      <c r="AB34" s="45"/>
      <c r="AC34" s="45"/>
      <c r="AD34" s="45"/>
      <c r="AE34" s="45"/>
    </row>
    <row r="35" spans="1:31" ht="17.100000000000001" customHeight="1">
      <c r="A35" s="3" t="s">
        <v>2508</v>
      </c>
      <c r="B35" s="3"/>
      <c r="C35" s="3"/>
      <c r="D35" s="3"/>
      <c r="E35" s="3"/>
      <c r="F35" s="3"/>
      <c r="G35" s="3"/>
      <c r="H35" s="3" t="s">
        <v>2509</v>
      </c>
      <c r="I35" s="3"/>
      <c r="J35" s="3"/>
      <c r="K35" s="3"/>
      <c r="L35" s="3"/>
      <c r="M35" s="3"/>
      <c r="N35" s="3"/>
      <c r="O35" s="3" t="s">
        <v>2510</v>
      </c>
      <c r="P35" s="3"/>
      <c r="Q35" s="3"/>
      <c r="R35" s="3"/>
      <c r="S35" s="3"/>
      <c r="T35" s="3"/>
      <c r="U35" s="3"/>
      <c r="V35" s="3"/>
      <c r="W35" s="240"/>
      <c r="X35" s="45"/>
      <c r="Y35" s="45"/>
      <c r="Z35" s="45"/>
      <c r="AA35" s="45"/>
      <c r="AB35" s="45"/>
      <c r="AC35" s="45"/>
      <c r="AD35" s="45"/>
      <c r="AE35" s="45"/>
    </row>
    <row r="36" spans="1:31" ht="17.100000000000001" customHeight="1">
      <c r="A36" s="3"/>
      <c r="B36" s="3"/>
      <c r="C36" s="3"/>
      <c r="D36" s="3"/>
      <c r="E36" s="3"/>
      <c r="F36" s="3"/>
      <c r="G36" s="3"/>
      <c r="H36" s="3" t="s">
        <v>2511</v>
      </c>
      <c r="I36" s="3"/>
      <c r="J36" s="3"/>
      <c r="K36" s="3"/>
      <c r="L36" s="3"/>
      <c r="M36" s="3"/>
      <c r="N36" s="3"/>
      <c r="O36" s="3" t="s">
        <v>2512</v>
      </c>
      <c r="P36" s="3"/>
      <c r="Q36" s="3"/>
      <c r="R36" s="3"/>
      <c r="S36" s="3"/>
      <c r="T36" s="3"/>
      <c r="U36" s="3"/>
      <c r="V36" s="3"/>
      <c r="W36" s="240" t="s">
        <v>2513</v>
      </c>
      <c r="X36" s="45"/>
      <c r="Y36" s="45"/>
      <c r="Z36" s="45"/>
      <c r="AA36" s="45"/>
      <c r="AB36" s="45"/>
      <c r="AC36" s="45"/>
      <c r="AD36" s="45"/>
      <c r="AE36" s="45"/>
    </row>
    <row r="37" spans="1:31" ht="17.100000000000001" customHeight="1">
      <c r="A37" s="3" t="s">
        <v>2514</v>
      </c>
      <c r="B37" s="3"/>
      <c r="C37" s="3"/>
      <c r="D37" s="3"/>
      <c r="E37" s="3"/>
      <c r="F37" s="3"/>
      <c r="G37" s="3"/>
      <c r="H37" s="3"/>
      <c r="I37" s="3"/>
      <c r="J37" s="3"/>
      <c r="K37" s="3"/>
      <c r="L37" s="3"/>
      <c r="M37" s="3"/>
      <c r="N37" s="3"/>
      <c r="O37" s="3" t="s">
        <v>2515</v>
      </c>
      <c r="P37" s="3"/>
      <c r="Q37" s="3"/>
      <c r="R37" s="3"/>
      <c r="S37" s="3"/>
      <c r="T37" s="3"/>
      <c r="U37" s="3"/>
      <c r="V37" s="3"/>
      <c r="W37" s="240" t="s">
        <v>2516</v>
      </c>
      <c r="X37" s="45"/>
      <c r="Y37" s="45"/>
      <c r="Z37" s="45"/>
      <c r="AA37" s="45"/>
      <c r="AB37" s="45"/>
      <c r="AC37" s="45"/>
      <c r="AD37" s="45"/>
      <c r="AE37" s="45"/>
    </row>
    <row r="38" spans="1:31" ht="17.100000000000001" customHeight="1">
      <c r="A38" s="3" t="s">
        <v>2517</v>
      </c>
      <c r="B38" s="3"/>
      <c r="C38" s="3"/>
      <c r="D38" s="3"/>
      <c r="E38" s="3"/>
      <c r="F38" s="3"/>
      <c r="G38" s="3"/>
      <c r="H38" s="3" t="s">
        <v>2518</v>
      </c>
      <c r="I38" s="3"/>
      <c r="J38" s="3"/>
      <c r="K38" s="3"/>
      <c r="L38" s="3"/>
      <c r="M38" s="3"/>
      <c r="N38" s="3"/>
      <c r="O38" s="3"/>
      <c r="P38" s="3"/>
      <c r="Q38" s="3"/>
      <c r="R38" s="3"/>
      <c r="S38" s="3"/>
      <c r="T38" s="3"/>
      <c r="U38" s="3"/>
      <c r="V38" s="3"/>
      <c r="W38" s="240" t="s">
        <v>2519</v>
      </c>
      <c r="X38" s="45"/>
      <c r="Y38" s="45"/>
      <c r="Z38" s="45"/>
      <c r="AA38" s="45"/>
      <c r="AB38" s="45"/>
      <c r="AC38" s="45"/>
      <c r="AD38" s="45"/>
      <c r="AE38" s="45"/>
    </row>
    <row r="39" spans="1:31" ht="17.100000000000001" customHeight="1">
      <c r="A39" s="3" t="s">
        <v>2520</v>
      </c>
      <c r="B39" s="3"/>
      <c r="C39" s="3"/>
      <c r="D39" s="3"/>
      <c r="E39" s="3"/>
      <c r="F39" s="3"/>
      <c r="G39" s="3"/>
      <c r="H39" s="3"/>
      <c r="I39" s="3"/>
      <c r="J39" s="3"/>
      <c r="K39" s="3"/>
      <c r="L39" s="3"/>
      <c r="M39" s="3"/>
      <c r="N39" s="3"/>
      <c r="O39" s="3" t="s">
        <v>2521</v>
      </c>
      <c r="P39" s="3"/>
      <c r="Q39" s="3"/>
      <c r="R39" s="3"/>
      <c r="S39" s="3"/>
      <c r="T39" s="3"/>
      <c r="U39" s="3"/>
      <c r="V39" s="3"/>
      <c r="W39" s="240"/>
      <c r="X39" s="45"/>
      <c r="Y39" s="45"/>
      <c r="Z39" s="45"/>
      <c r="AA39" s="45"/>
      <c r="AB39" s="45"/>
      <c r="AC39" s="45"/>
      <c r="AD39" s="45"/>
      <c r="AE39" s="45"/>
    </row>
    <row r="40" spans="1:31" ht="17.100000000000001" customHeight="1">
      <c r="A40" s="3" t="s">
        <v>2522</v>
      </c>
      <c r="B40" s="3"/>
      <c r="C40" s="3"/>
      <c r="D40" s="3"/>
      <c r="E40" s="3"/>
      <c r="F40" s="3"/>
      <c r="G40" s="3"/>
      <c r="H40" s="3" t="s">
        <v>2523</v>
      </c>
      <c r="I40" s="3"/>
      <c r="J40" s="3"/>
      <c r="K40" s="3"/>
      <c r="L40" s="3"/>
      <c r="M40" s="3"/>
      <c r="N40" s="3"/>
      <c r="O40" s="3"/>
      <c r="P40" s="3"/>
      <c r="Q40" s="3"/>
      <c r="R40" s="3"/>
      <c r="S40" s="3"/>
      <c r="T40" s="3"/>
      <c r="U40" s="3"/>
      <c r="V40" s="3"/>
      <c r="W40" s="240" t="s">
        <v>2524</v>
      </c>
      <c r="X40" s="45"/>
      <c r="Y40" s="45"/>
      <c r="Z40" s="45"/>
      <c r="AA40" s="45"/>
      <c r="AB40" s="45"/>
      <c r="AC40" s="45"/>
      <c r="AD40" s="45"/>
      <c r="AE40" s="45"/>
    </row>
    <row r="41" spans="1:31" ht="17.100000000000001" customHeight="1">
      <c r="A41" s="3" t="s">
        <v>2525</v>
      </c>
      <c r="B41" s="3"/>
      <c r="C41" s="3"/>
      <c r="D41" s="3"/>
      <c r="E41" s="3"/>
      <c r="F41" s="3"/>
      <c r="G41" s="3"/>
      <c r="H41" s="3"/>
      <c r="I41" s="3"/>
      <c r="J41" s="3"/>
      <c r="K41" s="3"/>
      <c r="L41" s="3"/>
      <c r="M41" s="3"/>
      <c r="N41" s="3"/>
      <c r="O41" s="3" t="s">
        <v>2526</v>
      </c>
      <c r="P41" s="3"/>
      <c r="Q41" s="3"/>
      <c r="R41" s="3"/>
      <c r="S41" s="3"/>
      <c r="T41" s="3"/>
      <c r="U41" s="3"/>
      <c r="V41" s="3"/>
      <c r="W41" s="240" t="s">
        <v>2527</v>
      </c>
      <c r="X41" s="45"/>
      <c r="Y41" s="45"/>
      <c r="Z41" s="45"/>
      <c r="AA41" s="45"/>
      <c r="AB41" s="45"/>
      <c r="AC41" s="45"/>
      <c r="AD41" s="45"/>
      <c r="AE41" s="45"/>
    </row>
    <row r="42" spans="1:31" ht="17.100000000000001" customHeight="1">
      <c r="A42" s="3" t="s">
        <v>2528</v>
      </c>
      <c r="B42" s="3"/>
      <c r="C42" s="3"/>
      <c r="D42" s="3"/>
      <c r="E42" s="3"/>
      <c r="F42" s="3"/>
      <c r="G42" s="3"/>
      <c r="H42" s="3" t="s">
        <v>2529</v>
      </c>
      <c r="I42" s="3"/>
      <c r="J42" s="3"/>
      <c r="K42" s="3"/>
      <c r="L42" s="3"/>
      <c r="M42" s="3"/>
      <c r="N42" s="3"/>
      <c r="O42" s="3"/>
      <c r="P42" s="3"/>
      <c r="Q42" s="3"/>
      <c r="R42" s="3"/>
      <c r="S42" s="3"/>
      <c r="T42" s="3"/>
      <c r="U42" s="3"/>
      <c r="V42" s="3"/>
      <c r="W42" s="240" t="s">
        <v>2530</v>
      </c>
      <c r="X42" s="45"/>
      <c r="Y42" s="45"/>
      <c r="Z42" s="45"/>
      <c r="AA42" s="45"/>
      <c r="AB42" s="45"/>
      <c r="AC42" s="45"/>
      <c r="AD42" s="45"/>
      <c r="AE42" s="45"/>
    </row>
    <row r="43" spans="1:31" ht="17.100000000000001" customHeight="1">
      <c r="A43" s="3"/>
      <c r="B43" s="3"/>
      <c r="C43" s="3"/>
      <c r="D43" s="3"/>
      <c r="E43" s="3"/>
      <c r="F43" s="3"/>
      <c r="G43" s="3"/>
      <c r="H43" s="3" t="s">
        <v>2531</v>
      </c>
      <c r="I43" s="3"/>
      <c r="J43" s="3"/>
      <c r="K43" s="3"/>
      <c r="L43" s="3"/>
      <c r="M43" s="3"/>
      <c r="N43" s="3"/>
      <c r="O43" s="3" t="s">
        <v>2532</v>
      </c>
      <c r="P43" s="3"/>
      <c r="Q43" s="3"/>
      <c r="R43" s="3"/>
      <c r="S43" s="3"/>
      <c r="T43" s="3"/>
      <c r="U43" s="3"/>
      <c r="V43" s="3"/>
      <c r="W43" s="240" t="s">
        <v>2533</v>
      </c>
      <c r="X43" s="45"/>
      <c r="Y43" s="45"/>
      <c r="Z43" s="45"/>
      <c r="AA43" s="45"/>
      <c r="AB43" s="45"/>
      <c r="AC43" s="45"/>
      <c r="AD43" s="45"/>
      <c r="AE43" s="45"/>
    </row>
    <row r="44" spans="1:31" ht="17.100000000000001" customHeight="1">
      <c r="A44" s="3" t="s">
        <v>2534</v>
      </c>
      <c r="B44" s="3"/>
      <c r="C44" s="3"/>
      <c r="D44" s="3"/>
      <c r="E44" s="3"/>
      <c r="F44" s="3"/>
      <c r="G44" s="3"/>
      <c r="H44" s="3" t="s">
        <v>2535</v>
      </c>
      <c r="I44" s="3"/>
      <c r="J44" s="3"/>
      <c r="K44" s="3"/>
      <c r="L44" s="3"/>
      <c r="M44" s="3"/>
      <c r="N44" s="3"/>
      <c r="O44" s="3"/>
      <c r="P44" s="3"/>
      <c r="Q44" s="3"/>
      <c r="R44" s="3"/>
      <c r="S44" s="3"/>
      <c r="T44" s="3"/>
      <c r="U44" s="3"/>
      <c r="V44" s="3"/>
      <c r="W44" s="240" t="s">
        <v>431</v>
      </c>
      <c r="X44" s="45"/>
      <c r="Y44" s="45"/>
      <c r="Z44" s="45"/>
      <c r="AA44" s="45"/>
      <c r="AB44" s="45"/>
      <c r="AC44" s="45"/>
      <c r="AD44" s="45"/>
      <c r="AE44" s="45"/>
    </row>
    <row r="45" spans="1:31" ht="17.100000000000001" customHeight="1">
      <c r="A45" s="3" t="s">
        <v>2536</v>
      </c>
      <c r="B45" s="3"/>
      <c r="C45" s="3"/>
      <c r="D45" s="3"/>
      <c r="E45" s="3"/>
      <c r="F45" s="3"/>
      <c r="G45" s="3"/>
      <c r="H45" s="3"/>
      <c r="I45" s="3"/>
      <c r="J45" s="3"/>
      <c r="K45" s="3"/>
      <c r="L45" s="3"/>
      <c r="M45" s="3"/>
      <c r="N45" s="3"/>
      <c r="O45" s="3" t="s">
        <v>2537</v>
      </c>
      <c r="P45" s="3"/>
      <c r="Q45" s="3"/>
      <c r="R45" s="3"/>
      <c r="S45" s="3"/>
      <c r="T45" s="3"/>
      <c r="U45" s="3"/>
      <c r="V45" s="3"/>
      <c r="W45" s="240"/>
      <c r="X45" s="45"/>
      <c r="Y45" s="45"/>
      <c r="Z45" s="45"/>
      <c r="AA45" s="45"/>
      <c r="AB45" s="45"/>
      <c r="AC45" s="45"/>
      <c r="AD45" s="45"/>
      <c r="AE45" s="45"/>
    </row>
    <row r="46" spans="1:31" ht="17.100000000000001" customHeight="1">
      <c r="A46" s="3" t="s">
        <v>2538</v>
      </c>
      <c r="B46" s="3"/>
      <c r="C46" s="3"/>
      <c r="D46" s="3"/>
      <c r="E46" s="3"/>
      <c r="F46" s="3"/>
      <c r="G46" s="3"/>
      <c r="H46" s="3" t="s">
        <v>2539</v>
      </c>
      <c r="I46" s="3"/>
      <c r="J46" s="3"/>
      <c r="K46" s="3"/>
      <c r="L46" s="3"/>
      <c r="M46" s="3"/>
      <c r="N46" s="3"/>
      <c r="O46" s="3" t="s">
        <v>2540</v>
      </c>
      <c r="P46" s="3"/>
      <c r="Q46" s="3"/>
      <c r="R46" s="3"/>
      <c r="S46" s="3"/>
      <c r="T46" s="3"/>
      <c r="U46" s="3"/>
      <c r="V46" s="3"/>
      <c r="W46" s="240" t="s">
        <v>2541</v>
      </c>
      <c r="X46" s="45"/>
      <c r="Y46" s="45"/>
      <c r="Z46" s="45"/>
      <c r="AA46" s="45"/>
      <c r="AB46" s="45"/>
      <c r="AC46" s="45"/>
      <c r="AD46" s="45"/>
      <c r="AE46" s="45"/>
    </row>
    <row r="47" spans="1:31" ht="17.100000000000001" customHeight="1">
      <c r="A47" s="3" t="s">
        <v>2542</v>
      </c>
      <c r="B47" s="3"/>
      <c r="C47" s="3"/>
      <c r="D47" s="3"/>
      <c r="E47" s="3"/>
      <c r="F47" s="3"/>
      <c r="G47" s="3"/>
      <c r="H47" s="3" t="s">
        <v>2543</v>
      </c>
      <c r="I47" s="3"/>
      <c r="J47" s="3"/>
      <c r="K47" s="3"/>
      <c r="L47" s="3"/>
      <c r="M47" s="3"/>
      <c r="N47" s="3"/>
      <c r="O47" s="3" t="s">
        <v>2544</v>
      </c>
      <c r="P47" s="3"/>
      <c r="Q47" s="3"/>
      <c r="R47" s="3"/>
      <c r="S47" s="3"/>
      <c r="T47" s="3"/>
      <c r="U47" s="3"/>
      <c r="V47" s="3"/>
      <c r="W47" s="240"/>
      <c r="X47" s="45"/>
      <c r="Y47" s="45"/>
      <c r="Z47" s="45"/>
      <c r="AA47" s="45"/>
      <c r="AB47" s="45"/>
      <c r="AC47" s="45"/>
      <c r="AD47" s="45"/>
      <c r="AE47" s="45"/>
    </row>
    <row r="48" spans="1:31" ht="17.100000000000001" customHeight="1">
      <c r="A48" s="3"/>
      <c r="B48" s="3"/>
      <c r="C48" s="3"/>
      <c r="D48" s="3"/>
      <c r="E48" s="3"/>
      <c r="F48" s="3"/>
      <c r="G48" s="3"/>
      <c r="H48" s="3"/>
      <c r="I48" s="3"/>
      <c r="J48" s="3"/>
      <c r="K48" s="3"/>
      <c r="L48" s="3"/>
      <c r="M48" s="3"/>
      <c r="N48" s="3"/>
      <c r="O48" s="3" t="s">
        <v>2545</v>
      </c>
      <c r="P48" s="3"/>
      <c r="Q48" s="3"/>
      <c r="R48" s="3"/>
      <c r="S48" s="3"/>
      <c r="T48" s="3"/>
      <c r="U48" s="3"/>
      <c r="V48" s="3"/>
      <c r="W48" s="240" t="s">
        <v>2546</v>
      </c>
      <c r="X48" s="45"/>
      <c r="Y48" s="45"/>
      <c r="Z48" s="45"/>
      <c r="AA48" s="45"/>
      <c r="AB48" s="45"/>
      <c r="AC48" s="45"/>
      <c r="AD48" s="45"/>
      <c r="AE48" s="45"/>
    </row>
    <row r="49" spans="1:31" ht="17.100000000000001" customHeight="1">
      <c r="A49" s="3" t="s">
        <v>2547</v>
      </c>
      <c r="B49" s="3"/>
      <c r="C49" s="3"/>
      <c r="D49" s="3"/>
      <c r="E49" s="3"/>
      <c r="F49" s="3"/>
      <c r="G49" s="3"/>
      <c r="H49" s="3" t="s">
        <v>2548</v>
      </c>
      <c r="I49" s="3"/>
      <c r="J49" s="3"/>
      <c r="K49" s="3"/>
      <c r="L49" s="3"/>
      <c r="M49" s="3"/>
      <c r="N49" s="3"/>
      <c r="O49" s="3" t="s">
        <v>2549</v>
      </c>
      <c r="P49" s="3"/>
      <c r="Q49" s="3"/>
      <c r="R49" s="3"/>
      <c r="S49" s="3"/>
      <c r="T49" s="3"/>
      <c r="U49" s="3"/>
      <c r="V49" s="3"/>
      <c r="W49" s="240" t="s">
        <v>2550</v>
      </c>
      <c r="X49" s="45"/>
      <c r="Y49" s="45"/>
      <c r="Z49" s="45"/>
      <c r="AA49" s="45"/>
      <c r="AB49" s="45"/>
      <c r="AC49" s="45"/>
      <c r="AD49" s="45"/>
      <c r="AE49" s="45"/>
    </row>
    <row r="50" spans="1:31" ht="17.100000000000001" customHeight="1">
      <c r="A50" s="3" t="s">
        <v>2471</v>
      </c>
      <c r="B50" s="3"/>
      <c r="C50" s="3"/>
      <c r="D50" s="3"/>
      <c r="E50" s="3"/>
      <c r="F50" s="3"/>
      <c r="G50" s="3"/>
      <c r="H50" s="3" t="s">
        <v>2551</v>
      </c>
      <c r="I50" s="3"/>
      <c r="J50" s="3"/>
      <c r="K50" s="3"/>
      <c r="L50" s="3"/>
      <c r="M50" s="3"/>
      <c r="N50" s="3"/>
      <c r="O50" s="3" t="s">
        <v>2552</v>
      </c>
      <c r="P50" s="3"/>
      <c r="Q50" s="3"/>
      <c r="R50" s="3"/>
      <c r="S50" s="3"/>
      <c r="T50" s="3"/>
      <c r="U50" s="3"/>
      <c r="V50" s="3"/>
      <c r="W50" s="240" t="s">
        <v>2553</v>
      </c>
      <c r="X50" s="45"/>
      <c r="Y50" s="45"/>
      <c r="Z50" s="45"/>
      <c r="AA50" s="45"/>
      <c r="AB50" s="45"/>
      <c r="AC50" s="45"/>
      <c r="AD50" s="45"/>
      <c r="AE50" s="45"/>
    </row>
    <row r="51" spans="1:31" ht="17.100000000000001" customHeight="1">
      <c r="A51" s="3" t="s">
        <v>2554</v>
      </c>
      <c r="B51" s="3"/>
      <c r="C51" s="3"/>
      <c r="D51" s="3"/>
      <c r="E51" s="3"/>
      <c r="F51" s="3"/>
      <c r="G51" s="3"/>
      <c r="H51" s="3" t="s">
        <v>2555</v>
      </c>
      <c r="I51" s="3"/>
      <c r="J51" s="3"/>
      <c r="K51" s="3"/>
      <c r="L51" s="3"/>
      <c r="M51" s="3"/>
      <c r="N51" s="3"/>
      <c r="O51" s="3" t="s">
        <v>2556</v>
      </c>
      <c r="P51" s="3"/>
      <c r="Q51" s="3"/>
      <c r="R51" s="3"/>
      <c r="S51" s="3"/>
      <c r="T51" s="3"/>
      <c r="U51" s="3"/>
      <c r="V51" s="3"/>
      <c r="W51" s="240" t="s">
        <v>2557</v>
      </c>
      <c r="X51" s="45"/>
      <c r="Y51" s="45"/>
      <c r="Z51" s="45"/>
      <c r="AA51" s="45"/>
      <c r="AB51" s="45"/>
      <c r="AC51" s="45"/>
      <c r="AD51" s="45"/>
      <c r="AE51" s="45"/>
    </row>
    <row r="52" spans="1:31" ht="17.100000000000001" customHeight="1">
      <c r="A52" s="3"/>
      <c r="B52" s="3"/>
      <c r="C52" s="3"/>
      <c r="D52" s="3"/>
      <c r="E52" s="3"/>
      <c r="F52" s="3"/>
      <c r="G52" s="3"/>
      <c r="H52" s="3" t="s">
        <v>2558</v>
      </c>
      <c r="I52" s="3"/>
      <c r="J52" s="3"/>
      <c r="K52" s="3"/>
      <c r="L52" s="3"/>
      <c r="M52" s="3"/>
      <c r="N52" s="3"/>
      <c r="O52" s="3"/>
      <c r="P52" s="3"/>
      <c r="Q52" s="3"/>
      <c r="R52" s="3"/>
      <c r="S52" s="3"/>
      <c r="T52" s="3"/>
      <c r="U52" s="3"/>
      <c r="V52" s="3"/>
      <c r="W52" s="240"/>
      <c r="X52" s="45"/>
      <c r="Y52" s="45"/>
      <c r="Z52" s="45"/>
      <c r="AA52" s="45"/>
      <c r="AB52" s="45"/>
      <c r="AC52" s="45"/>
      <c r="AD52" s="45"/>
      <c r="AE52" s="45"/>
    </row>
    <row r="53" spans="1:31" ht="17.100000000000001" customHeight="1">
      <c r="A53" s="3" t="s">
        <v>2559</v>
      </c>
      <c r="B53" s="3"/>
      <c r="C53" s="3"/>
      <c r="D53" s="3"/>
      <c r="E53" s="3"/>
      <c r="F53" s="3"/>
      <c r="G53" s="3"/>
      <c r="H53" s="3" t="s">
        <v>2560</v>
      </c>
      <c r="I53" s="3"/>
      <c r="J53" s="3"/>
      <c r="K53" s="3"/>
      <c r="L53" s="3"/>
      <c r="M53" s="3"/>
      <c r="N53" s="3"/>
      <c r="O53" s="3" t="s">
        <v>2561</v>
      </c>
      <c r="P53" s="3"/>
      <c r="Q53" s="3"/>
      <c r="R53" s="3"/>
      <c r="S53" s="3"/>
      <c r="T53" s="3"/>
      <c r="U53" s="3"/>
      <c r="V53" s="3"/>
      <c r="W53" s="240" t="s">
        <v>2562</v>
      </c>
      <c r="X53" s="45"/>
      <c r="Y53" s="45"/>
      <c r="Z53" s="45"/>
      <c r="AA53" s="45"/>
      <c r="AB53" s="45"/>
      <c r="AC53" s="45"/>
      <c r="AD53" s="45"/>
      <c r="AE53" s="45"/>
    </row>
    <row r="54" spans="1:31" ht="17.100000000000001" customHeight="1">
      <c r="A54" s="3" t="s">
        <v>2466</v>
      </c>
      <c r="B54" s="3"/>
      <c r="C54" s="3"/>
      <c r="D54" s="3"/>
      <c r="E54" s="3"/>
      <c r="F54" s="3"/>
      <c r="G54" s="3"/>
      <c r="H54" s="3" t="s">
        <v>2555</v>
      </c>
      <c r="I54" s="3"/>
      <c r="J54" s="3"/>
      <c r="K54" s="3"/>
      <c r="L54" s="3"/>
      <c r="M54" s="3"/>
      <c r="N54" s="3"/>
      <c r="O54" s="3" t="s">
        <v>2563</v>
      </c>
      <c r="P54" s="3"/>
      <c r="Q54" s="3"/>
      <c r="R54" s="3"/>
      <c r="S54" s="3"/>
      <c r="T54" s="3"/>
      <c r="U54" s="3"/>
      <c r="V54" s="3"/>
      <c r="W54" s="240" t="s">
        <v>2564</v>
      </c>
      <c r="X54" s="45"/>
      <c r="Y54" s="45"/>
      <c r="Z54" s="45"/>
      <c r="AA54" s="45"/>
      <c r="AB54" s="45"/>
      <c r="AC54" s="45"/>
      <c r="AD54" s="45"/>
      <c r="AE54" s="45"/>
    </row>
    <row r="55" spans="1:31" ht="17.100000000000001" customHeight="1">
      <c r="A55" s="3" t="s">
        <v>2565</v>
      </c>
      <c r="B55" s="3"/>
      <c r="C55" s="3"/>
      <c r="D55" s="3"/>
      <c r="E55" s="3"/>
      <c r="F55" s="3"/>
      <c r="G55" s="3"/>
      <c r="H55" s="3" t="s">
        <v>2566</v>
      </c>
      <c r="I55" s="3"/>
      <c r="J55" s="3"/>
      <c r="K55" s="3"/>
      <c r="L55" s="3"/>
      <c r="M55" s="3"/>
      <c r="N55" s="3"/>
      <c r="O55" s="3" t="s">
        <v>2567</v>
      </c>
      <c r="P55" s="3"/>
      <c r="Q55" s="3"/>
      <c r="R55" s="3"/>
      <c r="S55" s="3"/>
      <c r="T55" s="3"/>
      <c r="U55" s="3"/>
      <c r="V55" s="3"/>
      <c r="W55" s="240" t="s">
        <v>2568</v>
      </c>
      <c r="X55" s="45"/>
      <c r="Y55" s="45"/>
      <c r="Z55" s="45"/>
      <c r="AA55" s="45"/>
      <c r="AB55" s="45"/>
      <c r="AC55" s="45"/>
      <c r="AD55" s="45"/>
      <c r="AE55" s="45"/>
    </row>
    <row r="56" spans="1:31" ht="17.100000000000001" customHeight="1">
      <c r="A56" s="3"/>
      <c r="B56" s="3"/>
      <c r="C56" s="3"/>
      <c r="D56" s="3"/>
      <c r="E56" s="3"/>
      <c r="F56" s="3"/>
      <c r="G56" s="3"/>
      <c r="H56" s="3"/>
      <c r="I56" s="3"/>
      <c r="J56" s="3"/>
      <c r="K56" s="3"/>
      <c r="L56" s="3"/>
      <c r="M56" s="3"/>
      <c r="N56" s="3"/>
      <c r="O56" s="3" t="s">
        <v>2569</v>
      </c>
      <c r="P56" s="3"/>
      <c r="Q56" s="3"/>
      <c r="R56" s="3"/>
      <c r="S56" s="3"/>
      <c r="T56" s="3"/>
      <c r="U56" s="3"/>
      <c r="V56" s="3"/>
      <c r="W56" s="240" t="s">
        <v>2556</v>
      </c>
      <c r="X56" s="45"/>
      <c r="Y56" s="45"/>
      <c r="Z56" s="45"/>
      <c r="AA56" s="45"/>
      <c r="AB56" s="45"/>
      <c r="AC56" s="45"/>
      <c r="AD56" s="45"/>
      <c r="AE56" s="45"/>
    </row>
    <row r="57" spans="1:31" ht="17.100000000000001" customHeight="1">
      <c r="A57" s="3" t="s">
        <v>2450</v>
      </c>
      <c r="B57" s="3"/>
      <c r="C57" s="3"/>
      <c r="D57" s="3"/>
      <c r="E57" s="3"/>
      <c r="F57" s="3"/>
      <c r="G57" s="3"/>
      <c r="H57" s="3"/>
      <c r="I57" s="3"/>
      <c r="J57" s="3"/>
      <c r="K57" s="3"/>
      <c r="L57" s="3"/>
      <c r="M57" s="3"/>
      <c r="N57" s="3"/>
      <c r="O57" s="3"/>
      <c r="P57" s="3"/>
      <c r="Q57" s="3"/>
      <c r="R57" s="3"/>
      <c r="S57" s="3"/>
      <c r="T57" s="3"/>
      <c r="U57" s="3"/>
      <c r="V57" s="3"/>
      <c r="W57" s="240"/>
      <c r="X57" s="45"/>
      <c r="Y57" s="45"/>
      <c r="Z57" s="45"/>
      <c r="AA57" s="45"/>
      <c r="AB57" s="45"/>
      <c r="AC57" s="45"/>
      <c r="AD57" s="45"/>
      <c r="AE57" s="45"/>
    </row>
    <row r="58" spans="1:31" ht="17.100000000000001" customHeight="1">
      <c r="A58" s="3" t="s">
        <v>2449</v>
      </c>
      <c r="B58" s="3"/>
      <c r="C58" s="3"/>
      <c r="D58" s="3"/>
      <c r="E58" s="3"/>
      <c r="F58" s="3"/>
      <c r="G58" s="3"/>
      <c r="H58" s="3"/>
      <c r="I58" s="3"/>
      <c r="J58" s="3"/>
      <c r="K58" s="3"/>
      <c r="L58" s="3"/>
      <c r="M58" s="3"/>
      <c r="N58" s="3"/>
      <c r="O58" s="3" t="s">
        <v>2570</v>
      </c>
      <c r="P58" s="3"/>
      <c r="Q58" s="3"/>
      <c r="R58" s="3"/>
      <c r="S58" s="3"/>
      <c r="T58" s="3"/>
      <c r="U58" s="3"/>
      <c r="V58" s="3"/>
      <c r="W58" s="240" t="s">
        <v>2521</v>
      </c>
      <c r="X58" s="45"/>
      <c r="Y58" s="45"/>
      <c r="Z58" s="45"/>
      <c r="AA58" s="45"/>
      <c r="AB58" s="45"/>
      <c r="AC58" s="45"/>
      <c r="AD58" s="45"/>
      <c r="AE58" s="45"/>
    </row>
    <row r="59" spans="1:31" ht="17.100000000000001" customHeight="1">
      <c r="A59" s="3"/>
      <c r="B59" s="3"/>
      <c r="C59" s="3"/>
      <c r="D59" s="3"/>
      <c r="E59" s="3"/>
      <c r="F59" s="3"/>
      <c r="G59" s="3"/>
      <c r="H59" s="3"/>
      <c r="I59" s="3"/>
      <c r="J59" s="3"/>
      <c r="K59" s="3"/>
      <c r="L59" s="3"/>
      <c r="M59" s="3"/>
      <c r="N59" s="3"/>
      <c r="O59" s="3" t="s">
        <v>2571</v>
      </c>
      <c r="P59" s="3"/>
      <c r="Q59" s="3"/>
      <c r="R59" s="3"/>
      <c r="S59" s="3"/>
      <c r="T59" s="3"/>
      <c r="U59" s="3"/>
      <c r="V59" s="3"/>
      <c r="W59" s="240"/>
      <c r="X59" s="45"/>
      <c r="Y59" s="45"/>
      <c r="Z59" s="45"/>
      <c r="AA59" s="45"/>
      <c r="AB59" s="45"/>
      <c r="AC59" s="45"/>
      <c r="AD59" s="45"/>
      <c r="AE59" s="45"/>
    </row>
    <row r="60" spans="1:31" ht="17.100000000000001" customHeight="1">
      <c r="A60" s="3" t="s">
        <v>2451</v>
      </c>
      <c r="B60" s="3"/>
      <c r="C60" s="3"/>
      <c r="D60" s="3"/>
      <c r="E60" s="3"/>
      <c r="F60" s="3"/>
      <c r="G60" s="3"/>
      <c r="H60" s="3"/>
      <c r="I60" s="3"/>
      <c r="J60" s="3"/>
      <c r="K60" s="3"/>
      <c r="L60" s="3"/>
      <c r="M60" s="3"/>
      <c r="N60" s="3"/>
      <c r="O60" s="3" t="s">
        <v>2557</v>
      </c>
      <c r="P60" s="3"/>
      <c r="Q60" s="3"/>
      <c r="R60" s="3"/>
      <c r="S60" s="3"/>
      <c r="T60" s="3"/>
      <c r="U60" s="3"/>
      <c r="V60" s="3"/>
      <c r="W60" s="240" t="s">
        <v>2526</v>
      </c>
      <c r="X60" s="45"/>
      <c r="Y60" s="45"/>
      <c r="Z60" s="45"/>
      <c r="AA60" s="45"/>
      <c r="AB60" s="45"/>
      <c r="AC60" s="45"/>
      <c r="AD60" s="45"/>
      <c r="AE60" s="45"/>
    </row>
    <row r="61" spans="1:31" ht="17.100000000000001" customHeight="1">
      <c r="A61" s="3"/>
      <c r="B61" s="3"/>
      <c r="C61" s="3"/>
      <c r="D61" s="3"/>
      <c r="E61" s="3"/>
      <c r="F61" s="3"/>
      <c r="G61" s="3"/>
      <c r="H61" s="3"/>
      <c r="I61" s="3"/>
      <c r="J61" s="3"/>
      <c r="K61" s="3"/>
      <c r="L61" s="3"/>
      <c r="M61" s="3"/>
      <c r="N61" s="3"/>
      <c r="O61" s="3"/>
      <c r="P61" s="3"/>
      <c r="Q61" s="3"/>
      <c r="R61" s="3"/>
      <c r="S61" s="3"/>
      <c r="T61" s="3"/>
      <c r="U61" s="3"/>
      <c r="V61" s="3"/>
      <c r="W61" s="240"/>
      <c r="X61" s="45"/>
      <c r="Y61" s="45"/>
      <c r="Z61" s="45"/>
      <c r="AA61" s="45"/>
      <c r="AB61" s="45"/>
      <c r="AC61" s="45"/>
      <c r="AD61" s="45"/>
      <c r="AE61" s="45"/>
    </row>
    <row r="62" spans="1:31" ht="17.100000000000001" customHeight="1">
      <c r="A62" s="3" t="s">
        <v>2453</v>
      </c>
      <c r="B62" s="3"/>
      <c r="C62" s="3"/>
      <c r="D62" s="3"/>
      <c r="E62" s="3"/>
      <c r="F62" s="3"/>
      <c r="G62" s="3"/>
      <c r="H62" s="3"/>
      <c r="I62" s="3"/>
      <c r="J62" s="3"/>
      <c r="K62" s="3"/>
      <c r="L62" s="3"/>
      <c r="M62" s="3"/>
      <c r="N62" s="3"/>
      <c r="O62" s="3" t="s">
        <v>2572</v>
      </c>
      <c r="P62" s="3"/>
      <c r="Q62" s="3"/>
      <c r="R62" s="3"/>
      <c r="S62" s="3"/>
      <c r="T62" s="3"/>
      <c r="U62" s="3"/>
      <c r="V62" s="3"/>
      <c r="W62" s="240" t="s">
        <v>2532</v>
      </c>
      <c r="X62" s="45"/>
      <c r="Y62" s="45"/>
      <c r="Z62" s="45"/>
      <c r="AA62" s="45"/>
      <c r="AB62" s="45"/>
      <c r="AC62" s="45"/>
      <c r="AD62" s="45"/>
      <c r="AE62" s="45"/>
    </row>
    <row r="63" spans="1:31" ht="17.100000000000001" customHeight="1">
      <c r="A63" s="3" t="s">
        <v>2455</v>
      </c>
      <c r="B63" s="3"/>
      <c r="C63" s="3"/>
      <c r="D63" s="3"/>
      <c r="E63" s="3"/>
      <c r="F63" s="3"/>
      <c r="G63" s="3"/>
      <c r="H63" s="3"/>
      <c r="I63" s="3"/>
      <c r="J63" s="3"/>
      <c r="K63" s="3"/>
      <c r="L63" s="3"/>
      <c r="M63" s="3"/>
      <c r="N63" s="3"/>
      <c r="O63" s="3" t="s">
        <v>2564</v>
      </c>
      <c r="P63" s="3"/>
      <c r="Q63" s="3"/>
      <c r="R63" s="3"/>
      <c r="S63" s="3"/>
      <c r="T63" s="3"/>
      <c r="U63" s="3"/>
      <c r="V63" s="3"/>
      <c r="W63" s="240"/>
      <c r="X63" s="45"/>
      <c r="Y63" s="45"/>
      <c r="Z63" s="45"/>
      <c r="AA63" s="45"/>
      <c r="AB63" s="45"/>
      <c r="AC63" s="45"/>
      <c r="AD63" s="45"/>
      <c r="AE63" s="45"/>
    </row>
    <row r="64" spans="1:31" ht="17.100000000000001" customHeight="1">
      <c r="A64" s="3" t="s">
        <v>2456</v>
      </c>
      <c r="B64" s="3"/>
      <c r="C64" s="3"/>
      <c r="D64" s="3"/>
      <c r="E64" s="3"/>
      <c r="F64" s="3"/>
      <c r="G64" s="3"/>
      <c r="H64" s="3"/>
      <c r="I64" s="3"/>
      <c r="J64" s="3"/>
      <c r="K64" s="3"/>
      <c r="L64" s="3"/>
      <c r="M64" s="3"/>
      <c r="N64" s="3"/>
      <c r="O64" s="3" t="s">
        <v>2573</v>
      </c>
      <c r="P64" s="3"/>
      <c r="Q64" s="3"/>
      <c r="R64" s="3"/>
      <c r="S64" s="3"/>
      <c r="T64" s="3"/>
      <c r="U64" s="3"/>
      <c r="V64" s="3"/>
      <c r="W64" s="240" t="s">
        <v>2537</v>
      </c>
      <c r="X64" s="45"/>
      <c r="Y64" s="45"/>
      <c r="Z64" s="45"/>
      <c r="AA64" s="45"/>
      <c r="AB64" s="45"/>
      <c r="AC64" s="45"/>
      <c r="AD64" s="45"/>
      <c r="AE64" s="45"/>
    </row>
    <row r="65" spans="1:31" ht="17.100000000000001" customHeight="1">
      <c r="A65" s="3" t="s">
        <v>2458</v>
      </c>
      <c r="B65" s="3"/>
      <c r="C65" s="3"/>
      <c r="D65" s="3"/>
      <c r="E65" s="3"/>
      <c r="F65" s="3"/>
      <c r="G65" s="3"/>
      <c r="H65" s="3"/>
      <c r="I65" s="3"/>
      <c r="J65" s="3"/>
      <c r="K65" s="3"/>
      <c r="L65" s="3"/>
      <c r="M65" s="3"/>
      <c r="N65" s="3"/>
      <c r="O65" s="3" t="s">
        <v>2556</v>
      </c>
      <c r="P65" s="3"/>
      <c r="Q65" s="3"/>
      <c r="R65" s="3"/>
      <c r="S65" s="3"/>
      <c r="T65" s="3"/>
      <c r="U65" s="3"/>
      <c r="V65" s="3"/>
      <c r="W65" s="240" t="s">
        <v>2540</v>
      </c>
      <c r="X65" s="45"/>
      <c r="Y65" s="45"/>
      <c r="Z65" s="45"/>
      <c r="AA65" s="45"/>
      <c r="AB65" s="45"/>
      <c r="AC65" s="45"/>
      <c r="AD65" s="45"/>
      <c r="AE65" s="45"/>
    </row>
    <row r="66" spans="1:31" ht="17.100000000000001" customHeight="1">
      <c r="A66" s="3" t="s">
        <v>2459</v>
      </c>
      <c r="B66" s="3"/>
      <c r="C66" s="3"/>
      <c r="D66" s="3"/>
      <c r="E66" s="3"/>
      <c r="F66" s="3"/>
      <c r="G66" s="3"/>
      <c r="H66" s="3"/>
      <c r="I66" s="3"/>
      <c r="J66" s="3"/>
      <c r="K66" s="3"/>
      <c r="L66" s="3"/>
      <c r="M66" s="3"/>
      <c r="N66" s="3"/>
      <c r="O66" s="3"/>
      <c r="P66" s="3"/>
      <c r="Q66" s="3"/>
      <c r="R66" s="3"/>
      <c r="S66" s="3"/>
      <c r="T66" s="3"/>
      <c r="U66" s="3"/>
      <c r="V66" s="3"/>
      <c r="W66" s="240" t="s">
        <v>2544</v>
      </c>
      <c r="X66" s="45"/>
      <c r="Y66" s="45"/>
      <c r="Z66" s="45"/>
      <c r="AA66" s="45"/>
      <c r="AB66" s="45"/>
      <c r="AC66" s="45"/>
      <c r="AD66" s="45"/>
      <c r="AE66" s="45"/>
    </row>
    <row r="67" spans="1:31" ht="17.100000000000001" customHeight="1">
      <c r="A67" s="3" t="s">
        <v>2574</v>
      </c>
      <c r="B67" s="3"/>
      <c r="C67" s="3"/>
      <c r="D67" s="3"/>
      <c r="E67" s="3"/>
      <c r="F67" s="3"/>
      <c r="G67" s="3"/>
      <c r="H67" s="3"/>
      <c r="I67" s="3"/>
      <c r="J67" s="3"/>
      <c r="K67" s="3"/>
      <c r="L67" s="3"/>
      <c r="M67" s="3"/>
      <c r="N67" s="3"/>
      <c r="O67" s="3" t="s">
        <v>2575</v>
      </c>
      <c r="P67" s="3"/>
      <c r="Q67" s="3"/>
      <c r="R67" s="3"/>
      <c r="S67" s="3"/>
      <c r="T67" s="3"/>
      <c r="U67" s="3"/>
      <c r="V67" s="3"/>
      <c r="W67" s="240" t="s">
        <v>2545</v>
      </c>
      <c r="X67" s="45"/>
      <c r="Y67" s="45"/>
      <c r="Z67" s="45"/>
      <c r="AA67" s="45"/>
      <c r="AB67" s="45"/>
      <c r="AC67" s="45"/>
      <c r="AD67" s="45"/>
      <c r="AE67" s="45"/>
    </row>
    <row r="68" spans="1:31" ht="17.100000000000001" customHeight="1">
      <c r="A68" s="3" t="s">
        <v>2453</v>
      </c>
      <c r="B68" s="3"/>
      <c r="C68" s="3"/>
      <c r="D68" s="3"/>
      <c r="E68" s="3"/>
      <c r="F68" s="3"/>
      <c r="G68" s="3"/>
      <c r="H68" s="3"/>
      <c r="I68" s="3"/>
      <c r="J68" s="3"/>
      <c r="K68" s="3"/>
      <c r="L68" s="3"/>
      <c r="M68" s="3"/>
      <c r="N68" s="3"/>
      <c r="O68" s="3"/>
      <c r="P68" s="3"/>
      <c r="Q68" s="3"/>
      <c r="R68" s="3"/>
      <c r="S68" s="3"/>
      <c r="T68" s="3"/>
      <c r="U68" s="3"/>
      <c r="V68" s="3"/>
      <c r="W68" s="240" t="s">
        <v>2549</v>
      </c>
      <c r="X68" s="45"/>
      <c r="Y68" s="45"/>
      <c r="Z68" s="45"/>
      <c r="AA68" s="45"/>
      <c r="AB68" s="45"/>
      <c r="AC68" s="45"/>
      <c r="AD68" s="45"/>
      <c r="AE68" s="45"/>
    </row>
    <row r="69" spans="1:31" ht="17.100000000000001" customHeight="1">
      <c r="A69" s="3"/>
      <c r="B69" s="3"/>
      <c r="C69" s="3"/>
      <c r="D69" s="3"/>
      <c r="E69" s="3"/>
      <c r="F69" s="3"/>
      <c r="G69" s="3"/>
      <c r="H69" s="3"/>
      <c r="I69" s="3"/>
      <c r="J69" s="3"/>
      <c r="K69" s="3"/>
      <c r="L69" s="3"/>
      <c r="M69" s="3"/>
      <c r="N69" s="3"/>
      <c r="O69" s="3" t="s">
        <v>2576</v>
      </c>
      <c r="P69" s="3"/>
      <c r="Q69" s="3"/>
      <c r="R69" s="3"/>
      <c r="S69" s="3"/>
      <c r="T69" s="3"/>
      <c r="U69" s="3"/>
      <c r="V69" s="3"/>
      <c r="W69" s="240" t="s">
        <v>2577</v>
      </c>
      <c r="X69" s="45"/>
      <c r="Y69" s="45"/>
      <c r="Z69" s="45"/>
      <c r="AA69" s="45"/>
      <c r="AB69" s="45"/>
      <c r="AC69" s="45"/>
      <c r="AD69" s="45"/>
      <c r="AE69" s="45"/>
    </row>
    <row r="70" spans="1:31" ht="17.100000000000001" customHeight="1">
      <c r="A70" s="3" t="s">
        <v>2465</v>
      </c>
      <c r="B70" s="3"/>
      <c r="C70" s="3"/>
      <c r="D70" s="3"/>
      <c r="E70" s="3"/>
      <c r="F70" s="3"/>
      <c r="G70" s="3"/>
      <c r="H70" s="3"/>
      <c r="I70" s="3"/>
      <c r="J70" s="3"/>
      <c r="K70" s="3"/>
      <c r="L70" s="3"/>
      <c r="M70" s="3"/>
      <c r="N70" s="3"/>
      <c r="O70" s="3" t="s">
        <v>2578</v>
      </c>
      <c r="P70" s="3"/>
      <c r="Q70" s="3"/>
      <c r="R70" s="3"/>
      <c r="S70" s="3"/>
      <c r="T70" s="3"/>
      <c r="U70" s="3"/>
      <c r="V70" s="3"/>
      <c r="W70" s="240" t="s">
        <v>2556</v>
      </c>
      <c r="X70" s="45"/>
      <c r="Y70" s="45"/>
      <c r="Z70" s="45"/>
      <c r="AA70" s="45"/>
      <c r="AB70" s="45"/>
      <c r="AC70" s="45"/>
      <c r="AD70" s="45"/>
      <c r="AE70" s="45"/>
    </row>
    <row r="71" spans="1:31" ht="17.100000000000001" customHeight="1">
      <c r="A71" s="3" t="s">
        <v>2467</v>
      </c>
      <c r="B71" s="3"/>
      <c r="C71" s="3"/>
      <c r="D71" s="3"/>
      <c r="E71" s="3"/>
      <c r="F71" s="3"/>
      <c r="G71" s="3"/>
      <c r="H71" s="3"/>
      <c r="I71" s="3"/>
      <c r="J71" s="3"/>
      <c r="K71" s="3"/>
      <c r="L71" s="3"/>
      <c r="M71" s="3"/>
      <c r="N71" s="3"/>
      <c r="O71" s="3" t="s">
        <v>2579</v>
      </c>
      <c r="P71" s="3"/>
      <c r="Q71" s="3"/>
      <c r="R71" s="3"/>
      <c r="S71" s="3"/>
      <c r="T71" s="3"/>
      <c r="U71" s="3"/>
      <c r="V71" s="3"/>
      <c r="W71" s="240"/>
      <c r="X71" s="45"/>
      <c r="Y71" s="45"/>
      <c r="Z71" s="45"/>
      <c r="AA71" s="45"/>
      <c r="AB71" s="45"/>
      <c r="AC71" s="45"/>
      <c r="AD71" s="45"/>
      <c r="AE71" s="45"/>
    </row>
    <row r="72" spans="1:31" ht="17.100000000000001" customHeight="1">
      <c r="A72" s="3" t="s">
        <v>2426</v>
      </c>
      <c r="B72" s="3"/>
      <c r="C72" s="3"/>
      <c r="D72" s="3"/>
      <c r="E72" s="3"/>
      <c r="F72" s="3"/>
      <c r="G72" s="3"/>
      <c r="H72" s="3"/>
      <c r="I72" s="3"/>
      <c r="J72" s="3"/>
      <c r="K72" s="3"/>
      <c r="L72" s="3"/>
      <c r="M72" s="3"/>
      <c r="N72" s="3"/>
      <c r="O72" s="3" t="s">
        <v>2580</v>
      </c>
      <c r="P72" s="3"/>
      <c r="Q72" s="3"/>
      <c r="R72" s="3"/>
      <c r="S72" s="3"/>
      <c r="T72" s="3"/>
      <c r="U72" s="3"/>
      <c r="V72" s="3"/>
      <c r="W72" s="240" t="s">
        <v>2561</v>
      </c>
      <c r="X72" s="45"/>
      <c r="Y72" s="45"/>
      <c r="Z72" s="45"/>
      <c r="AA72" s="45"/>
      <c r="AB72" s="45"/>
      <c r="AC72" s="45"/>
      <c r="AD72" s="45"/>
      <c r="AE72" s="45"/>
    </row>
    <row r="73" spans="1:31" ht="17.100000000000001" customHeight="1">
      <c r="A73" s="3"/>
      <c r="B73" s="3"/>
      <c r="C73" s="3"/>
      <c r="D73" s="3"/>
      <c r="E73" s="3"/>
      <c r="F73" s="3"/>
      <c r="G73" s="3"/>
      <c r="H73" s="3"/>
      <c r="I73" s="3"/>
      <c r="J73" s="3"/>
      <c r="K73" s="3"/>
      <c r="L73" s="3"/>
      <c r="M73" s="3"/>
      <c r="N73" s="3"/>
      <c r="O73" s="3" t="s">
        <v>2581</v>
      </c>
      <c r="P73" s="3"/>
      <c r="Q73" s="3"/>
      <c r="R73" s="3"/>
      <c r="S73" s="3"/>
      <c r="T73" s="3"/>
      <c r="U73" s="3"/>
      <c r="V73" s="3"/>
      <c r="W73" s="240" t="s">
        <v>2563</v>
      </c>
      <c r="X73" s="45"/>
      <c r="Y73" s="45"/>
      <c r="Z73" s="45"/>
      <c r="AA73" s="45"/>
      <c r="AB73" s="45"/>
      <c r="AC73" s="45"/>
      <c r="AD73" s="45"/>
      <c r="AE73" s="45"/>
    </row>
    <row r="74" spans="1:31" ht="17.100000000000001" customHeight="1">
      <c r="A74" s="3" t="s">
        <v>2470</v>
      </c>
      <c r="B74" s="3"/>
      <c r="C74" s="3"/>
      <c r="D74" s="3"/>
      <c r="E74" s="3"/>
      <c r="F74" s="3"/>
      <c r="G74" s="3"/>
      <c r="H74" s="3"/>
      <c r="I74" s="3"/>
      <c r="J74" s="3"/>
      <c r="K74" s="3"/>
      <c r="L74" s="3"/>
      <c r="M74" s="3"/>
      <c r="N74" s="3"/>
      <c r="O74" s="3" t="s">
        <v>2426</v>
      </c>
      <c r="P74" s="3"/>
      <c r="Q74" s="3"/>
      <c r="R74" s="3"/>
      <c r="S74" s="3"/>
      <c r="T74" s="3"/>
      <c r="U74" s="3"/>
      <c r="V74" s="3"/>
      <c r="W74" s="240" t="s">
        <v>2567</v>
      </c>
      <c r="X74" s="45"/>
      <c r="Y74" s="45"/>
      <c r="Z74" s="45"/>
      <c r="AA74" s="45"/>
      <c r="AB74" s="45"/>
      <c r="AC74" s="45"/>
      <c r="AD74" s="45"/>
      <c r="AE74" s="45"/>
    </row>
    <row r="75" spans="1:31" ht="17.100000000000001" customHeight="1">
      <c r="A75" s="3"/>
      <c r="B75" s="3"/>
      <c r="C75" s="3"/>
      <c r="D75" s="3"/>
      <c r="E75" s="3"/>
      <c r="F75" s="3"/>
      <c r="G75" s="3"/>
      <c r="H75" s="3"/>
      <c r="I75" s="3"/>
      <c r="J75" s="3"/>
      <c r="K75" s="3"/>
      <c r="L75" s="3"/>
      <c r="M75" s="3"/>
      <c r="N75" s="3"/>
      <c r="O75" s="3"/>
      <c r="P75" s="3"/>
      <c r="Q75" s="3"/>
      <c r="R75" s="3"/>
      <c r="S75" s="3"/>
      <c r="T75" s="3"/>
      <c r="U75" s="3"/>
      <c r="V75" s="3"/>
      <c r="W75" s="240" t="s">
        <v>2569</v>
      </c>
      <c r="X75" s="45"/>
      <c r="Y75" s="45"/>
      <c r="Z75" s="45"/>
      <c r="AA75" s="45"/>
      <c r="AB75" s="45"/>
      <c r="AC75" s="45"/>
      <c r="AD75" s="45"/>
      <c r="AE75" s="45"/>
    </row>
    <row r="76" spans="1:31" ht="17.100000000000001" customHeight="1">
      <c r="A76" s="3" t="s">
        <v>2582</v>
      </c>
      <c r="B76" s="3"/>
      <c r="C76" s="3"/>
      <c r="D76" s="3"/>
      <c r="E76" s="3"/>
      <c r="F76" s="3"/>
      <c r="G76" s="3"/>
      <c r="H76" s="3"/>
      <c r="I76" s="3"/>
      <c r="J76" s="3"/>
      <c r="K76" s="3"/>
      <c r="L76" s="3"/>
      <c r="M76" s="3"/>
      <c r="N76" s="3"/>
      <c r="O76" s="3" t="s">
        <v>2583</v>
      </c>
      <c r="P76" s="3"/>
      <c r="Q76" s="3"/>
      <c r="R76" s="3"/>
      <c r="S76" s="3"/>
      <c r="T76" s="3"/>
      <c r="U76" s="3"/>
      <c r="V76" s="3"/>
      <c r="W76" s="240"/>
      <c r="X76" s="45"/>
      <c r="Y76" s="45"/>
      <c r="Z76" s="45"/>
      <c r="AA76" s="45"/>
      <c r="AB76" s="45"/>
      <c r="AC76" s="45"/>
      <c r="AD76" s="45"/>
      <c r="AE76" s="45"/>
    </row>
    <row r="77" spans="1:31" ht="17.100000000000001" customHeight="1">
      <c r="A77" s="3" t="s">
        <v>2584</v>
      </c>
      <c r="B77" s="3"/>
      <c r="C77" s="3"/>
      <c r="D77" s="3"/>
      <c r="E77" s="3"/>
      <c r="F77" s="3"/>
      <c r="G77" s="3"/>
      <c r="H77" s="3"/>
      <c r="I77" s="3"/>
      <c r="J77" s="3"/>
      <c r="K77" s="3"/>
      <c r="L77" s="3"/>
      <c r="M77" s="3"/>
      <c r="N77" s="3"/>
      <c r="O77" s="3" t="s">
        <v>2585</v>
      </c>
      <c r="P77" s="3"/>
      <c r="Q77" s="3"/>
      <c r="R77" s="3"/>
      <c r="S77" s="3"/>
      <c r="T77" s="3"/>
      <c r="U77" s="3"/>
      <c r="V77" s="3"/>
      <c r="W77" s="240" t="s">
        <v>2570</v>
      </c>
      <c r="X77" s="45"/>
      <c r="Y77" s="45"/>
      <c r="Z77" s="45"/>
      <c r="AA77" s="45"/>
      <c r="AB77" s="45"/>
      <c r="AC77" s="45"/>
      <c r="AD77" s="45"/>
      <c r="AE77" s="45"/>
    </row>
    <row r="78" spans="1:31" ht="17.100000000000001" customHeight="1">
      <c r="A78" s="3"/>
      <c r="B78" s="3"/>
      <c r="C78" s="3"/>
      <c r="D78" s="3"/>
      <c r="E78" s="3"/>
      <c r="F78" s="3"/>
      <c r="G78" s="3"/>
      <c r="H78" s="3"/>
      <c r="I78" s="3"/>
      <c r="J78" s="3"/>
      <c r="K78" s="3"/>
      <c r="L78" s="3"/>
      <c r="M78" s="3"/>
      <c r="N78" s="3"/>
      <c r="O78" s="3" t="s">
        <v>2586</v>
      </c>
      <c r="P78" s="3"/>
      <c r="Q78" s="3"/>
      <c r="R78" s="3"/>
      <c r="S78" s="3"/>
      <c r="T78" s="3"/>
      <c r="U78" s="3"/>
      <c r="V78" s="3"/>
      <c r="W78" s="240" t="s">
        <v>2571</v>
      </c>
      <c r="X78" s="45"/>
      <c r="Y78" s="45"/>
      <c r="Z78" s="45"/>
      <c r="AA78" s="45"/>
      <c r="AB78" s="45"/>
      <c r="AC78" s="45"/>
      <c r="AD78" s="45"/>
      <c r="AE78" s="45"/>
    </row>
    <row r="79" spans="1:31" ht="17.100000000000001" customHeight="1">
      <c r="A79" s="3" t="s">
        <v>2587</v>
      </c>
      <c r="B79" s="3"/>
      <c r="C79" s="3"/>
      <c r="D79" s="3"/>
      <c r="E79" s="3"/>
      <c r="F79" s="3"/>
      <c r="G79" s="3"/>
      <c r="H79" s="3"/>
      <c r="I79" s="3"/>
      <c r="J79" s="3"/>
      <c r="K79" s="3"/>
      <c r="L79" s="3"/>
      <c r="M79" s="3"/>
      <c r="N79" s="3"/>
      <c r="O79" s="3"/>
      <c r="P79" s="3"/>
      <c r="Q79" s="3"/>
      <c r="R79" s="3"/>
      <c r="S79" s="3"/>
      <c r="T79" s="3"/>
      <c r="U79" s="3"/>
      <c r="V79" s="3"/>
      <c r="W79" s="240" t="s">
        <v>2557</v>
      </c>
      <c r="X79" s="45"/>
      <c r="Y79" s="45"/>
      <c r="Z79" s="45"/>
      <c r="AA79" s="45"/>
      <c r="AB79" s="45"/>
      <c r="AC79" s="45"/>
      <c r="AD79" s="45"/>
      <c r="AE79" s="45"/>
    </row>
    <row r="80" spans="1:31" ht="17.100000000000001" customHeight="1">
      <c r="A80" s="3" t="s">
        <v>2588</v>
      </c>
      <c r="B80" s="3"/>
      <c r="C80" s="3"/>
      <c r="D80" s="3"/>
      <c r="E80" s="3"/>
      <c r="F80" s="3"/>
      <c r="G80" s="3"/>
      <c r="H80" s="3"/>
      <c r="I80" s="3"/>
      <c r="J80" s="3"/>
      <c r="K80" s="3"/>
      <c r="L80" s="3"/>
      <c r="M80" s="3"/>
      <c r="N80" s="3"/>
      <c r="O80" s="3" t="s">
        <v>2589</v>
      </c>
      <c r="P80" s="3"/>
      <c r="Q80" s="3"/>
      <c r="R80" s="3"/>
      <c r="S80" s="3"/>
      <c r="T80" s="3"/>
      <c r="U80" s="3"/>
      <c r="V80" s="3"/>
      <c r="W80" s="240"/>
      <c r="X80" s="45"/>
      <c r="Y80" s="45"/>
      <c r="Z80" s="45"/>
      <c r="AA80" s="45"/>
      <c r="AB80" s="45"/>
      <c r="AC80" s="45"/>
      <c r="AD80" s="45"/>
      <c r="AE80" s="45"/>
    </row>
    <row r="81" spans="1:31" ht="17.100000000000001" customHeight="1">
      <c r="A81" s="3" t="s">
        <v>2590</v>
      </c>
      <c r="B81" s="3"/>
      <c r="C81" s="3"/>
      <c r="D81" s="3"/>
      <c r="E81" s="3"/>
      <c r="F81" s="3"/>
      <c r="G81" s="3"/>
      <c r="H81" s="3"/>
      <c r="I81" s="3"/>
      <c r="J81" s="3"/>
      <c r="K81" s="3"/>
      <c r="L81" s="3"/>
      <c r="M81" s="3"/>
      <c r="N81" s="3"/>
      <c r="O81" s="3" t="s">
        <v>2591</v>
      </c>
      <c r="P81" s="3"/>
      <c r="Q81" s="3"/>
      <c r="R81" s="3"/>
      <c r="S81" s="3"/>
      <c r="T81" s="3"/>
      <c r="U81" s="3"/>
      <c r="V81" s="3"/>
      <c r="W81" s="240" t="s">
        <v>2572</v>
      </c>
      <c r="X81" s="45"/>
      <c r="Y81" s="45"/>
      <c r="Z81" s="45"/>
      <c r="AA81" s="45"/>
      <c r="AB81" s="45"/>
      <c r="AC81" s="45"/>
      <c r="AD81" s="45"/>
      <c r="AE81" s="45"/>
    </row>
    <row r="82" spans="1:31" ht="17.100000000000001" customHeight="1">
      <c r="A82" s="3"/>
      <c r="B82" s="3"/>
      <c r="C82" s="3"/>
      <c r="D82" s="3"/>
      <c r="E82" s="3"/>
      <c r="F82" s="3"/>
      <c r="G82" s="3"/>
      <c r="H82" s="3"/>
      <c r="I82" s="3"/>
      <c r="J82" s="3"/>
      <c r="K82" s="3"/>
      <c r="L82" s="3"/>
      <c r="M82" s="3"/>
      <c r="N82" s="3"/>
      <c r="O82" s="3" t="s">
        <v>2592</v>
      </c>
      <c r="P82" s="3"/>
      <c r="Q82" s="3"/>
      <c r="R82" s="3"/>
      <c r="S82" s="3"/>
      <c r="T82" s="3"/>
      <c r="U82" s="3"/>
      <c r="V82" s="3"/>
      <c r="W82" s="240" t="s">
        <v>2564</v>
      </c>
      <c r="X82" s="45"/>
      <c r="Y82" s="45"/>
      <c r="Z82" s="45"/>
      <c r="AA82" s="45"/>
      <c r="AB82" s="45"/>
      <c r="AC82" s="45"/>
      <c r="AD82" s="45"/>
      <c r="AE82" s="45"/>
    </row>
    <row r="83" spans="1:31" ht="17.100000000000001" customHeight="1">
      <c r="A83" s="3" t="s">
        <v>2593</v>
      </c>
      <c r="B83" s="3"/>
      <c r="C83" s="3"/>
      <c r="D83" s="3"/>
      <c r="E83" s="3"/>
      <c r="F83" s="3"/>
      <c r="G83" s="3"/>
      <c r="H83" s="3"/>
      <c r="I83" s="3"/>
      <c r="J83" s="3"/>
      <c r="K83" s="3"/>
      <c r="L83" s="3"/>
      <c r="M83" s="3"/>
      <c r="N83" s="3"/>
      <c r="O83" s="3"/>
      <c r="P83" s="3"/>
      <c r="Q83" s="3"/>
      <c r="R83" s="3"/>
      <c r="S83" s="3"/>
      <c r="T83" s="3"/>
      <c r="U83" s="3"/>
      <c r="V83" s="3"/>
      <c r="W83" s="240" t="s">
        <v>2573</v>
      </c>
      <c r="X83" s="45"/>
      <c r="Y83" s="45"/>
      <c r="Z83" s="45"/>
      <c r="AA83" s="45"/>
      <c r="AB83" s="45"/>
      <c r="AC83" s="45"/>
      <c r="AD83" s="45"/>
      <c r="AE83" s="45"/>
    </row>
    <row r="84" spans="1:31" ht="17.100000000000001" customHeight="1">
      <c r="A84" s="3"/>
      <c r="B84" s="3"/>
      <c r="C84" s="3"/>
      <c r="D84" s="3"/>
      <c r="E84" s="3"/>
      <c r="F84" s="3"/>
      <c r="G84" s="3"/>
      <c r="H84" s="3"/>
      <c r="I84" s="3"/>
      <c r="J84" s="3"/>
      <c r="K84" s="3"/>
      <c r="L84" s="3"/>
      <c r="M84" s="3"/>
      <c r="N84" s="3"/>
      <c r="O84" s="3" t="s">
        <v>2594</v>
      </c>
      <c r="P84" s="3"/>
      <c r="Q84" s="3"/>
      <c r="R84" s="3"/>
      <c r="S84" s="3"/>
      <c r="T84" s="3"/>
      <c r="U84" s="3"/>
      <c r="V84" s="3"/>
      <c r="W84" s="240" t="s">
        <v>2556</v>
      </c>
      <c r="X84" s="45"/>
      <c r="Y84" s="45"/>
      <c r="Z84" s="45"/>
      <c r="AA84" s="45"/>
      <c r="AB84" s="45"/>
      <c r="AC84" s="45"/>
      <c r="AD84" s="45"/>
      <c r="AE84" s="45"/>
    </row>
    <row r="85" spans="1:31" ht="17.100000000000001" customHeight="1">
      <c r="A85" s="3" t="s">
        <v>2478</v>
      </c>
      <c r="B85" s="3"/>
      <c r="C85" s="3"/>
      <c r="D85" s="3"/>
      <c r="E85" s="3"/>
      <c r="F85" s="3"/>
      <c r="G85" s="3"/>
      <c r="H85" s="3"/>
      <c r="I85" s="3"/>
      <c r="J85" s="3"/>
      <c r="K85" s="3"/>
      <c r="L85" s="3"/>
      <c r="M85" s="3"/>
      <c r="N85" s="3"/>
      <c r="O85" s="3"/>
      <c r="P85" s="3"/>
      <c r="Q85" s="3"/>
      <c r="R85" s="3"/>
      <c r="S85" s="3"/>
      <c r="T85" s="3"/>
      <c r="U85" s="3"/>
      <c r="V85" s="3"/>
      <c r="W85" s="240"/>
      <c r="X85" s="45"/>
      <c r="Y85" s="45"/>
      <c r="Z85" s="45"/>
      <c r="AA85" s="45"/>
      <c r="AB85" s="45"/>
      <c r="AC85" s="45"/>
      <c r="AD85" s="45"/>
      <c r="AE85" s="45"/>
    </row>
    <row r="86" spans="1:31" ht="17.100000000000001" customHeight="1">
      <c r="A86" s="3" t="s">
        <v>2481</v>
      </c>
      <c r="B86" s="3"/>
      <c r="C86" s="3"/>
      <c r="D86" s="3"/>
      <c r="E86" s="3"/>
      <c r="F86" s="3"/>
      <c r="G86" s="3"/>
      <c r="H86" s="3"/>
      <c r="I86" s="3"/>
      <c r="J86" s="3"/>
      <c r="K86" s="3"/>
      <c r="L86" s="3"/>
      <c r="M86" s="3"/>
      <c r="N86" s="3"/>
      <c r="O86" s="3" t="s">
        <v>2595</v>
      </c>
      <c r="P86" s="3"/>
      <c r="Q86" s="3"/>
      <c r="R86" s="3"/>
      <c r="S86" s="3"/>
      <c r="T86" s="3"/>
      <c r="U86" s="3"/>
      <c r="V86" s="3"/>
      <c r="W86" s="240" t="s">
        <v>2575</v>
      </c>
      <c r="X86" s="45"/>
      <c r="Y86" s="45"/>
      <c r="Z86" s="45"/>
      <c r="AA86" s="45"/>
      <c r="AB86" s="45"/>
      <c r="AC86" s="45"/>
      <c r="AD86" s="45"/>
      <c r="AE86" s="45"/>
    </row>
    <row r="87" spans="1:31" ht="17.100000000000001" customHeight="1">
      <c r="A87" s="3" t="s">
        <v>2484</v>
      </c>
      <c r="B87" s="3"/>
      <c r="C87" s="3"/>
      <c r="D87" s="3"/>
      <c r="E87" s="3"/>
      <c r="F87" s="3"/>
      <c r="G87" s="3"/>
      <c r="H87" s="3"/>
      <c r="I87" s="3"/>
      <c r="J87" s="3"/>
      <c r="K87" s="3"/>
      <c r="L87" s="3"/>
      <c r="M87" s="3"/>
      <c r="N87" s="3"/>
      <c r="O87" s="3" t="s">
        <v>2596</v>
      </c>
      <c r="P87" s="3"/>
      <c r="Q87" s="3"/>
      <c r="R87" s="3"/>
      <c r="S87" s="3"/>
      <c r="T87" s="3"/>
      <c r="U87" s="3"/>
      <c r="V87" s="3"/>
      <c r="W87" s="240"/>
      <c r="X87" s="45"/>
      <c r="Y87" s="45"/>
      <c r="Z87" s="45"/>
      <c r="AA87" s="45"/>
      <c r="AB87" s="45"/>
      <c r="AC87" s="45"/>
      <c r="AD87" s="45"/>
      <c r="AE87" s="45"/>
    </row>
    <row r="88" spans="1:31" ht="17.100000000000001" customHeight="1">
      <c r="A88" s="3" t="s">
        <v>2426</v>
      </c>
      <c r="B88" s="3"/>
      <c r="C88" s="3"/>
      <c r="D88" s="3"/>
      <c r="E88" s="3"/>
      <c r="F88" s="3"/>
      <c r="G88" s="3"/>
      <c r="H88" s="3"/>
      <c r="I88" s="3"/>
      <c r="J88" s="3"/>
      <c r="K88" s="3"/>
      <c r="L88" s="3"/>
      <c r="M88" s="3"/>
      <c r="N88" s="3"/>
      <c r="O88" s="3"/>
      <c r="P88" s="3"/>
      <c r="Q88" s="3"/>
      <c r="R88" s="3"/>
      <c r="S88" s="3"/>
      <c r="T88" s="3"/>
      <c r="U88" s="3"/>
      <c r="V88" s="3"/>
      <c r="W88" s="240" t="s">
        <v>2576</v>
      </c>
      <c r="X88" s="45"/>
      <c r="Y88" s="45"/>
      <c r="Z88" s="45"/>
      <c r="AA88" s="45"/>
      <c r="AB88" s="45"/>
      <c r="AC88" s="45"/>
      <c r="AD88" s="45"/>
      <c r="AE88" s="45"/>
    </row>
    <row r="89" spans="1:31" ht="17.100000000000001" customHeight="1">
      <c r="A89" s="3"/>
      <c r="B89" s="3"/>
      <c r="C89" s="3"/>
      <c r="D89" s="3"/>
      <c r="E89" s="3"/>
      <c r="F89" s="3"/>
      <c r="G89" s="3"/>
      <c r="H89" s="3"/>
      <c r="I89" s="3"/>
      <c r="J89" s="3"/>
      <c r="K89" s="3"/>
      <c r="L89" s="3"/>
      <c r="M89" s="3"/>
      <c r="N89" s="3"/>
      <c r="O89" s="3" t="s">
        <v>2597</v>
      </c>
      <c r="P89" s="3"/>
      <c r="Q89" s="3"/>
      <c r="R89" s="3"/>
      <c r="S89" s="3"/>
      <c r="T89" s="3"/>
      <c r="U89" s="3"/>
      <c r="V89" s="3"/>
      <c r="W89" s="240" t="s">
        <v>2578</v>
      </c>
      <c r="X89" s="45"/>
      <c r="Y89" s="45"/>
      <c r="Z89" s="45"/>
      <c r="AA89" s="45"/>
      <c r="AB89" s="45"/>
      <c r="AC89" s="45"/>
      <c r="AD89" s="45"/>
      <c r="AE89" s="45"/>
    </row>
    <row r="90" spans="1:31" ht="17.100000000000001" customHeight="1">
      <c r="A90" s="3" t="s">
        <v>2598</v>
      </c>
      <c r="B90" s="3"/>
      <c r="C90" s="3"/>
      <c r="D90" s="3"/>
      <c r="E90" s="3"/>
      <c r="F90" s="3"/>
      <c r="G90" s="3"/>
      <c r="H90" s="3"/>
      <c r="I90" s="3"/>
      <c r="J90" s="3"/>
      <c r="K90" s="3"/>
      <c r="L90" s="3"/>
      <c r="M90" s="3"/>
      <c r="N90" s="3"/>
      <c r="O90" s="3"/>
      <c r="P90" s="3"/>
      <c r="Q90" s="3"/>
      <c r="R90" s="3"/>
      <c r="S90" s="3"/>
      <c r="T90" s="3"/>
      <c r="U90" s="3"/>
      <c r="V90" s="3"/>
      <c r="W90" s="240" t="s">
        <v>2579</v>
      </c>
      <c r="X90" s="45"/>
      <c r="Y90" s="45"/>
      <c r="Z90" s="45"/>
      <c r="AA90" s="45"/>
      <c r="AB90" s="45"/>
      <c r="AC90" s="45"/>
      <c r="AD90" s="45"/>
      <c r="AE90" s="45"/>
    </row>
    <row r="91" spans="1:31" ht="17.100000000000001" customHeight="1">
      <c r="A91" s="3" t="s">
        <v>2599</v>
      </c>
      <c r="B91" s="3"/>
      <c r="C91" s="3"/>
      <c r="D91" s="3"/>
      <c r="E91" s="3"/>
      <c r="F91" s="3"/>
      <c r="G91" s="3"/>
      <c r="H91" s="3"/>
      <c r="I91" s="3"/>
      <c r="J91" s="3"/>
      <c r="K91" s="3"/>
      <c r="L91" s="3"/>
      <c r="M91" s="3"/>
      <c r="N91" s="3"/>
      <c r="O91" s="3" t="s">
        <v>2600</v>
      </c>
      <c r="P91" s="3"/>
      <c r="Q91" s="3"/>
      <c r="R91" s="3"/>
      <c r="S91" s="3"/>
      <c r="T91" s="3"/>
      <c r="U91" s="3"/>
      <c r="V91" s="3"/>
      <c r="W91" s="240" t="s">
        <v>2580</v>
      </c>
      <c r="X91" s="45"/>
      <c r="Y91" s="45"/>
      <c r="Z91" s="45"/>
      <c r="AA91" s="45"/>
      <c r="AB91" s="45"/>
      <c r="AC91" s="45"/>
      <c r="AD91" s="45"/>
      <c r="AE91" s="45"/>
    </row>
    <row r="92" spans="1:31" ht="17.100000000000001" customHeight="1">
      <c r="A92" s="3" t="s">
        <v>2601</v>
      </c>
      <c r="B92" s="3"/>
      <c r="C92" s="3"/>
      <c r="D92" s="3"/>
      <c r="E92" s="3"/>
      <c r="F92" s="3"/>
      <c r="G92" s="3"/>
      <c r="H92" s="3"/>
      <c r="I92" s="3"/>
      <c r="J92" s="3"/>
      <c r="K92" s="3"/>
      <c r="L92" s="3"/>
      <c r="M92" s="3"/>
      <c r="N92" s="3"/>
      <c r="O92" s="3" t="s">
        <v>2602</v>
      </c>
      <c r="P92" s="3"/>
      <c r="Q92" s="3"/>
      <c r="R92" s="3"/>
      <c r="S92" s="3"/>
      <c r="T92" s="3"/>
      <c r="U92" s="3"/>
      <c r="V92" s="3"/>
      <c r="W92" s="240" t="s">
        <v>2603</v>
      </c>
      <c r="X92" s="45"/>
      <c r="Y92" s="45"/>
      <c r="Z92" s="45"/>
      <c r="AA92" s="45"/>
      <c r="AB92" s="45"/>
      <c r="AC92" s="45"/>
      <c r="AD92" s="45"/>
      <c r="AE92" s="45"/>
    </row>
    <row r="93" spans="1:31" ht="17.100000000000001" customHeight="1">
      <c r="A93" s="3"/>
      <c r="B93" s="3"/>
      <c r="C93" s="3"/>
      <c r="D93" s="3"/>
      <c r="E93" s="3"/>
      <c r="F93" s="3"/>
      <c r="G93" s="3"/>
      <c r="H93" s="3"/>
      <c r="I93" s="3"/>
      <c r="J93" s="3"/>
      <c r="K93" s="3"/>
      <c r="L93" s="3"/>
      <c r="M93" s="3"/>
      <c r="N93" s="3"/>
      <c r="O93" s="3" t="s">
        <v>2601</v>
      </c>
      <c r="P93" s="3"/>
      <c r="Q93" s="3"/>
      <c r="R93" s="3"/>
      <c r="S93" s="3"/>
      <c r="T93" s="3"/>
      <c r="U93" s="3"/>
      <c r="V93" s="3"/>
      <c r="W93" s="240" t="s">
        <v>2426</v>
      </c>
      <c r="X93" s="45"/>
      <c r="Y93" s="45"/>
      <c r="Z93" s="45"/>
      <c r="AA93" s="45"/>
      <c r="AB93" s="45"/>
      <c r="AC93" s="45"/>
      <c r="AD93" s="45"/>
      <c r="AE93" s="45"/>
    </row>
    <row r="94" spans="1:31" ht="17.100000000000001" customHeight="1">
      <c r="A94" s="3" t="s">
        <v>2604</v>
      </c>
      <c r="B94" s="3"/>
      <c r="C94" s="3"/>
      <c r="D94" s="3"/>
      <c r="E94" s="3"/>
      <c r="F94" s="3"/>
      <c r="G94" s="3"/>
      <c r="H94" s="3"/>
      <c r="I94" s="3"/>
      <c r="J94" s="3"/>
      <c r="K94" s="3"/>
      <c r="L94" s="3"/>
      <c r="M94" s="3"/>
      <c r="N94" s="3"/>
      <c r="O94" s="3" t="s">
        <v>2605</v>
      </c>
      <c r="P94" s="3"/>
      <c r="Q94" s="3"/>
      <c r="R94" s="3"/>
      <c r="S94" s="3"/>
      <c r="T94" s="3"/>
      <c r="U94" s="3"/>
      <c r="V94" s="3"/>
      <c r="W94" s="240"/>
      <c r="X94" s="45"/>
      <c r="Y94" s="45"/>
      <c r="Z94" s="45"/>
      <c r="AA94" s="45"/>
      <c r="AB94" s="45"/>
      <c r="AC94" s="45"/>
      <c r="AD94" s="45"/>
      <c r="AE94" s="45"/>
    </row>
    <row r="95" spans="1:31" ht="17.100000000000001" customHeight="1">
      <c r="A95" s="3" t="s">
        <v>2606</v>
      </c>
      <c r="B95" s="3"/>
      <c r="C95" s="3"/>
      <c r="D95" s="3"/>
      <c r="E95" s="3"/>
      <c r="F95" s="3"/>
      <c r="G95" s="3"/>
      <c r="H95" s="3"/>
      <c r="I95" s="3"/>
      <c r="J95" s="3"/>
      <c r="K95" s="3"/>
      <c r="L95" s="3"/>
      <c r="M95" s="3"/>
      <c r="N95" s="3"/>
      <c r="O95" s="3" t="s">
        <v>2607</v>
      </c>
      <c r="P95" s="3"/>
      <c r="Q95" s="3"/>
      <c r="R95" s="3"/>
      <c r="S95" s="3"/>
      <c r="T95" s="3"/>
      <c r="U95" s="3"/>
      <c r="V95" s="3"/>
      <c r="W95" s="240" t="s">
        <v>2583</v>
      </c>
      <c r="X95" s="45"/>
      <c r="Y95" s="45"/>
      <c r="Z95" s="45"/>
      <c r="AA95" s="45"/>
      <c r="AB95" s="45"/>
      <c r="AC95" s="45"/>
      <c r="AD95" s="45"/>
      <c r="AE95" s="45"/>
    </row>
    <row r="96" spans="1:31" ht="17.100000000000001" customHeight="1">
      <c r="A96" s="3"/>
      <c r="B96" s="3"/>
      <c r="C96" s="3"/>
      <c r="D96" s="3"/>
      <c r="E96" s="3"/>
      <c r="F96" s="3"/>
      <c r="G96" s="3"/>
      <c r="H96" s="3"/>
      <c r="I96" s="3"/>
      <c r="J96" s="3"/>
      <c r="K96" s="3"/>
      <c r="L96" s="3"/>
      <c r="M96" s="3"/>
      <c r="N96" s="3"/>
      <c r="O96" s="3" t="s">
        <v>2608</v>
      </c>
      <c r="P96" s="3"/>
      <c r="Q96" s="3"/>
      <c r="R96" s="3"/>
      <c r="S96" s="3"/>
      <c r="T96" s="3"/>
      <c r="U96" s="3"/>
      <c r="V96" s="3"/>
      <c r="W96" s="240" t="s">
        <v>2585</v>
      </c>
      <c r="X96" s="45"/>
      <c r="Y96" s="45"/>
      <c r="Z96" s="45"/>
      <c r="AA96" s="45"/>
      <c r="AB96" s="45"/>
      <c r="AC96" s="45"/>
      <c r="AD96" s="45"/>
      <c r="AE96" s="45"/>
    </row>
    <row r="97" spans="1:31" ht="17.100000000000001" customHeight="1">
      <c r="A97" s="3" t="s">
        <v>2600</v>
      </c>
      <c r="B97" s="3"/>
      <c r="C97" s="3"/>
      <c r="D97" s="3"/>
      <c r="E97" s="3"/>
      <c r="F97" s="3"/>
      <c r="G97" s="3"/>
      <c r="H97" s="3"/>
      <c r="I97" s="3"/>
      <c r="J97" s="3"/>
      <c r="K97" s="3"/>
      <c r="L97" s="3"/>
      <c r="M97" s="3"/>
      <c r="N97" s="3"/>
      <c r="O97" s="3" t="s">
        <v>2453</v>
      </c>
      <c r="P97" s="3"/>
      <c r="Q97" s="3"/>
      <c r="R97" s="3"/>
      <c r="S97" s="3"/>
      <c r="T97" s="3"/>
      <c r="U97" s="3"/>
      <c r="V97" s="3"/>
      <c r="W97" s="240" t="s">
        <v>2586</v>
      </c>
      <c r="X97" s="45"/>
      <c r="Y97" s="45"/>
      <c r="Z97" s="45"/>
      <c r="AA97" s="45"/>
      <c r="AB97" s="45"/>
      <c r="AC97" s="45"/>
      <c r="AD97" s="45"/>
      <c r="AE97" s="45"/>
    </row>
    <row r="98" spans="1:31" ht="17.100000000000001" customHeight="1">
      <c r="A98" s="3" t="s">
        <v>2602</v>
      </c>
      <c r="B98" s="3"/>
      <c r="C98" s="3"/>
      <c r="D98" s="3"/>
      <c r="E98" s="3"/>
      <c r="F98" s="3"/>
      <c r="G98" s="3"/>
      <c r="H98" s="3"/>
      <c r="I98" s="3"/>
      <c r="J98" s="3"/>
      <c r="K98" s="3"/>
      <c r="L98" s="3"/>
      <c r="M98" s="3"/>
      <c r="N98" s="3"/>
      <c r="O98" s="3" t="s">
        <v>2609</v>
      </c>
      <c r="P98" s="3"/>
      <c r="Q98" s="3"/>
      <c r="R98" s="3"/>
      <c r="S98" s="3"/>
      <c r="T98" s="3"/>
      <c r="U98" s="3"/>
      <c r="V98" s="3"/>
      <c r="W98" s="240"/>
      <c r="X98" s="45"/>
      <c r="Y98" s="45"/>
      <c r="Z98" s="45"/>
      <c r="AA98" s="45"/>
      <c r="AB98" s="45"/>
      <c r="AC98" s="45"/>
      <c r="AD98" s="45"/>
      <c r="AE98" s="45"/>
    </row>
    <row r="99" spans="1:31" ht="17.100000000000001" customHeight="1">
      <c r="A99" s="3" t="s">
        <v>2601</v>
      </c>
      <c r="B99" s="3"/>
      <c r="C99" s="3"/>
      <c r="D99" s="3"/>
      <c r="E99" s="3"/>
      <c r="F99" s="3"/>
      <c r="G99" s="3"/>
      <c r="H99" s="3"/>
      <c r="I99" s="3"/>
      <c r="J99" s="3"/>
      <c r="K99" s="3"/>
      <c r="L99" s="3"/>
      <c r="M99" s="3"/>
      <c r="N99" s="3"/>
      <c r="O99" s="3"/>
      <c r="P99" s="3"/>
      <c r="Q99" s="3"/>
      <c r="R99" s="3"/>
      <c r="S99" s="3"/>
      <c r="T99" s="3"/>
      <c r="U99" s="3"/>
      <c r="V99" s="3"/>
      <c r="W99" s="240" t="s">
        <v>2589</v>
      </c>
      <c r="X99" s="45"/>
      <c r="Y99" s="45"/>
      <c r="Z99" s="45"/>
      <c r="AA99" s="45"/>
      <c r="AB99" s="45"/>
      <c r="AC99" s="45"/>
      <c r="AD99" s="45"/>
      <c r="AE99" s="45"/>
    </row>
    <row r="100" spans="1:31" ht="17.100000000000001" customHeight="1">
      <c r="A100" s="3" t="s">
        <v>2610</v>
      </c>
      <c r="B100" s="3"/>
      <c r="C100" s="3"/>
      <c r="D100" s="3"/>
      <c r="E100" s="3"/>
      <c r="F100" s="3"/>
      <c r="G100" s="3"/>
      <c r="H100" s="3"/>
      <c r="I100" s="3"/>
      <c r="J100" s="3"/>
      <c r="K100" s="3"/>
      <c r="L100" s="3"/>
      <c r="M100" s="3"/>
      <c r="N100" s="3"/>
      <c r="O100" s="3"/>
      <c r="P100" s="3"/>
      <c r="Q100" s="3"/>
      <c r="R100" s="3"/>
      <c r="S100" s="3"/>
      <c r="T100" s="3"/>
      <c r="U100" s="3"/>
      <c r="V100" s="3"/>
      <c r="W100" s="240" t="s">
        <v>2591</v>
      </c>
      <c r="X100" s="45"/>
      <c r="Y100" s="45"/>
      <c r="Z100" s="45"/>
      <c r="AA100" s="45"/>
      <c r="AB100" s="45"/>
      <c r="AC100" s="45"/>
      <c r="AD100" s="45"/>
      <c r="AE100" s="45"/>
    </row>
    <row r="101" spans="1:31" ht="17.100000000000001" customHeight="1">
      <c r="A101" s="3" t="s">
        <v>2607</v>
      </c>
      <c r="B101" s="3"/>
      <c r="C101" s="3"/>
      <c r="D101" s="3"/>
      <c r="E101" s="3"/>
      <c r="F101" s="3"/>
      <c r="G101" s="3"/>
      <c r="H101" s="3"/>
      <c r="I101" s="3"/>
      <c r="J101" s="3"/>
      <c r="K101" s="3"/>
      <c r="L101" s="3"/>
      <c r="M101" s="3"/>
      <c r="N101" s="3"/>
      <c r="O101" s="3"/>
      <c r="P101" s="3"/>
      <c r="Q101" s="3"/>
      <c r="R101" s="3"/>
      <c r="S101" s="3"/>
      <c r="T101" s="3"/>
      <c r="U101" s="3"/>
      <c r="V101" s="3"/>
      <c r="W101" s="240" t="s">
        <v>2592</v>
      </c>
      <c r="X101" s="45"/>
      <c r="Y101" s="45"/>
      <c r="Z101" s="45"/>
      <c r="AA101" s="45"/>
      <c r="AB101" s="45"/>
      <c r="AC101" s="45"/>
      <c r="AD101" s="45"/>
      <c r="AE101" s="45"/>
    </row>
    <row r="102" spans="1:31" ht="17.100000000000001" customHeight="1">
      <c r="A102" s="3" t="s">
        <v>2611</v>
      </c>
      <c r="B102" s="3"/>
      <c r="C102" s="3"/>
      <c r="D102" s="3"/>
      <c r="E102" s="3"/>
      <c r="F102" s="3"/>
      <c r="G102" s="3"/>
      <c r="H102" s="3"/>
      <c r="I102" s="3"/>
      <c r="J102" s="3"/>
      <c r="K102" s="3"/>
      <c r="L102" s="3"/>
      <c r="M102" s="3"/>
      <c r="N102" s="3"/>
      <c r="O102" s="3"/>
      <c r="P102" s="3"/>
      <c r="Q102" s="3"/>
      <c r="R102" s="3"/>
      <c r="S102" s="3"/>
      <c r="T102" s="3"/>
      <c r="U102" s="3"/>
      <c r="V102" s="3"/>
      <c r="W102" s="240"/>
      <c r="X102" s="45"/>
      <c r="Y102" s="45"/>
      <c r="Z102" s="45"/>
      <c r="AA102" s="45"/>
      <c r="AB102" s="45"/>
      <c r="AC102" s="45"/>
      <c r="AD102" s="45"/>
      <c r="AE102" s="45"/>
    </row>
    <row r="103" spans="1:31" ht="17.100000000000001" customHeight="1">
      <c r="A103" s="3" t="s">
        <v>2453</v>
      </c>
      <c r="B103" s="3"/>
      <c r="C103" s="3"/>
      <c r="D103" s="3"/>
      <c r="E103" s="3"/>
      <c r="F103" s="3"/>
      <c r="G103" s="3"/>
      <c r="H103" s="3"/>
      <c r="I103" s="3"/>
      <c r="J103" s="3"/>
      <c r="K103" s="3"/>
      <c r="L103" s="3"/>
      <c r="M103" s="3"/>
      <c r="N103" s="3"/>
      <c r="O103" s="3"/>
      <c r="P103" s="3"/>
      <c r="Q103" s="3"/>
      <c r="R103" s="3"/>
      <c r="S103" s="3"/>
      <c r="T103" s="3"/>
      <c r="U103" s="3"/>
      <c r="V103" s="3"/>
      <c r="W103" s="240" t="s">
        <v>2594</v>
      </c>
      <c r="X103" s="45"/>
      <c r="Y103" s="45"/>
      <c r="Z103" s="45"/>
      <c r="AA103" s="45"/>
      <c r="AB103" s="45"/>
      <c r="AC103" s="45"/>
      <c r="AD103" s="45"/>
      <c r="AE103" s="45"/>
    </row>
    <row r="104" spans="1:31" ht="17.100000000000001" customHeight="1">
      <c r="A104" s="3" t="s">
        <v>2612</v>
      </c>
      <c r="B104" s="3"/>
      <c r="C104" s="3"/>
      <c r="D104" s="3"/>
      <c r="E104" s="3"/>
      <c r="F104" s="3"/>
      <c r="G104" s="3"/>
      <c r="H104" s="3"/>
      <c r="I104" s="3"/>
      <c r="J104" s="3"/>
      <c r="K104" s="3"/>
      <c r="L104" s="3"/>
      <c r="M104" s="3"/>
      <c r="N104" s="3"/>
      <c r="O104" s="3"/>
      <c r="P104" s="3"/>
      <c r="Q104" s="3"/>
      <c r="R104" s="3"/>
      <c r="S104" s="3"/>
      <c r="T104" s="3"/>
      <c r="U104" s="3"/>
      <c r="V104" s="3"/>
      <c r="W104" s="240"/>
      <c r="X104" s="45"/>
      <c r="Y104" s="45"/>
      <c r="Z104" s="45"/>
      <c r="AA104" s="45"/>
      <c r="AB104" s="45"/>
      <c r="AC104" s="45"/>
      <c r="AD104" s="45"/>
      <c r="AE104" s="45"/>
    </row>
    <row r="105" spans="1:31" ht="17.100000000000001" customHeight="1">
      <c r="A105" s="3"/>
      <c r="B105" s="3"/>
      <c r="C105" s="3"/>
      <c r="D105" s="3"/>
      <c r="E105" s="3"/>
      <c r="F105" s="3"/>
      <c r="G105" s="3"/>
      <c r="H105" s="3"/>
      <c r="I105" s="3"/>
      <c r="J105" s="3"/>
      <c r="K105" s="3"/>
      <c r="L105" s="3"/>
      <c r="M105" s="3"/>
      <c r="N105" s="3"/>
      <c r="O105" s="3"/>
      <c r="P105" s="3"/>
      <c r="Q105" s="3"/>
      <c r="R105" s="3"/>
      <c r="S105" s="3"/>
      <c r="T105" s="3"/>
      <c r="U105" s="3"/>
      <c r="V105" s="3"/>
      <c r="W105" s="240" t="s">
        <v>2595</v>
      </c>
      <c r="X105" s="45"/>
      <c r="Y105" s="45"/>
      <c r="Z105" s="45"/>
      <c r="AA105" s="45"/>
      <c r="AB105" s="45"/>
      <c r="AC105" s="45"/>
      <c r="AD105" s="45"/>
      <c r="AE105" s="45"/>
    </row>
    <row r="106" spans="1:31" ht="17.100000000000001" customHeight="1">
      <c r="A106" s="25" t="s">
        <v>2613</v>
      </c>
      <c r="B106" s="26"/>
      <c r="C106" s="26"/>
      <c r="D106" s="26"/>
      <c r="E106" s="26"/>
      <c r="F106" s="26"/>
      <c r="G106" s="26"/>
      <c r="H106" s="26"/>
      <c r="I106" s="25" t="s">
        <v>2614</v>
      </c>
      <c r="J106" s="26"/>
      <c r="K106" s="26"/>
      <c r="L106" s="26"/>
      <c r="M106" s="26"/>
      <c r="N106" s="26"/>
      <c r="O106" s="26"/>
      <c r="P106" s="26"/>
      <c r="Q106" s="26"/>
      <c r="R106" s="26"/>
      <c r="S106" s="26"/>
      <c r="T106" s="26"/>
      <c r="U106" s="26"/>
      <c r="V106" s="26"/>
      <c r="W106" s="240" t="s">
        <v>2596</v>
      </c>
      <c r="X106" s="45"/>
      <c r="Y106" s="45"/>
      <c r="Z106" s="45"/>
      <c r="AA106" s="45"/>
      <c r="AB106" s="45"/>
      <c r="AC106" s="45"/>
      <c r="AD106" s="45"/>
      <c r="AE106" s="45"/>
    </row>
    <row r="107" spans="1:31" ht="17.100000000000001" customHeight="1">
      <c r="A107" s="3"/>
      <c r="B107" s="3"/>
      <c r="C107" s="3"/>
      <c r="D107" s="3"/>
      <c r="E107" s="3"/>
      <c r="F107" s="3"/>
      <c r="G107" s="3"/>
      <c r="H107" s="3"/>
      <c r="I107" s="3"/>
      <c r="J107" s="3"/>
      <c r="K107" s="3"/>
      <c r="L107" s="3"/>
      <c r="M107" s="3"/>
      <c r="N107" s="3"/>
      <c r="O107" s="3"/>
      <c r="P107" s="3"/>
      <c r="Q107" s="3"/>
      <c r="R107" s="3"/>
      <c r="S107" s="3"/>
      <c r="T107" s="3"/>
      <c r="U107" s="3"/>
      <c r="V107" s="3"/>
      <c r="W107" s="240"/>
      <c r="X107" s="45"/>
      <c r="Y107" s="45"/>
      <c r="Z107" s="45"/>
      <c r="AA107" s="45"/>
      <c r="AB107" s="45"/>
      <c r="AC107" s="45"/>
      <c r="AD107" s="45"/>
      <c r="AE107" s="45"/>
    </row>
    <row r="108" spans="1:31" ht="17.100000000000001" customHeight="1">
      <c r="A108" s="3" t="s">
        <v>2451</v>
      </c>
      <c r="B108" s="3"/>
      <c r="C108" s="3"/>
      <c r="D108" s="3"/>
      <c r="E108" s="3"/>
      <c r="F108" s="3"/>
      <c r="G108" s="3"/>
      <c r="H108" s="3"/>
      <c r="I108" s="3"/>
      <c r="J108" s="3"/>
      <c r="K108" s="3"/>
      <c r="L108" s="3"/>
      <c r="M108" s="3"/>
      <c r="N108" s="3"/>
      <c r="O108" s="3"/>
      <c r="P108" s="3"/>
      <c r="Q108" s="3"/>
      <c r="R108" s="3"/>
      <c r="S108" s="3"/>
      <c r="T108" s="3"/>
      <c r="U108" s="3"/>
      <c r="V108" s="3"/>
      <c r="W108" s="240" t="s">
        <v>2597</v>
      </c>
      <c r="X108" s="45"/>
      <c r="Y108" s="45"/>
      <c r="Z108" s="45"/>
      <c r="AA108" s="45"/>
      <c r="AB108" s="45"/>
      <c r="AC108" s="45"/>
      <c r="AD108" s="45"/>
      <c r="AE108" s="45"/>
    </row>
    <row r="109" spans="1:31" ht="17.100000000000001" customHeight="1">
      <c r="A109" s="3" t="s">
        <v>350</v>
      </c>
      <c r="B109" s="3"/>
      <c r="C109" s="3"/>
      <c r="D109" s="3"/>
      <c r="E109" s="3"/>
      <c r="F109" s="3"/>
      <c r="G109" s="3"/>
      <c r="H109" s="3"/>
      <c r="I109" s="3" t="s">
        <v>2451</v>
      </c>
      <c r="J109" s="3"/>
      <c r="K109" s="3"/>
      <c r="L109" s="3"/>
      <c r="M109" s="3"/>
      <c r="N109" s="3"/>
      <c r="O109" s="3"/>
      <c r="P109" s="3"/>
      <c r="Q109" s="3"/>
      <c r="R109" s="3"/>
      <c r="S109" s="3"/>
      <c r="T109" s="3"/>
      <c r="U109" s="3"/>
      <c r="V109" s="3"/>
      <c r="W109" s="240"/>
      <c r="X109" s="45"/>
      <c r="Y109" s="45"/>
      <c r="Z109" s="45"/>
      <c r="AA109" s="45"/>
      <c r="AB109" s="45"/>
      <c r="AC109" s="45"/>
      <c r="AD109" s="45"/>
      <c r="AE109" s="45"/>
    </row>
    <row r="110" spans="1:31" ht="17.100000000000001" customHeight="1">
      <c r="A110" s="3"/>
      <c r="B110" s="3"/>
      <c r="C110" s="3"/>
      <c r="D110" s="3"/>
      <c r="E110" s="3"/>
      <c r="F110" s="3"/>
      <c r="G110" s="3"/>
      <c r="H110" s="3"/>
      <c r="I110" s="3" t="s">
        <v>350</v>
      </c>
      <c r="J110" s="3"/>
      <c r="K110" s="3"/>
      <c r="L110" s="3"/>
      <c r="M110" s="3"/>
      <c r="N110" s="3"/>
      <c r="O110" s="3"/>
      <c r="P110" s="3"/>
      <c r="Q110" s="3"/>
      <c r="R110" s="3"/>
      <c r="S110" s="3"/>
      <c r="T110" s="3"/>
      <c r="U110" s="3"/>
      <c r="V110" s="3"/>
      <c r="W110" s="240" t="s">
        <v>2600</v>
      </c>
      <c r="X110" s="45"/>
      <c r="Y110" s="45"/>
      <c r="Z110" s="45"/>
      <c r="AA110" s="45"/>
      <c r="AB110" s="45"/>
      <c r="AC110" s="45"/>
      <c r="AD110" s="45"/>
      <c r="AE110" s="45"/>
    </row>
    <row r="111" spans="1:31" ht="17.100000000000001" customHeight="1">
      <c r="A111" s="3" t="s">
        <v>2453</v>
      </c>
      <c r="B111" s="3"/>
      <c r="C111" s="3"/>
      <c r="D111" s="3"/>
      <c r="E111" s="3"/>
      <c r="F111" s="3"/>
      <c r="G111" s="3"/>
      <c r="H111" s="3"/>
      <c r="I111" s="3"/>
      <c r="J111" s="3"/>
      <c r="K111" s="3"/>
      <c r="L111" s="3"/>
      <c r="M111" s="3"/>
      <c r="N111" s="3"/>
      <c r="O111" s="3"/>
      <c r="P111" s="3"/>
      <c r="Q111" s="3"/>
      <c r="R111" s="3"/>
      <c r="S111" s="3"/>
      <c r="T111" s="3"/>
      <c r="U111" s="3"/>
      <c r="V111" s="3"/>
      <c r="W111" s="240" t="s">
        <v>2602</v>
      </c>
      <c r="X111" s="45"/>
      <c r="Y111" s="45"/>
      <c r="Z111" s="45"/>
      <c r="AA111" s="45"/>
      <c r="AB111" s="45"/>
      <c r="AC111" s="45"/>
      <c r="AD111" s="45"/>
      <c r="AE111" s="45"/>
    </row>
    <row r="112" spans="1:31" ht="17.100000000000001" customHeight="1">
      <c r="A112" s="3" t="s">
        <v>2455</v>
      </c>
      <c r="B112" s="3"/>
      <c r="C112" s="3"/>
      <c r="D112" s="3"/>
      <c r="E112" s="3"/>
      <c r="F112" s="3"/>
      <c r="G112" s="3"/>
      <c r="H112" s="3"/>
      <c r="I112" s="3" t="s">
        <v>2453</v>
      </c>
      <c r="J112" s="3"/>
      <c r="K112" s="3"/>
      <c r="L112" s="3"/>
      <c r="M112" s="3"/>
      <c r="N112" s="3"/>
      <c r="O112" s="3"/>
      <c r="P112" s="3"/>
      <c r="Q112" s="3"/>
      <c r="R112" s="3"/>
      <c r="S112" s="3"/>
      <c r="T112" s="3"/>
      <c r="U112" s="3"/>
      <c r="V112" s="3"/>
      <c r="W112" s="240" t="s">
        <v>2601</v>
      </c>
      <c r="X112" s="45"/>
      <c r="Y112" s="45"/>
      <c r="Z112" s="45"/>
      <c r="AA112" s="45"/>
      <c r="AB112" s="45"/>
      <c r="AC112" s="45"/>
      <c r="AD112" s="45"/>
      <c r="AE112" s="45"/>
    </row>
    <row r="113" spans="1:31" ht="17.100000000000001" customHeight="1">
      <c r="A113" s="3" t="s">
        <v>2456</v>
      </c>
      <c r="B113" s="3"/>
      <c r="C113" s="3"/>
      <c r="D113" s="3"/>
      <c r="E113" s="3"/>
      <c r="F113" s="3"/>
      <c r="G113" s="3"/>
      <c r="H113" s="3"/>
      <c r="I113" s="3" t="s">
        <v>2455</v>
      </c>
      <c r="J113" s="3"/>
      <c r="K113" s="3"/>
      <c r="L113" s="3"/>
      <c r="M113" s="3"/>
      <c r="N113" s="3"/>
      <c r="O113" s="3"/>
      <c r="P113" s="3"/>
      <c r="Q113" s="3"/>
      <c r="R113" s="3"/>
      <c r="S113" s="3"/>
      <c r="T113" s="3"/>
      <c r="U113" s="3"/>
      <c r="V113" s="3"/>
      <c r="W113" s="240" t="s">
        <v>2615</v>
      </c>
      <c r="X113" s="45"/>
      <c r="Y113" s="45"/>
      <c r="Z113" s="45"/>
      <c r="AA113" s="45"/>
      <c r="AB113" s="45"/>
      <c r="AC113" s="45"/>
      <c r="AD113" s="45"/>
      <c r="AE113" s="45"/>
    </row>
    <row r="114" spans="1:31" ht="17.100000000000001" customHeight="1">
      <c r="A114" s="3" t="s">
        <v>2458</v>
      </c>
      <c r="B114" s="3"/>
      <c r="C114" s="3"/>
      <c r="D114" s="3"/>
      <c r="E114" s="3"/>
      <c r="F114" s="3"/>
      <c r="G114" s="3"/>
      <c r="H114" s="3"/>
      <c r="I114" s="3" t="s">
        <v>2456</v>
      </c>
      <c r="J114" s="3"/>
      <c r="K114" s="3"/>
      <c r="L114" s="3"/>
      <c r="M114" s="3"/>
      <c r="N114" s="3"/>
      <c r="O114" s="3"/>
      <c r="P114" s="3"/>
      <c r="Q114" s="3"/>
      <c r="R114" s="3"/>
      <c r="S114" s="3"/>
      <c r="T114" s="3"/>
      <c r="U114" s="3"/>
      <c r="V114" s="3"/>
      <c r="W114" s="240" t="s">
        <v>2607</v>
      </c>
      <c r="X114" s="45"/>
      <c r="Y114" s="45"/>
      <c r="Z114" s="45"/>
      <c r="AA114" s="45"/>
      <c r="AB114" s="45"/>
      <c r="AC114" s="45"/>
      <c r="AD114" s="45"/>
      <c r="AE114" s="45"/>
    </row>
    <row r="115" spans="1:31" ht="17.100000000000001" customHeight="1">
      <c r="A115" s="3" t="s">
        <v>2459</v>
      </c>
      <c r="B115" s="3"/>
      <c r="C115" s="3"/>
      <c r="D115" s="3"/>
      <c r="E115" s="3"/>
      <c r="F115" s="3"/>
      <c r="G115" s="3"/>
      <c r="H115" s="3"/>
      <c r="I115" s="3" t="s">
        <v>2458</v>
      </c>
      <c r="J115" s="3"/>
      <c r="K115" s="3"/>
      <c r="L115" s="3"/>
      <c r="M115" s="3"/>
      <c r="N115" s="3"/>
      <c r="O115" s="3"/>
      <c r="P115" s="3"/>
      <c r="Q115" s="3"/>
      <c r="R115" s="3"/>
      <c r="S115" s="3"/>
      <c r="T115" s="3"/>
      <c r="U115" s="3"/>
      <c r="V115" s="3"/>
      <c r="W115" s="240" t="s">
        <v>2616</v>
      </c>
      <c r="X115" s="45"/>
      <c r="Y115" s="45"/>
      <c r="Z115" s="45"/>
      <c r="AA115" s="45"/>
      <c r="AB115" s="45"/>
      <c r="AC115" s="45"/>
      <c r="AD115" s="45"/>
      <c r="AE115" s="45"/>
    </row>
    <row r="116" spans="1:31" ht="17.100000000000001" customHeight="1">
      <c r="A116" s="3" t="s">
        <v>2617</v>
      </c>
      <c r="B116" s="3"/>
      <c r="C116" s="3"/>
      <c r="D116" s="3"/>
      <c r="E116" s="3"/>
      <c r="F116" s="3"/>
      <c r="G116" s="3"/>
      <c r="H116" s="3"/>
      <c r="I116" s="3" t="s">
        <v>2459</v>
      </c>
      <c r="J116" s="3"/>
      <c r="K116" s="3"/>
      <c r="L116" s="3"/>
      <c r="M116" s="3"/>
      <c r="N116" s="3"/>
      <c r="O116" s="3"/>
      <c r="P116" s="3"/>
      <c r="Q116" s="3"/>
      <c r="R116" s="3"/>
      <c r="S116" s="3"/>
      <c r="T116" s="3"/>
      <c r="U116" s="3"/>
      <c r="V116" s="3"/>
      <c r="W116" s="240" t="s">
        <v>2453</v>
      </c>
      <c r="X116" s="45"/>
      <c r="Y116" s="45"/>
      <c r="Z116" s="45"/>
      <c r="AA116" s="45"/>
      <c r="AB116" s="45"/>
      <c r="AC116" s="45"/>
      <c r="AD116" s="45"/>
      <c r="AE116" s="45"/>
    </row>
    <row r="117" spans="1:31" ht="17.100000000000001" customHeight="1">
      <c r="A117" s="3" t="s">
        <v>2453</v>
      </c>
      <c r="B117" s="3"/>
      <c r="C117" s="3"/>
      <c r="D117" s="3"/>
      <c r="E117" s="3"/>
      <c r="F117" s="3"/>
      <c r="G117" s="3"/>
      <c r="H117" s="3"/>
      <c r="I117" s="3" t="s">
        <v>2618</v>
      </c>
      <c r="J117" s="3"/>
      <c r="K117" s="3"/>
      <c r="L117" s="3"/>
      <c r="M117" s="3"/>
      <c r="N117" s="3"/>
      <c r="O117" s="3"/>
      <c r="P117" s="3"/>
      <c r="Q117" s="3"/>
      <c r="R117" s="3"/>
      <c r="S117" s="3"/>
      <c r="T117" s="3"/>
      <c r="U117" s="3"/>
      <c r="V117" s="3"/>
      <c r="W117" s="240" t="s">
        <v>2619</v>
      </c>
      <c r="X117" s="45"/>
      <c r="Y117" s="45"/>
      <c r="Z117" s="45"/>
      <c r="AA117" s="45"/>
      <c r="AB117" s="45"/>
      <c r="AC117" s="45"/>
      <c r="AD117" s="45"/>
      <c r="AE117" s="45"/>
    </row>
    <row r="118" spans="1:31" ht="17.100000000000001" customHeight="1">
      <c r="A118" s="3"/>
      <c r="B118" s="3"/>
      <c r="C118" s="3"/>
      <c r="D118" s="3"/>
      <c r="E118" s="3"/>
      <c r="F118" s="3"/>
      <c r="G118" s="3"/>
      <c r="H118" s="3"/>
      <c r="I118" s="3" t="s">
        <v>2453</v>
      </c>
      <c r="J118" s="3"/>
      <c r="K118" s="3"/>
      <c r="L118" s="3"/>
      <c r="M118" s="3"/>
      <c r="N118" s="3"/>
      <c r="O118" s="3"/>
      <c r="P118" s="3"/>
      <c r="Q118" s="3"/>
      <c r="R118" s="3"/>
      <c r="S118" s="3"/>
      <c r="T118" s="3"/>
      <c r="U118" s="3"/>
      <c r="V118" s="3"/>
      <c r="W118" s="240"/>
      <c r="X118" s="45"/>
      <c r="Y118" s="45"/>
      <c r="Z118" s="45"/>
      <c r="AA118" s="45"/>
      <c r="AB118" s="45"/>
      <c r="AC118" s="45"/>
      <c r="AD118" s="45"/>
      <c r="AE118" s="45"/>
    </row>
    <row r="119" spans="1:31" ht="17.100000000000001" customHeight="1">
      <c r="A119" s="3" t="s">
        <v>2465</v>
      </c>
      <c r="B119" s="3"/>
      <c r="C119" s="3"/>
      <c r="D119" s="3"/>
      <c r="E119" s="3"/>
      <c r="F119" s="3"/>
      <c r="G119" s="3"/>
      <c r="H119" s="3"/>
      <c r="I119" s="3"/>
      <c r="J119" s="3"/>
      <c r="K119" s="3"/>
      <c r="L119" s="3"/>
      <c r="M119" s="3"/>
      <c r="N119" s="3"/>
      <c r="O119" s="3"/>
      <c r="P119" s="3"/>
      <c r="Q119" s="3"/>
      <c r="R119" s="3"/>
      <c r="S119" s="3"/>
      <c r="T119" s="3"/>
      <c r="U119" s="3"/>
      <c r="V119" s="3"/>
      <c r="W119" s="240"/>
      <c r="X119" s="45"/>
      <c r="Y119" s="45"/>
      <c r="Z119" s="45"/>
      <c r="AA119" s="45"/>
      <c r="AB119" s="45"/>
      <c r="AC119" s="45"/>
      <c r="AD119" s="45"/>
      <c r="AE119" s="45"/>
    </row>
    <row r="120" spans="1:31" ht="17.100000000000001" customHeight="1">
      <c r="A120" s="3" t="s">
        <v>2467</v>
      </c>
      <c r="B120" s="3"/>
      <c r="C120" s="3"/>
      <c r="D120" s="3"/>
      <c r="E120" s="3"/>
      <c r="F120" s="3"/>
      <c r="G120" s="3"/>
      <c r="H120" s="3"/>
      <c r="I120" s="3" t="s">
        <v>2620</v>
      </c>
      <c r="J120" s="3"/>
      <c r="K120" s="3"/>
      <c r="L120" s="3"/>
      <c r="M120" s="3"/>
      <c r="N120" s="3"/>
      <c r="O120" s="3"/>
      <c r="P120" s="3"/>
      <c r="Q120" s="3"/>
      <c r="R120" s="3"/>
      <c r="S120" s="3"/>
      <c r="T120" s="3"/>
      <c r="U120" s="3"/>
      <c r="V120" s="3"/>
      <c r="W120" s="240"/>
      <c r="X120" s="45"/>
      <c r="Y120" s="45"/>
      <c r="Z120" s="45"/>
      <c r="AA120" s="45"/>
      <c r="AB120" s="45"/>
      <c r="AC120" s="45"/>
      <c r="AD120" s="45"/>
      <c r="AE120" s="45"/>
    </row>
    <row r="121" spans="1:31" ht="17.100000000000001" customHeight="1">
      <c r="A121" s="3" t="s">
        <v>2426</v>
      </c>
      <c r="B121" s="3"/>
      <c r="C121" s="3"/>
      <c r="D121" s="3"/>
      <c r="E121" s="3"/>
      <c r="F121" s="3"/>
      <c r="G121" s="3"/>
      <c r="H121" s="3"/>
      <c r="I121" s="3" t="s">
        <v>2621</v>
      </c>
      <c r="J121" s="3"/>
      <c r="K121" s="3"/>
      <c r="L121" s="3"/>
      <c r="M121" s="3"/>
      <c r="N121" s="3"/>
      <c r="O121" s="3"/>
      <c r="P121" s="3"/>
      <c r="Q121" s="3"/>
      <c r="R121" s="3"/>
      <c r="S121" s="3"/>
      <c r="T121" s="3"/>
      <c r="U121" s="3"/>
      <c r="V121" s="3"/>
      <c r="W121" s="240"/>
      <c r="X121" s="45"/>
      <c r="Y121" s="45"/>
      <c r="Z121" s="45"/>
      <c r="AA121" s="45"/>
      <c r="AB121" s="45"/>
      <c r="AC121" s="45"/>
      <c r="AD121" s="45"/>
      <c r="AE121" s="45"/>
    </row>
    <row r="122" spans="1:31" ht="17.100000000000001" customHeight="1">
      <c r="A122" s="3"/>
      <c r="B122" s="3"/>
      <c r="C122" s="3"/>
      <c r="D122" s="3"/>
      <c r="E122" s="3"/>
      <c r="F122" s="3"/>
      <c r="G122" s="3"/>
      <c r="H122" s="3"/>
      <c r="I122" s="3" t="s">
        <v>2620</v>
      </c>
      <c r="J122" s="3"/>
      <c r="K122" s="3"/>
      <c r="L122" s="3"/>
      <c r="M122" s="3"/>
      <c r="N122" s="3"/>
      <c r="O122" s="3"/>
      <c r="P122" s="3"/>
      <c r="Q122" s="3"/>
      <c r="R122" s="3"/>
      <c r="S122" s="3"/>
      <c r="T122" s="3"/>
      <c r="U122" s="3"/>
      <c r="V122" s="3"/>
      <c r="W122" s="240"/>
      <c r="X122" s="45"/>
      <c r="Y122" s="45"/>
      <c r="Z122" s="45"/>
      <c r="AA122" s="45"/>
      <c r="AB122" s="45"/>
      <c r="AC122" s="45"/>
      <c r="AD122" s="45"/>
      <c r="AE122" s="45"/>
    </row>
    <row r="123" spans="1:31" ht="17.100000000000001" customHeight="1">
      <c r="A123" s="3" t="s">
        <v>2622</v>
      </c>
      <c r="B123" s="3"/>
      <c r="C123" s="3"/>
      <c r="D123" s="3"/>
      <c r="E123" s="3"/>
      <c r="F123" s="3"/>
      <c r="G123" s="3"/>
      <c r="H123" s="3"/>
      <c r="I123" s="3"/>
      <c r="J123" s="3"/>
      <c r="K123" s="3"/>
      <c r="L123" s="3"/>
      <c r="M123" s="3"/>
      <c r="N123" s="3"/>
      <c r="O123" s="3"/>
      <c r="P123" s="3"/>
      <c r="Q123" s="3"/>
      <c r="R123" s="3"/>
      <c r="S123" s="3"/>
      <c r="T123" s="3"/>
      <c r="U123" s="3"/>
      <c r="V123" s="3"/>
      <c r="W123" s="240"/>
      <c r="X123" s="45"/>
      <c r="Y123" s="45"/>
      <c r="Z123" s="45"/>
      <c r="AA123" s="45"/>
      <c r="AB123" s="45"/>
      <c r="AC123" s="45"/>
      <c r="AD123" s="45"/>
      <c r="AE123" s="45"/>
    </row>
    <row r="124" spans="1:31" ht="17.100000000000001" customHeight="1">
      <c r="A124" s="3" t="s">
        <v>2623</v>
      </c>
      <c r="B124" s="3"/>
      <c r="C124" s="3"/>
      <c r="D124" s="3"/>
      <c r="E124" s="3"/>
      <c r="F124" s="3"/>
      <c r="G124" s="3"/>
      <c r="H124" s="3"/>
      <c r="I124" s="3" t="s">
        <v>2465</v>
      </c>
      <c r="J124" s="3"/>
      <c r="K124" s="3"/>
      <c r="L124" s="3"/>
      <c r="M124" s="3"/>
      <c r="N124" s="3"/>
      <c r="O124" s="3"/>
      <c r="P124" s="3"/>
      <c r="Q124" s="3"/>
      <c r="R124" s="3"/>
      <c r="S124" s="3"/>
      <c r="T124" s="3"/>
      <c r="U124" s="3"/>
      <c r="V124" s="3"/>
      <c r="W124" s="240"/>
      <c r="X124" s="45"/>
      <c r="Y124" s="45"/>
      <c r="Z124" s="45"/>
      <c r="AA124" s="45"/>
      <c r="AB124" s="45"/>
      <c r="AC124" s="45"/>
      <c r="AD124" s="45"/>
      <c r="AE124" s="45"/>
    </row>
    <row r="125" spans="1:31" ht="17.100000000000001" customHeight="1">
      <c r="A125" s="3"/>
      <c r="B125" s="3"/>
      <c r="C125" s="3"/>
      <c r="D125" s="3"/>
      <c r="E125" s="3"/>
      <c r="F125" s="3"/>
      <c r="G125" s="3"/>
      <c r="H125" s="3"/>
      <c r="I125" s="3" t="s">
        <v>2467</v>
      </c>
      <c r="J125" s="3"/>
      <c r="K125" s="3"/>
      <c r="L125" s="3"/>
      <c r="M125" s="3"/>
      <c r="N125" s="3"/>
      <c r="O125" s="3"/>
      <c r="P125" s="3"/>
      <c r="Q125" s="3"/>
      <c r="R125" s="3"/>
      <c r="S125" s="3"/>
      <c r="T125" s="3"/>
      <c r="U125" s="3"/>
      <c r="V125" s="3"/>
      <c r="W125" s="240"/>
      <c r="X125" s="45"/>
      <c r="Y125" s="45"/>
      <c r="Z125" s="45"/>
      <c r="AA125" s="45"/>
      <c r="AB125" s="45"/>
      <c r="AC125" s="45"/>
      <c r="AD125" s="45"/>
      <c r="AE125" s="45"/>
    </row>
    <row r="126" spans="1:31" ht="17.100000000000001" customHeight="1">
      <c r="A126" s="3" t="s">
        <v>2476</v>
      </c>
      <c r="B126" s="3"/>
      <c r="C126" s="3"/>
      <c r="D126" s="3"/>
      <c r="E126" s="3"/>
      <c r="F126" s="3"/>
      <c r="G126" s="3"/>
      <c r="H126" s="3"/>
      <c r="I126" s="3" t="s">
        <v>2426</v>
      </c>
      <c r="J126" s="3"/>
      <c r="K126" s="3"/>
      <c r="L126" s="3"/>
      <c r="M126" s="3"/>
      <c r="N126" s="3"/>
      <c r="O126" s="3"/>
      <c r="P126" s="3"/>
      <c r="Q126" s="3"/>
      <c r="R126" s="3"/>
      <c r="S126" s="3"/>
      <c r="T126" s="3"/>
      <c r="U126" s="3"/>
      <c r="V126" s="3"/>
      <c r="W126" s="240"/>
      <c r="X126" s="45"/>
      <c r="Y126" s="45"/>
      <c r="Z126" s="45"/>
      <c r="AA126" s="45"/>
      <c r="AB126" s="45"/>
      <c r="AC126" s="45"/>
      <c r="AD126" s="45"/>
      <c r="AE126" s="45"/>
    </row>
    <row r="127" spans="1:31" ht="17.100000000000001" customHeight="1">
      <c r="A127" s="3"/>
      <c r="B127" s="3"/>
      <c r="C127" s="3"/>
      <c r="D127" s="3"/>
      <c r="E127" s="3"/>
      <c r="F127" s="3"/>
      <c r="G127" s="3"/>
      <c r="H127" s="3"/>
      <c r="I127" s="3"/>
      <c r="J127" s="3"/>
      <c r="K127" s="3"/>
      <c r="L127" s="3"/>
      <c r="M127" s="3"/>
      <c r="N127" s="3"/>
      <c r="O127" s="3"/>
      <c r="P127" s="3"/>
      <c r="Q127" s="3"/>
      <c r="R127" s="3"/>
      <c r="S127" s="3"/>
      <c r="T127" s="3"/>
      <c r="U127" s="3"/>
      <c r="V127" s="3"/>
      <c r="W127" s="240"/>
      <c r="X127" s="45"/>
      <c r="Y127" s="45"/>
      <c r="Z127" s="45"/>
      <c r="AA127" s="45"/>
      <c r="AB127" s="45"/>
      <c r="AC127" s="45"/>
      <c r="AD127" s="45"/>
      <c r="AE127" s="45"/>
    </row>
    <row r="128" spans="1:31" ht="17.100000000000001" customHeight="1">
      <c r="A128" s="3" t="s">
        <v>2624</v>
      </c>
      <c r="B128" s="3"/>
      <c r="C128" s="3"/>
      <c r="D128" s="3"/>
      <c r="E128" s="3"/>
      <c r="F128" s="3"/>
      <c r="G128" s="3"/>
      <c r="H128" s="3"/>
      <c r="I128" s="3" t="s">
        <v>2625</v>
      </c>
      <c r="J128" s="3"/>
      <c r="K128" s="3"/>
      <c r="L128" s="3"/>
      <c r="M128" s="3"/>
      <c r="N128" s="3"/>
      <c r="O128" s="3"/>
      <c r="P128" s="3"/>
      <c r="Q128" s="3"/>
      <c r="R128" s="3"/>
      <c r="S128" s="3"/>
      <c r="T128" s="3"/>
      <c r="U128" s="3"/>
      <c r="V128" s="3"/>
      <c r="W128" s="240"/>
      <c r="X128" s="45"/>
      <c r="Y128" s="45"/>
      <c r="Z128" s="45"/>
      <c r="AA128" s="45"/>
      <c r="AB128" s="45"/>
      <c r="AC128" s="45"/>
      <c r="AD128" s="45"/>
      <c r="AE128" s="45"/>
    </row>
    <row r="129" spans="1:31" ht="17.100000000000001" customHeight="1">
      <c r="A129" s="3"/>
      <c r="B129" s="3"/>
      <c r="C129" s="3"/>
      <c r="D129" s="3"/>
      <c r="E129" s="3"/>
      <c r="F129" s="3"/>
      <c r="G129" s="3"/>
      <c r="H129" s="3"/>
      <c r="I129" s="3" t="s">
        <v>2626</v>
      </c>
      <c r="J129" s="3"/>
      <c r="K129" s="3"/>
      <c r="L129" s="3"/>
      <c r="M129" s="3"/>
      <c r="N129" s="3"/>
      <c r="O129" s="3"/>
      <c r="P129" s="3"/>
      <c r="Q129" s="3"/>
      <c r="R129" s="3"/>
      <c r="S129" s="3"/>
      <c r="T129" s="3"/>
      <c r="U129" s="3"/>
      <c r="V129" s="3"/>
      <c r="W129" s="240"/>
      <c r="X129" s="45"/>
      <c r="Y129" s="45"/>
      <c r="Z129" s="45"/>
      <c r="AA129" s="45"/>
      <c r="AB129" s="45"/>
      <c r="AC129" s="45"/>
      <c r="AD129" s="45"/>
      <c r="AE129" s="45"/>
    </row>
    <row r="130" spans="1:31" ht="17.100000000000001" customHeight="1">
      <c r="A130" s="3" t="s">
        <v>2627</v>
      </c>
      <c r="B130" s="3"/>
      <c r="C130" s="3"/>
      <c r="D130" s="3"/>
      <c r="E130" s="3"/>
      <c r="F130" s="3"/>
      <c r="G130" s="3"/>
      <c r="H130" s="3"/>
      <c r="I130" s="3"/>
      <c r="J130" s="3"/>
      <c r="K130" s="3"/>
      <c r="L130" s="3"/>
      <c r="M130" s="3"/>
      <c r="N130" s="3"/>
      <c r="O130" s="3"/>
      <c r="P130" s="3"/>
      <c r="Q130" s="3"/>
      <c r="R130" s="3"/>
      <c r="S130" s="3"/>
      <c r="T130" s="3"/>
      <c r="U130" s="3"/>
      <c r="V130" s="3"/>
      <c r="W130" s="240"/>
      <c r="X130" s="45"/>
      <c r="Y130" s="45"/>
      <c r="Z130" s="45"/>
      <c r="AA130" s="45"/>
      <c r="AB130" s="45"/>
      <c r="AC130" s="45"/>
      <c r="AD130" s="45"/>
      <c r="AE130" s="45"/>
    </row>
    <row r="131" spans="1:31" ht="17.100000000000001" customHeight="1">
      <c r="A131" s="3" t="s">
        <v>2628</v>
      </c>
      <c r="B131" s="3"/>
      <c r="C131" s="3"/>
      <c r="D131" s="3"/>
      <c r="E131" s="3"/>
      <c r="F131" s="3"/>
      <c r="G131" s="3"/>
      <c r="H131" s="3"/>
      <c r="I131" s="3" t="s">
        <v>2476</v>
      </c>
      <c r="J131" s="3"/>
      <c r="K131" s="3"/>
      <c r="L131" s="3"/>
      <c r="M131" s="3"/>
      <c r="N131" s="3"/>
      <c r="O131" s="3"/>
      <c r="P131" s="3"/>
      <c r="Q131" s="3"/>
      <c r="R131" s="3"/>
      <c r="S131" s="3"/>
      <c r="T131" s="3"/>
      <c r="U131" s="3"/>
      <c r="V131" s="3"/>
      <c r="W131" s="240"/>
      <c r="X131" s="45"/>
      <c r="Y131" s="45"/>
      <c r="Z131" s="45"/>
      <c r="AA131" s="45"/>
      <c r="AB131" s="45"/>
      <c r="AC131" s="45"/>
      <c r="AD131" s="45"/>
      <c r="AE131" s="45"/>
    </row>
    <row r="132" spans="1:31" ht="17.100000000000001" customHeight="1">
      <c r="A132" s="3" t="s">
        <v>2629</v>
      </c>
      <c r="B132" s="3"/>
      <c r="C132" s="3"/>
      <c r="D132" s="3"/>
      <c r="E132" s="3"/>
      <c r="F132" s="3"/>
      <c r="G132" s="3"/>
      <c r="H132" s="3"/>
      <c r="I132" s="3"/>
      <c r="J132" s="3"/>
      <c r="K132" s="3"/>
      <c r="L132" s="3"/>
      <c r="M132" s="3"/>
      <c r="N132" s="3"/>
      <c r="O132" s="3"/>
      <c r="P132" s="3"/>
      <c r="Q132" s="3"/>
      <c r="R132" s="3"/>
      <c r="S132" s="3"/>
      <c r="T132" s="3"/>
      <c r="U132" s="3"/>
      <c r="V132" s="3"/>
      <c r="W132" s="240"/>
      <c r="X132" s="45"/>
      <c r="Y132" s="45"/>
      <c r="Z132" s="45"/>
      <c r="AA132" s="45"/>
      <c r="AB132" s="45"/>
      <c r="AC132" s="45"/>
      <c r="AD132" s="45"/>
      <c r="AE132" s="45"/>
    </row>
    <row r="133" spans="1:31" ht="17.100000000000001" customHeight="1">
      <c r="A133" s="3"/>
      <c r="B133" s="3"/>
      <c r="C133" s="3"/>
      <c r="D133" s="3"/>
      <c r="E133" s="3"/>
      <c r="F133" s="3"/>
      <c r="G133" s="3"/>
      <c r="H133" s="3"/>
      <c r="I133" s="3" t="s">
        <v>2624</v>
      </c>
      <c r="J133" s="3"/>
      <c r="K133" s="3"/>
      <c r="L133" s="3"/>
      <c r="M133" s="3"/>
      <c r="N133" s="3"/>
      <c r="O133" s="3"/>
      <c r="P133" s="3"/>
      <c r="Q133" s="3"/>
      <c r="R133" s="3"/>
      <c r="S133" s="3"/>
      <c r="T133" s="3"/>
      <c r="U133" s="3"/>
      <c r="V133" s="3"/>
      <c r="W133" s="240"/>
      <c r="X133" s="45"/>
      <c r="Y133" s="45"/>
      <c r="Z133" s="45"/>
      <c r="AA133" s="45"/>
      <c r="AB133" s="45"/>
      <c r="AC133" s="45"/>
      <c r="AD133" s="45"/>
      <c r="AE133" s="45"/>
    </row>
    <row r="134" spans="1:31" ht="17.100000000000001" customHeight="1">
      <c r="A134" s="3" t="s">
        <v>2630</v>
      </c>
      <c r="B134" s="3"/>
      <c r="C134" s="3"/>
      <c r="D134" s="3"/>
      <c r="E134" s="3"/>
      <c r="F134" s="3"/>
      <c r="G134" s="3"/>
      <c r="H134" s="3"/>
      <c r="I134" s="3"/>
      <c r="J134" s="3"/>
      <c r="K134" s="3"/>
      <c r="L134" s="3"/>
      <c r="M134" s="3"/>
      <c r="N134" s="3"/>
      <c r="O134" s="3"/>
      <c r="P134" s="3"/>
      <c r="Q134" s="3"/>
      <c r="R134" s="3"/>
      <c r="S134" s="3"/>
      <c r="T134" s="3"/>
      <c r="U134" s="3"/>
      <c r="V134" s="3"/>
      <c r="W134" s="240"/>
      <c r="X134" s="45"/>
      <c r="Y134" s="45"/>
      <c r="Z134" s="45"/>
      <c r="AA134" s="45"/>
      <c r="AB134" s="45"/>
      <c r="AC134" s="45"/>
      <c r="AD134" s="45"/>
      <c r="AE134" s="45"/>
    </row>
    <row r="135" spans="1:31" ht="17.100000000000001" customHeight="1">
      <c r="A135" s="3"/>
      <c r="B135" s="3"/>
      <c r="C135" s="3"/>
      <c r="D135" s="3"/>
      <c r="E135" s="3"/>
      <c r="F135" s="3"/>
      <c r="G135" s="3"/>
      <c r="H135" s="3"/>
      <c r="I135" s="3" t="s">
        <v>2631</v>
      </c>
      <c r="J135" s="3"/>
      <c r="K135" s="3"/>
      <c r="L135" s="3"/>
      <c r="M135" s="3"/>
      <c r="N135" s="3"/>
      <c r="O135" s="3"/>
      <c r="P135" s="3"/>
      <c r="Q135" s="3"/>
      <c r="R135" s="3"/>
      <c r="S135" s="3"/>
      <c r="T135" s="3"/>
      <c r="U135" s="3"/>
      <c r="V135" s="3"/>
      <c r="W135" s="240"/>
      <c r="X135" s="45"/>
      <c r="Y135" s="45"/>
      <c r="Z135" s="45"/>
      <c r="AA135" s="45"/>
      <c r="AB135" s="45"/>
      <c r="AC135" s="45"/>
      <c r="AD135" s="45"/>
      <c r="AE135" s="45"/>
    </row>
    <row r="136" spans="1:31" ht="17.100000000000001" customHeight="1">
      <c r="A136" s="3" t="s">
        <v>2632</v>
      </c>
      <c r="B136" s="3"/>
      <c r="C136" s="3"/>
      <c r="D136" s="3"/>
      <c r="E136" s="3"/>
      <c r="F136" s="3"/>
      <c r="G136" s="3"/>
      <c r="H136" s="3"/>
      <c r="I136" s="3"/>
      <c r="J136" s="3"/>
      <c r="K136" s="3"/>
      <c r="L136" s="3"/>
      <c r="M136" s="3"/>
      <c r="N136" s="3"/>
      <c r="O136" s="3"/>
      <c r="P136" s="3"/>
      <c r="Q136" s="3"/>
      <c r="R136" s="3"/>
      <c r="S136" s="3"/>
      <c r="T136" s="3"/>
      <c r="U136" s="3"/>
      <c r="V136" s="3"/>
      <c r="W136" s="240"/>
      <c r="X136" s="45"/>
      <c r="Y136" s="45"/>
      <c r="Z136" s="45"/>
      <c r="AA136" s="45"/>
      <c r="AB136" s="45"/>
      <c r="AC136" s="45"/>
      <c r="AD136" s="45"/>
      <c r="AE136" s="45"/>
    </row>
    <row r="137" spans="1:31" ht="17.100000000000001" customHeight="1">
      <c r="A137" s="3" t="s">
        <v>2633</v>
      </c>
      <c r="B137" s="3"/>
      <c r="C137" s="3"/>
      <c r="D137" s="3"/>
      <c r="E137" s="3"/>
      <c r="F137" s="3"/>
      <c r="G137" s="3"/>
      <c r="H137" s="3"/>
      <c r="I137" s="3" t="s">
        <v>2634</v>
      </c>
      <c r="J137" s="3"/>
      <c r="K137" s="3"/>
      <c r="L137" s="3"/>
      <c r="M137" s="3"/>
      <c r="N137" s="3"/>
      <c r="O137" s="3"/>
      <c r="P137" s="3"/>
      <c r="Q137" s="3"/>
      <c r="R137" s="3"/>
      <c r="S137" s="3"/>
      <c r="T137" s="3"/>
      <c r="U137" s="3"/>
      <c r="V137" s="3"/>
      <c r="W137" s="240"/>
      <c r="X137" s="45"/>
      <c r="Y137" s="45"/>
      <c r="Z137" s="45"/>
      <c r="AA137" s="45"/>
      <c r="AB137" s="45"/>
      <c r="AC137" s="45"/>
      <c r="AD137" s="45"/>
      <c r="AE137" s="45"/>
    </row>
    <row r="138" spans="1:31" ht="17.100000000000001" customHeight="1">
      <c r="A138" s="3"/>
      <c r="B138" s="3"/>
      <c r="C138" s="3"/>
      <c r="D138" s="3"/>
      <c r="E138" s="3"/>
      <c r="F138" s="3"/>
      <c r="G138" s="3"/>
      <c r="H138" s="3"/>
      <c r="I138" s="3" t="s">
        <v>2635</v>
      </c>
      <c r="J138" s="3"/>
      <c r="K138" s="3"/>
      <c r="L138" s="3"/>
      <c r="M138" s="3"/>
      <c r="N138" s="3"/>
      <c r="O138" s="3"/>
      <c r="P138" s="3"/>
      <c r="Q138" s="3"/>
      <c r="R138" s="3"/>
      <c r="S138" s="3"/>
      <c r="T138" s="3"/>
      <c r="U138" s="3"/>
      <c r="V138" s="3"/>
      <c r="W138" s="240"/>
      <c r="X138" s="45"/>
      <c r="Y138" s="45"/>
      <c r="Z138" s="45"/>
      <c r="AA138" s="45"/>
      <c r="AB138" s="45"/>
      <c r="AC138" s="45"/>
      <c r="AD138" s="45"/>
      <c r="AE138" s="45"/>
    </row>
    <row r="139" spans="1:31" ht="17.100000000000001" customHeight="1">
      <c r="A139" s="3" t="s">
        <v>2518</v>
      </c>
      <c r="B139" s="3"/>
      <c r="C139" s="3"/>
      <c r="D139" s="3"/>
      <c r="E139" s="3"/>
      <c r="F139" s="3"/>
      <c r="G139" s="3"/>
      <c r="H139" s="3"/>
      <c r="I139" s="3" t="s">
        <v>2629</v>
      </c>
      <c r="J139" s="3"/>
      <c r="K139" s="3"/>
      <c r="L139" s="3"/>
      <c r="M139" s="3"/>
      <c r="N139" s="3"/>
      <c r="O139" s="3"/>
      <c r="P139" s="3"/>
      <c r="Q139" s="3"/>
      <c r="R139" s="3"/>
      <c r="S139" s="3"/>
      <c r="T139" s="3"/>
      <c r="U139" s="3"/>
      <c r="V139" s="3"/>
      <c r="W139" s="240"/>
      <c r="X139" s="45"/>
      <c r="Y139" s="45"/>
      <c r="Z139" s="45"/>
      <c r="AA139" s="45"/>
      <c r="AB139" s="45"/>
      <c r="AC139" s="45"/>
      <c r="AD139" s="45"/>
      <c r="AE139" s="45"/>
    </row>
    <row r="140" spans="1:31" ht="17.100000000000001" customHeight="1">
      <c r="A140" s="3"/>
      <c r="B140" s="3"/>
      <c r="C140" s="3"/>
      <c r="D140" s="3"/>
      <c r="E140" s="3"/>
      <c r="F140" s="3"/>
      <c r="G140" s="3"/>
      <c r="H140" s="3"/>
      <c r="I140" s="3"/>
      <c r="J140" s="3"/>
      <c r="K140" s="3"/>
      <c r="L140" s="3"/>
      <c r="M140" s="3"/>
      <c r="N140" s="3"/>
      <c r="O140" s="3"/>
      <c r="P140" s="3"/>
      <c r="Q140" s="3"/>
      <c r="R140" s="3"/>
      <c r="S140" s="3"/>
      <c r="T140" s="3"/>
      <c r="U140" s="3"/>
      <c r="V140" s="3"/>
      <c r="W140" s="240"/>
      <c r="X140" s="45"/>
      <c r="Y140" s="45"/>
      <c r="Z140" s="45"/>
      <c r="AA140" s="45"/>
      <c r="AB140" s="45"/>
      <c r="AC140" s="45"/>
      <c r="AD140" s="45"/>
      <c r="AE140" s="45"/>
    </row>
    <row r="141" spans="1:31" ht="17.100000000000001" customHeight="1">
      <c r="A141" s="3" t="s">
        <v>2636</v>
      </c>
      <c r="B141" s="3"/>
      <c r="C141" s="3"/>
      <c r="D141" s="3"/>
      <c r="E141" s="3"/>
      <c r="F141" s="3"/>
      <c r="G141" s="3"/>
      <c r="H141" s="3"/>
      <c r="I141" s="3" t="s">
        <v>2630</v>
      </c>
      <c r="J141" s="3"/>
      <c r="K141" s="3"/>
      <c r="L141" s="3"/>
      <c r="M141" s="3"/>
      <c r="N141" s="3"/>
      <c r="O141" s="3"/>
      <c r="P141" s="3"/>
      <c r="Q141" s="3"/>
      <c r="R141" s="3"/>
      <c r="S141" s="3"/>
      <c r="T141" s="3"/>
      <c r="U141" s="3"/>
      <c r="V141" s="3"/>
      <c r="W141" s="240"/>
      <c r="X141" s="45"/>
      <c r="Y141" s="45"/>
      <c r="Z141" s="45"/>
      <c r="AA141" s="45"/>
      <c r="AB141" s="45"/>
      <c r="AC141" s="45"/>
      <c r="AD141" s="45"/>
      <c r="AE141" s="45"/>
    </row>
    <row r="142" spans="1:31" ht="17.100000000000001" customHeight="1">
      <c r="A142" s="3"/>
      <c r="B142" s="3"/>
      <c r="C142" s="3"/>
      <c r="D142" s="3"/>
      <c r="E142" s="3"/>
      <c r="F142" s="3"/>
      <c r="G142" s="3"/>
      <c r="H142" s="3"/>
      <c r="I142" s="3"/>
      <c r="J142" s="3"/>
      <c r="K142" s="3"/>
      <c r="L142" s="3"/>
      <c r="M142" s="3"/>
      <c r="N142" s="3"/>
      <c r="O142" s="3"/>
      <c r="P142" s="3"/>
      <c r="Q142" s="3"/>
      <c r="R142" s="3"/>
      <c r="S142" s="3"/>
      <c r="T142" s="3"/>
      <c r="U142" s="3"/>
      <c r="V142" s="3"/>
      <c r="W142" s="240"/>
      <c r="X142" s="45"/>
      <c r="Y142" s="45"/>
      <c r="Z142" s="45"/>
      <c r="AA142" s="45"/>
      <c r="AB142" s="45"/>
      <c r="AC142" s="45"/>
      <c r="AD142" s="45"/>
      <c r="AE142" s="45"/>
    </row>
    <row r="143" spans="1:31" ht="17.100000000000001" customHeight="1">
      <c r="A143" s="3" t="s">
        <v>2637</v>
      </c>
      <c r="B143" s="3"/>
      <c r="C143" s="3"/>
      <c r="D143" s="3"/>
      <c r="E143" s="3"/>
      <c r="F143" s="3"/>
      <c r="G143" s="3"/>
      <c r="H143" s="3"/>
      <c r="I143" s="3" t="s">
        <v>2632</v>
      </c>
      <c r="J143" s="3"/>
      <c r="K143" s="3"/>
      <c r="L143" s="3"/>
      <c r="M143" s="3"/>
      <c r="N143" s="3"/>
      <c r="O143" s="3"/>
      <c r="P143" s="3"/>
      <c r="Q143" s="3"/>
      <c r="R143" s="3"/>
      <c r="S143" s="3"/>
      <c r="T143" s="3"/>
      <c r="U143" s="3"/>
      <c r="V143" s="3"/>
      <c r="W143" s="240"/>
      <c r="X143" s="45"/>
      <c r="Y143" s="45"/>
      <c r="Z143" s="45"/>
      <c r="AA143" s="45"/>
      <c r="AB143" s="45"/>
      <c r="AC143" s="45"/>
      <c r="AD143" s="45"/>
      <c r="AE143" s="45"/>
    </row>
    <row r="144" spans="1:31" ht="17.100000000000001" customHeight="1">
      <c r="A144" s="3" t="s">
        <v>2638</v>
      </c>
      <c r="B144" s="3"/>
      <c r="C144" s="3"/>
      <c r="D144" s="3"/>
      <c r="E144" s="3"/>
      <c r="F144" s="3"/>
      <c r="G144" s="3"/>
      <c r="H144" s="3"/>
      <c r="I144" s="3" t="s">
        <v>2639</v>
      </c>
      <c r="J144" s="3"/>
      <c r="K144" s="3"/>
      <c r="L144" s="3"/>
      <c r="M144" s="3"/>
      <c r="N144" s="3"/>
      <c r="O144" s="3"/>
      <c r="P144" s="3"/>
      <c r="Q144" s="3"/>
      <c r="R144" s="3"/>
      <c r="S144" s="3"/>
      <c r="T144" s="3"/>
      <c r="U144" s="3"/>
      <c r="V144" s="3"/>
      <c r="W144" s="240"/>
      <c r="X144" s="45"/>
      <c r="Y144" s="45"/>
      <c r="Z144" s="45"/>
      <c r="AA144" s="45"/>
      <c r="AB144" s="45"/>
      <c r="AC144" s="45"/>
      <c r="AD144" s="45"/>
      <c r="AE144" s="45"/>
    </row>
    <row r="145" spans="1:31" ht="17.100000000000001" customHeight="1">
      <c r="A145" s="3"/>
      <c r="B145" s="3"/>
      <c r="C145" s="3"/>
      <c r="D145" s="3"/>
      <c r="E145" s="3"/>
      <c r="F145" s="3"/>
      <c r="G145" s="3"/>
      <c r="H145" s="3"/>
      <c r="I145" s="3"/>
      <c r="J145" s="3"/>
      <c r="K145" s="3"/>
      <c r="L145" s="3"/>
      <c r="M145" s="3"/>
      <c r="N145" s="3"/>
      <c r="O145" s="3"/>
      <c r="P145" s="3"/>
      <c r="Q145" s="3"/>
      <c r="R145" s="3"/>
      <c r="S145" s="3"/>
      <c r="T145" s="3"/>
      <c r="U145" s="3"/>
      <c r="V145" s="3"/>
      <c r="W145" s="240"/>
      <c r="X145" s="45"/>
      <c r="Y145" s="45"/>
      <c r="Z145" s="45"/>
      <c r="AA145" s="45"/>
      <c r="AB145" s="45"/>
      <c r="AC145" s="45"/>
      <c r="AD145" s="45"/>
      <c r="AE145" s="45"/>
    </row>
    <row r="146" spans="1:31" ht="17.100000000000001" customHeight="1">
      <c r="A146" s="3" t="s">
        <v>2640</v>
      </c>
      <c r="B146" s="3"/>
      <c r="C146" s="3"/>
      <c r="D146" s="3"/>
      <c r="E146" s="3"/>
      <c r="F146" s="3"/>
      <c r="G146" s="3"/>
      <c r="H146" s="3"/>
      <c r="I146" s="3" t="s">
        <v>2518</v>
      </c>
      <c r="J146" s="3"/>
      <c r="K146" s="3"/>
      <c r="L146" s="3"/>
      <c r="M146" s="3"/>
      <c r="N146" s="3"/>
      <c r="O146" s="3"/>
      <c r="P146" s="3"/>
      <c r="Q146" s="3"/>
      <c r="R146" s="3"/>
      <c r="S146" s="3"/>
      <c r="T146" s="3"/>
      <c r="U146" s="3"/>
      <c r="V146" s="3"/>
      <c r="W146" s="240"/>
      <c r="X146" s="45"/>
      <c r="Y146" s="45"/>
      <c r="Z146" s="45"/>
      <c r="AA146" s="45"/>
      <c r="AB146" s="45"/>
      <c r="AC146" s="45"/>
      <c r="AD146" s="45"/>
      <c r="AE146" s="45"/>
    </row>
    <row r="147" spans="1:31" ht="17.100000000000001" customHeight="1">
      <c r="A147" s="3"/>
      <c r="B147" s="3"/>
      <c r="C147" s="3"/>
      <c r="D147" s="3"/>
      <c r="E147" s="3"/>
      <c r="F147" s="3"/>
      <c r="G147" s="3"/>
      <c r="H147" s="3"/>
      <c r="I147" s="3"/>
      <c r="J147" s="3"/>
      <c r="K147" s="3"/>
      <c r="L147" s="3"/>
      <c r="M147" s="3"/>
      <c r="N147" s="3"/>
      <c r="O147" s="3"/>
      <c r="P147" s="3"/>
      <c r="Q147" s="3"/>
      <c r="R147" s="3"/>
      <c r="S147" s="3"/>
      <c r="T147" s="3"/>
      <c r="U147" s="3"/>
      <c r="V147" s="3"/>
      <c r="W147" s="240"/>
      <c r="X147" s="45"/>
      <c r="Y147" s="45"/>
      <c r="Z147" s="45"/>
      <c r="AA147" s="45"/>
      <c r="AB147" s="45"/>
      <c r="AC147" s="45"/>
      <c r="AD147" s="45"/>
      <c r="AE147" s="45"/>
    </row>
    <row r="148" spans="1:31" ht="17.100000000000001" customHeight="1">
      <c r="A148" s="3" t="s">
        <v>2641</v>
      </c>
      <c r="B148" s="3"/>
      <c r="C148" s="3"/>
      <c r="D148" s="3"/>
      <c r="E148" s="3"/>
      <c r="F148" s="3"/>
      <c r="G148" s="3"/>
      <c r="H148" s="3"/>
      <c r="I148" s="3" t="s">
        <v>2636</v>
      </c>
      <c r="J148" s="3"/>
      <c r="K148" s="3"/>
      <c r="L148" s="3"/>
      <c r="M148" s="3"/>
      <c r="N148" s="3"/>
      <c r="O148" s="3"/>
      <c r="P148" s="3"/>
      <c r="Q148" s="3"/>
      <c r="R148" s="3"/>
      <c r="S148" s="3"/>
      <c r="T148" s="3"/>
      <c r="U148" s="3"/>
      <c r="V148" s="3"/>
      <c r="W148" s="240"/>
      <c r="X148" s="45"/>
      <c r="Y148" s="45"/>
      <c r="Z148" s="45"/>
      <c r="AA148" s="45"/>
      <c r="AB148" s="45"/>
      <c r="AC148" s="45"/>
      <c r="AD148" s="45"/>
      <c r="AE148" s="45"/>
    </row>
    <row r="149" spans="1:31" ht="17.100000000000001" customHeight="1">
      <c r="A149" s="3"/>
      <c r="B149" s="3"/>
      <c r="C149" s="3"/>
      <c r="D149" s="3"/>
      <c r="E149" s="3"/>
      <c r="F149" s="3"/>
      <c r="G149" s="3"/>
      <c r="H149" s="3"/>
      <c r="I149" s="3"/>
      <c r="J149" s="3"/>
      <c r="K149" s="3"/>
      <c r="L149" s="3"/>
      <c r="M149" s="3"/>
      <c r="N149" s="3"/>
      <c r="O149" s="3"/>
      <c r="P149" s="3"/>
      <c r="Q149" s="3"/>
      <c r="R149" s="3"/>
      <c r="S149" s="3"/>
      <c r="T149" s="3"/>
      <c r="U149" s="3"/>
      <c r="V149" s="3"/>
      <c r="W149" s="240"/>
      <c r="X149" s="45"/>
      <c r="Y149" s="45"/>
      <c r="Z149" s="45"/>
      <c r="AA149" s="45"/>
      <c r="AB149" s="45"/>
      <c r="AC149" s="45"/>
      <c r="AD149" s="45"/>
      <c r="AE149" s="45"/>
    </row>
    <row r="150" spans="1:31" ht="17.100000000000001" customHeight="1">
      <c r="A150" s="3" t="s">
        <v>2642</v>
      </c>
      <c r="B150" s="3"/>
      <c r="C150" s="3"/>
      <c r="D150" s="3"/>
      <c r="E150" s="3"/>
      <c r="F150" s="3"/>
      <c r="G150" s="3"/>
      <c r="H150" s="3"/>
      <c r="I150" s="3" t="s">
        <v>2643</v>
      </c>
      <c r="J150" s="3"/>
      <c r="K150" s="3"/>
      <c r="L150" s="3"/>
      <c r="M150" s="3"/>
      <c r="N150" s="3"/>
      <c r="O150" s="3"/>
      <c r="P150" s="3"/>
      <c r="Q150" s="3"/>
      <c r="R150" s="3"/>
      <c r="S150" s="3"/>
      <c r="T150" s="3"/>
      <c r="U150" s="3"/>
      <c r="V150" s="3"/>
      <c r="W150" s="240"/>
      <c r="X150" s="45"/>
      <c r="Y150" s="45"/>
      <c r="Z150" s="45"/>
      <c r="AA150" s="45"/>
      <c r="AB150" s="45"/>
      <c r="AC150" s="45"/>
      <c r="AD150" s="45"/>
      <c r="AE150" s="45"/>
    </row>
    <row r="151" spans="1:31" ht="17.100000000000001" customHeight="1">
      <c r="A151" s="3" t="s">
        <v>2644</v>
      </c>
      <c r="B151" s="3"/>
      <c r="C151" s="3"/>
      <c r="D151" s="3"/>
      <c r="E151" s="3"/>
      <c r="F151" s="3"/>
      <c r="G151" s="3"/>
      <c r="H151" s="3"/>
      <c r="I151" s="3"/>
      <c r="J151" s="3"/>
      <c r="K151" s="3"/>
      <c r="L151" s="3"/>
      <c r="M151" s="3"/>
      <c r="N151" s="3"/>
      <c r="O151" s="3"/>
      <c r="P151" s="3"/>
      <c r="Q151" s="3"/>
      <c r="R151" s="3"/>
      <c r="S151" s="3"/>
      <c r="T151" s="3"/>
      <c r="U151" s="3"/>
      <c r="V151" s="3"/>
      <c r="W151" s="240"/>
      <c r="X151" s="45"/>
      <c r="Y151" s="45"/>
      <c r="Z151" s="45"/>
      <c r="AA151" s="45"/>
      <c r="AB151" s="45"/>
      <c r="AC151" s="45"/>
      <c r="AD151" s="45"/>
      <c r="AE151" s="45"/>
    </row>
    <row r="152" spans="1:31" ht="17.100000000000001" customHeight="1">
      <c r="A152" s="3" t="s">
        <v>2645</v>
      </c>
      <c r="B152" s="3"/>
      <c r="C152" s="3"/>
      <c r="D152" s="3"/>
      <c r="E152" s="3"/>
      <c r="F152" s="3"/>
      <c r="G152" s="3"/>
      <c r="H152" s="3"/>
      <c r="I152" s="3" t="s">
        <v>2646</v>
      </c>
      <c r="J152" s="3"/>
      <c r="K152" s="3"/>
      <c r="L152" s="3"/>
      <c r="M152" s="3"/>
      <c r="N152" s="3"/>
      <c r="O152" s="3"/>
      <c r="P152" s="3"/>
      <c r="Q152" s="3"/>
      <c r="R152" s="3"/>
      <c r="S152" s="3"/>
      <c r="T152" s="3"/>
      <c r="U152" s="3"/>
      <c r="V152" s="3"/>
      <c r="W152" s="240"/>
      <c r="X152" s="45"/>
      <c r="Y152" s="45"/>
      <c r="Z152" s="45"/>
      <c r="AA152" s="45"/>
      <c r="AB152" s="45"/>
      <c r="AC152" s="45"/>
      <c r="AD152" s="45"/>
      <c r="AE152" s="45"/>
    </row>
    <row r="153" spans="1:31" ht="17.100000000000001" customHeight="1">
      <c r="A153" s="3" t="s">
        <v>2647</v>
      </c>
      <c r="B153" s="3"/>
      <c r="C153" s="3"/>
      <c r="D153" s="3"/>
      <c r="E153" s="3"/>
      <c r="F153" s="3"/>
      <c r="G153" s="3"/>
      <c r="H153" s="3"/>
      <c r="I153" s="3" t="s">
        <v>2648</v>
      </c>
      <c r="J153" s="3"/>
      <c r="K153" s="3"/>
      <c r="L153" s="3"/>
      <c r="M153" s="3"/>
      <c r="N153" s="3"/>
      <c r="O153" s="3"/>
      <c r="P153" s="3"/>
      <c r="Q153" s="3"/>
      <c r="R153" s="3"/>
      <c r="S153" s="3"/>
      <c r="T153" s="3"/>
      <c r="U153" s="3"/>
      <c r="V153" s="3"/>
      <c r="W153" s="240"/>
      <c r="X153" s="45"/>
      <c r="Y153" s="45"/>
      <c r="Z153" s="45"/>
      <c r="AA153" s="45"/>
      <c r="AB153" s="45"/>
      <c r="AC153" s="45"/>
      <c r="AD153" s="45"/>
      <c r="AE153" s="45"/>
    </row>
    <row r="154" spans="1:31" ht="17.100000000000001" customHeight="1">
      <c r="A154" s="3" t="s">
        <v>2649</v>
      </c>
      <c r="B154" s="3"/>
      <c r="C154" s="3"/>
      <c r="D154" s="3"/>
      <c r="E154" s="3"/>
      <c r="F154" s="3"/>
      <c r="G154" s="3"/>
      <c r="H154" s="3"/>
      <c r="I154" s="3"/>
      <c r="J154" s="3"/>
      <c r="K154" s="3"/>
      <c r="L154" s="3"/>
      <c r="M154" s="3"/>
      <c r="N154" s="3"/>
      <c r="O154" s="3"/>
      <c r="P154" s="3"/>
      <c r="Q154" s="3"/>
      <c r="R154" s="3"/>
      <c r="S154" s="3"/>
      <c r="T154" s="3"/>
      <c r="U154" s="3"/>
      <c r="V154" s="3"/>
      <c r="W154" s="240"/>
      <c r="X154" s="45"/>
      <c r="Y154" s="45"/>
      <c r="Z154" s="45"/>
      <c r="AA154" s="45"/>
      <c r="AB154" s="45"/>
      <c r="AC154" s="45"/>
      <c r="AD154" s="45"/>
      <c r="AE154" s="45"/>
    </row>
    <row r="155" spans="1:31" ht="17.100000000000001" customHeight="1">
      <c r="A155" s="3"/>
      <c r="B155" s="3"/>
      <c r="C155" s="3"/>
      <c r="D155" s="3"/>
      <c r="E155" s="3"/>
      <c r="F155" s="3"/>
      <c r="G155" s="3"/>
      <c r="H155" s="3"/>
      <c r="I155" s="3" t="s">
        <v>2650</v>
      </c>
      <c r="J155" s="3"/>
      <c r="K155" s="3"/>
      <c r="L155" s="3"/>
      <c r="M155" s="3"/>
      <c r="N155" s="3"/>
      <c r="O155" s="3"/>
      <c r="P155" s="3"/>
      <c r="Q155" s="3"/>
      <c r="R155" s="3"/>
      <c r="S155" s="3"/>
      <c r="T155" s="3"/>
      <c r="U155" s="3"/>
      <c r="V155" s="3"/>
      <c r="W155" s="240"/>
      <c r="X155" s="45"/>
      <c r="Y155" s="45"/>
      <c r="Z155" s="45"/>
      <c r="AA155" s="45"/>
      <c r="AB155" s="45"/>
      <c r="AC155" s="45"/>
      <c r="AD155" s="45"/>
      <c r="AE155" s="45"/>
    </row>
    <row r="156" spans="1:31" ht="17.100000000000001" customHeight="1">
      <c r="A156" s="3" t="s">
        <v>2651</v>
      </c>
      <c r="B156" s="3"/>
      <c r="C156" s="3"/>
      <c r="D156" s="3"/>
      <c r="E156" s="3"/>
      <c r="F156" s="3"/>
      <c r="G156" s="3"/>
      <c r="H156" s="3"/>
      <c r="I156" s="3"/>
      <c r="J156" s="3"/>
      <c r="K156" s="3"/>
      <c r="L156" s="3"/>
      <c r="M156" s="3"/>
      <c r="N156" s="3"/>
      <c r="O156" s="3"/>
      <c r="P156" s="3"/>
      <c r="Q156" s="3"/>
      <c r="R156" s="3"/>
      <c r="S156" s="3"/>
      <c r="T156" s="3"/>
      <c r="U156" s="3"/>
      <c r="V156" s="3"/>
      <c r="W156" s="240"/>
      <c r="X156" s="45"/>
      <c r="Y156" s="45"/>
      <c r="Z156" s="45"/>
      <c r="AA156" s="45"/>
      <c r="AB156" s="45"/>
      <c r="AC156" s="45"/>
      <c r="AD156" s="45"/>
      <c r="AE156" s="45"/>
    </row>
    <row r="157" spans="1:31" ht="17.100000000000001" customHeight="1">
      <c r="A157" s="3" t="s">
        <v>2652</v>
      </c>
      <c r="B157" s="3"/>
      <c r="C157" s="3"/>
      <c r="D157" s="3"/>
      <c r="E157" s="3"/>
      <c r="F157" s="3"/>
      <c r="G157" s="3"/>
      <c r="H157" s="3"/>
      <c r="I157" s="3" t="s">
        <v>2539</v>
      </c>
      <c r="J157" s="3"/>
      <c r="K157" s="3"/>
      <c r="L157" s="3"/>
      <c r="M157" s="3"/>
      <c r="N157" s="3"/>
      <c r="O157" s="3"/>
      <c r="P157" s="3"/>
      <c r="Q157" s="3"/>
      <c r="R157" s="3"/>
      <c r="S157" s="3"/>
      <c r="T157" s="3"/>
      <c r="U157" s="3"/>
      <c r="V157" s="3"/>
      <c r="W157" s="240"/>
      <c r="X157" s="45"/>
      <c r="Y157" s="45"/>
      <c r="Z157" s="45"/>
      <c r="AA157" s="45"/>
      <c r="AB157" s="45"/>
      <c r="AC157" s="45"/>
      <c r="AD157" s="45"/>
      <c r="AE157" s="45"/>
    </row>
    <row r="158" spans="1:31" ht="17.100000000000001" customHeight="1">
      <c r="A158" s="3"/>
      <c r="B158" s="3"/>
      <c r="C158" s="3"/>
      <c r="D158" s="3"/>
      <c r="E158" s="3"/>
      <c r="F158" s="3"/>
      <c r="G158" s="3"/>
      <c r="H158" s="3"/>
      <c r="I158" s="3"/>
      <c r="J158" s="3"/>
      <c r="K158" s="3"/>
      <c r="L158" s="3"/>
      <c r="M158" s="3"/>
      <c r="N158" s="3"/>
      <c r="O158" s="3"/>
      <c r="P158" s="3"/>
      <c r="Q158" s="3"/>
      <c r="R158" s="3"/>
      <c r="S158" s="3"/>
      <c r="T158" s="3"/>
      <c r="U158" s="3"/>
      <c r="V158" s="3"/>
      <c r="W158" s="240"/>
      <c r="X158" s="45"/>
      <c r="Y158" s="45"/>
      <c r="Z158" s="45"/>
      <c r="AA158" s="45"/>
      <c r="AB158" s="45"/>
      <c r="AC158" s="45"/>
      <c r="AD158" s="45"/>
      <c r="AE158" s="45"/>
    </row>
    <row r="159" spans="1:31" ht="17.100000000000001" customHeight="1">
      <c r="A159" s="3" t="s">
        <v>2653</v>
      </c>
      <c r="B159" s="3"/>
      <c r="C159" s="3"/>
      <c r="D159" s="3"/>
      <c r="E159" s="3"/>
      <c r="F159" s="3"/>
      <c r="G159" s="3"/>
      <c r="H159" s="3"/>
      <c r="I159" s="3" t="s">
        <v>2654</v>
      </c>
      <c r="J159" s="3"/>
      <c r="K159" s="3"/>
      <c r="L159" s="3"/>
      <c r="M159" s="3"/>
      <c r="N159" s="3"/>
      <c r="O159" s="3"/>
      <c r="P159" s="3"/>
      <c r="Q159" s="3"/>
      <c r="R159" s="3"/>
      <c r="S159" s="3"/>
      <c r="T159" s="3"/>
      <c r="U159" s="3"/>
      <c r="V159" s="3"/>
      <c r="W159" s="240"/>
      <c r="X159" s="45"/>
      <c r="Y159" s="45"/>
      <c r="Z159" s="45"/>
      <c r="AA159" s="45"/>
      <c r="AB159" s="45"/>
      <c r="AC159" s="45"/>
      <c r="AD159" s="45"/>
      <c r="AE159" s="45"/>
    </row>
    <row r="160" spans="1:31" ht="17.100000000000001" customHeight="1">
      <c r="A160" s="3"/>
      <c r="B160" s="3"/>
      <c r="C160" s="3"/>
      <c r="D160" s="3"/>
      <c r="E160" s="3"/>
      <c r="F160" s="3"/>
      <c r="G160" s="3"/>
      <c r="H160" s="3"/>
      <c r="I160" s="3" t="s">
        <v>2655</v>
      </c>
      <c r="J160" s="3"/>
      <c r="K160" s="3"/>
      <c r="L160" s="3"/>
      <c r="M160" s="3"/>
      <c r="N160" s="3"/>
      <c r="O160" s="3"/>
      <c r="P160" s="3"/>
      <c r="Q160" s="3"/>
      <c r="R160" s="3"/>
      <c r="S160" s="3"/>
      <c r="T160" s="3"/>
      <c r="U160" s="3"/>
      <c r="V160" s="3"/>
      <c r="W160" s="240"/>
      <c r="X160" s="45"/>
      <c r="Y160" s="45"/>
      <c r="Z160" s="45"/>
      <c r="AA160" s="45"/>
      <c r="AB160" s="45"/>
      <c r="AC160" s="45"/>
      <c r="AD160" s="45"/>
      <c r="AE160" s="45"/>
    </row>
    <row r="161" spans="1:31" ht="17.100000000000001" customHeight="1">
      <c r="A161" s="3" t="s">
        <v>2656</v>
      </c>
      <c r="B161" s="3"/>
      <c r="C161" s="3"/>
      <c r="D161" s="3"/>
      <c r="E161" s="3"/>
      <c r="F161" s="3"/>
      <c r="G161" s="3"/>
      <c r="H161" s="3"/>
      <c r="I161" s="3" t="s">
        <v>2657</v>
      </c>
      <c r="J161" s="3"/>
      <c r="K161" s="3"/>
      <c r="L161" s="3"/>
      <c r="M161" s="3"/>
      <c r="N161" s="3"/>
      <c r="O161" s="3"/>
      <c r="P161" s="3"/>
      <c r="Q161" s="3"/>
      <c r="R161" s="3"/>
      <c r="S161" s="3"/>
      <c r="T161" s="3"/>
      <c r="U161" s="3"/>
      <c r="V161" s="3"/>
      <c r="W161" s="240"/>
      <c r="X161" s="45"/>
      <c r="Y161" s="45"/>
      <c r="Z161" s="45"/>
      <c r="AA161" s="45"/>
      <c r="AB161" s="45"/>
      <c r="AC161" s="45"/>
      <c r="AD161" s="45"/>
      <c r="AE161" s="45"/>
    </row>
    <row r="162" spans="1:31" ht="17.100000000000001" customHeight="1">
      <c r="A162" s="3" t="s">
        <v>2658</v>
      </c>
      <c r="B162" s="3"/>
      <c r="C162" s="3"/>
      <c r="D162" s="3"/>
      <c r="E162" s="3"/>
      <c r="F162" s="3"/>
      <c r="G162" s="3"/>
      <c r="H162" s="3"/>
      <c r="I162" s="3" t="s">
        <v>2659</v>
      </c>
      <c r="J162" s="3"/>
      <c r="K162" s="3"/>
      <c r="L162" s="3"/>
      <c r="M162" s="3"/>
      <c r="N162" s="3"/>
      <c r="O162" s="3"/>
      <c r="P162" s="3"/>
      <c r="Q162" s="3"/>
      <c r="R162" s="3"/>
      <c r="S162" s="3"/>
      <c r="T162" s="3"/>
      <c r="U162" s="3"/>
      <c r="V162" s="3"/>
      <c r="W162" s="240"/>
      <c r="X162" s="45"/>
      <c r="Y162" s="45"/>
      <c r="Z162" s="45"/>
      <c r="AA162" s="45"/>
      <c r="AB162" s="45"/>
      <c r="AC162" s="45"/>
      <c r="AD162" s="45"/>
      <c r="AE162" s="45"/>
    </row>
    <row r="163" spans="1:31" ht="17.100000000000001" customHeight="1">
      <c r="A163" s="3" t="s">
        <v>2660</v>
      </c>
      <c r="B163" s="3"/>
      <c r="C163" s="3"/>
      <c r="D163" s="3"/>
      <c r="E163" s="3"/>
      <c r="F163" s="3"/>
      <c r="G163" s="3"/>
      <c r="H163" s="3"/>
      <c r="I163" s="3" t="s">
        <v>2661</v>
      </c>
      <c r="J163" s="3"/>
      <c r="K163" s="3"/>
      <c r="L163" s="3"/>
      <c r="M163" s="3"/>
      <c r="N163" s="3"/>
      <c r="O163" s="3"/>
      <c r="P163" s="3"/>
      <c r="Q163" s="3"/>
      <c r="R163" s="3"/>
      <c r="S163" s="3"/>
      <c r="T163" s="3"/>
      <c r="U163" s="3"/>
      <c r="V163" s="3"/>
      <c r="W163" s="240"/>
      <c r="X163" s="45"/>
      <c r="Y163" s="45"/>
      <c r="Z163" s="45"/>
      <c r="AA163" s="45"/>
      <c r="AB163" s="45"/>
      <c r="AC163" s="45"/>
      <c r="AD163" s="45"/>
      <c r="AE163" s="45"/>
    </row>
    <row r="164" spans="1:31" ht="17.100000000000001" customHeight="1">
      <c r="A164" s="3" t="s">
        <v>2649</v>
      </c>
      <c r="B164" s="3"/>
      <c r="C164" s="3"/>
      <c r="D164" s="3"/>
      <c r="E164" s="3"/>
      <c r="F164" s="3"/>
      <c r="G164" s="3"/>
      <c r="H164" s="3"/>
      <c r="I164" s="3" t="s">
        <v>2662</v>
      </c>
      <c r="J164" s="3"/>
      <c r="K164" s="3"/>
      <c r="L164" s="3"/>
      <c r="M164" s="3"/>
      <c r="N164" s="3"/>
      <c r="O164" s="3"/>
      <c r="P164" s="3"/>
      <c r="Q164" s="3"/>
      <c r="R164" s="3"/>
      <c r="S164" s="3"/>
      <c r="T164" s="3"/>
      <c r="U164" s="3"/>
      <c r="V164" s="3"/>
      <c r="W164" s="240"/>
      <c r="X164" s="45"/>
      <c r="Y164" s="45"/>
      <c r="Z164" s="45"/>
      <c r="AA164" s="45"/>
      <c r="AB164" s="45"/>
      <c r="AC164" s="45"/>
      <c r="AD164" s="45"/>
      <c r="AE164" s="45"/>
    </row>
    <row r="165" spans="1:31" ht="17.100000000000001" customHeight="1">
      <c r="A165" s="3"/>
      <c r="B165" s="3"/>
      <c r="C165" s="3"/>
      <c r="D165" s="3"/>
      <c r="E165" s="3"/>
      <c r="F165" s="3"/>
      <c r="G165" s="3"/>
      <c r="H165" s="3"/>
      <c r="I165" s="3" t="s">
        <v>2426</v>
      </c>
      <c r="J165" s="3"/>
      <c r="K165" s="3"/>
      <c r="L165" s="3"/>
      <c r="M165" s="3"/>
      <c r="N165" s="3"/>
      <c r="O165" s="3"/>
      <c r="P165" s="3"/>
      <c r="Q165" s="3"/>
      <c r="R165" s="3"/>
      <c r="S165" s="3"/>
      <c r="T165" s="3"/>
      <c r="U165" s="3"/>
      <c r="V165" s="3"/>
      <c r="W165" s="240"/>
      <c r="X165" s="45"/>
      <c r="Y165" s="45"/>
      <c r="Z165" s="45"/>
      <c r="AA165" s="45"/>
      <c r="AB165" s="45"/>
      <c r="AC165" s="45"/>
      <c r="AD165" s="45"/>
      <c r="AE165" s="45"/>
    </row>
    <row r="166" spans="1:31" ht="17.100000000000001" customHeight="1">
      <c r="A166" s="3" t="s">
        <v>2663</v>
      </c>
      <c r="B166" s="3"/>
      <c r="C166" s="3"/>
      <c r="D166" s="3"/>
      <c r="E166" s="3"/>
      <c r="F166" s="3"/>
      <c r="G166" s="3"/>
      <c r="H166" s="3"/>
      <c r="I166" s="3"/>
      <c r="J166" s="3"/>
      <c r="K166" s="3"/>
      <c r="L166" s="3"/>
      <c r="M166" s="3"/>
      <c r="N166" s="3"/>
      <c r="O166" s="3"/>
      <c r="P166" s="3"/>
      <c r="Q166" s="3"/>
      <c r="R166" s="3"/>
      <c r="S166" s="3"/>
      <c r="T166" s="3"/>
      <c r="U166" s="3"/>
      <c r="V166" s="3"/>
      <c r="W166" s="240"/>
      <c r="X166" s="45"/>
      <c r="Y166" s="45"/>
      <c r="Z166" s="45"/>
      <c r="AA166" s="45"/>
      <c r="AB166" s="45"/>
      <c r="AC166" s="45"/>
      <c r="AD166" s="45"/>
      <c r="AE166" s="45"/>
    </row>
    <row r="167" spans="1:31" ht="17.100000000000001" customHeight="1">
      <c r="A167" s="3" t="s">
        <v>2664</v>
      </c>
      <c r="B167" s="3"/>
      <c r="C167" s="3"/>
      <c r="D167" s="3"/>
      <c r="E167" s="3"/>
      <c r="F167" s="3"/>
      <c r="G167" s="3"/>
      <c r="H167" s="3"/>
      <c r="I167" s="3" t="s">
        <v>2665</v>
      </c>
      <c r="J167" s="3"/>
      <c r="K167" s="3"/>
      <c r="L167" s="3"/>
      <c r="M167" s="3"/>
      <c r="N167" s="3"/>
      <c r="O167" s="3"/>
      <c r="P167" s="3"/>
      <c r="Q167" s="3"/>
      <c r="R167" s="3"/>
      <c r="S167" s="3"/>
      <c r="T167" s="3"/>
      <c r="U167" s="3"/>
      <c r="V167" s="3"/>
      <c r="W167" s="240"/>
      <c r="X167" s="45"/>
      <c r="Y167" s="45"/>
      <c r="Z167" s="45"/>
      <c r="AA167" s="45"/>
      <c r="AB167" s="45"/>
      <c r="AC167" s="45"/>
      <c r="AD167" s="45"/>
      <c r="AE167" s="45"/>
    </row>
    <row r="168" spans="1:31" ht="17.100000000000001" customHeight="1">
      <c r="A168" s="3" t="s">
        <v>2666</v>
      </c>
      <c r="B168" s="3"/>
      <c r="C168" s="3"/>
      <c r="D168" s="3"/>
      <c r="E168" s="3"/>
      <c r="F168" s="3"/>
      <c r="G168" s="3"/>
      <c r="H168" s="3"/>
      <c r="I168" s="3" t="s">
        <v>2667</v>
      </c>
      <c r="J168" s="3"/>
      <c r="K168" s="3"/>
      <c r="L168" s="3"/>
      <c r="M168" s="3"/>
      <c r="N168" s="3"/>
      <c r="O168" s="3"/>
      <c r="P168" s="3"/>
      <c r="Q168" s="3"/>
      <c r="R168" s="3"/>
      <c r="S168" s="3"/>
      <c r="T168" s="3"/>
      <c r="U168" s="3"/>
      <c r="V168" s="3"/>
      <c r="W168" s="240"/>
      <c r="X168" s="45"/>
      <c r="Y168" s="45"/>
      <c r="Z168" s="45"/>
      <c r="AA168" s="45"/>
      <c r="AB168" s="45"/>
      <c r="AC168" s="45"/>
      <c r="AD168" s="45"/>
      <c r="AE168" s="45"/>
    </row>
    <row r="169" spans="1:31" ht="17.100000000000001" customHeight="1">
      <c r="A169" s="3"/>
      <c r="B169" s="3"/>
      <c r="C169" s="3"/>
      <c r="D169" s="3"/>
      <c r="E169" s="3"/>
      <c r="F169" s="3"/>
      <c r="G169" s="3"/>
      <c r="H169" s="3"/>
      <c r="I169" s="3" t="s">
        <v>2668</v>
      </c>
      <c r="J169" s="3"/>
      <c r="K169" s="3"/>
      <c r="L169" s="3"/>
      <c r="M169" s="3"/>
      <c r="N169" s="3"/>
      <c r="O169" s="3"/>
      <c r="P169" s="3"/>
      <c r="Q169" s="3"/>
      <c r="R169" s="3"/>
      <c r="S169" s="3"/>
      <c r="T169" s="3"/>
      <c r="U169" s="3"/>
      <c r="V169" s="3"/>
      <c r="W169" s="240"/>
      <c r="X169" s="45"/>
      <c r="Y169" s="45"/>
      <c r="Z169" s="45"/>
      <c r="AA169" s="45"/>
      <c r="AB169" s="45"/>
      <c r="AC169" s="45"/>
      <c r="AD169" s="45"/>
      <c r="AE169" s="45"/>
    </row>
    <row r="170" spans="1:31" ht="17.100000000000001" customHeight="1">
      <c r="A170" s="3" t="s">
        <v>2669</v>
      </c>
      <c r="B170" s="3"/>
      <c r="C170" s="3"/>
      <c r="D170" s="3"/>
      <c r="E170" s="3"/>
      <c r="F170" s="3"/>
      <c r="G170" s="3"/>
      <c r="H170" s="3"/>
      <c r="I170" s="3" t="s">
        <v>2426</v>
      </c>
      <c r="J170" s="3"/>
      <c r="K170" s="3"/>
      <c r="L170" s="3"/>
      <c r="M170" s="3"/>
      <c r="N170" s="3"/>
      <c r="O170" s="3"/>
      <c r="P170" s="3"/>
      <c r="Q170" s="3"/>
      <c r="R170" s="3"/>
      <c r="S170" s="3"/>
      <c r="T170" s="3"/>
      <c r="U170" s="3"/>
      <c r="V170" s="3"/>
      <c r="W170" s="240"/>
      <c r="X170" s="45"/>
      <c r="Y170" s="45"/>
      <c r="Z170" s="45"/>
      <c r="AA170" s="45"/>
      <c r="AB170" s="45"/>
      <c r="AC170" s="45"/>
      <c r="AD170" s="45"/>
      <c r="AE170" s="45"/>
    </row>
    <row r="171" spans="1:31" ht="17.100000000000001" customHeight="1">
      <c r="A171" s="3" t="s">
        <v>2670</v>
      </c>
      <c r="B171" s="3"/>
      <c r="C171" s="3"/>
      <c r="D171" s="3"/>
      <c r="E171" s="3"/>
      <c r="F171" s="3"/>
      <c r="G171" s="3"/>
      <c r="H171" s="3"/>
      <c r="I171" s="3"/>
      <c r="J171" s="3"/>
      <c r="K171" s="3"/>
      <c r="L171" s="3"/>
      <c r="M171" s="3"/>
      <c r="N171" s="3"/>
      <c r="O171" s="3"/>
      <c r="P171" s="3"/>
      <c r="Q171" s="3"/>
      <c r="R171" s="3"/>
      <c r="S171" s="3"/>
      <c r="T171" s="3"/>
      <c r="U171" s="3"/>
      <c r="V171" s="3"/>
      <c r="W171" s="240"/>
      <c r="X171" s="45"/>
      <c r="Y171" s="45"/>
      <c r="Z171" s="45"/>
      <c r="AA171" s="45"/>
      <c r="AB171" s="45"/>
      <c r="AC171" s="45"/>
      <c r="AD171" s="45"/>
      <c r="AE171" s="45"/>
    </row>
    <row r="172" spans="1:31" ht="17.100000000000001" customHeight="1">
      <c r="A172" s="3"/>
      <c r="B172" s="3"/>
      <c r="C172" s="3"/>
      <c r="D172" s="3"/>
      <c r="E172" s="3"/>
      <c r="F172" s="3"/>
      <c r="G172" s="3"/>
      <c r="H172" s="3"/>
      <c r="I172" s="3" t="s">
        <v>2671</v>
      </c>
      <c r="J172" s="3"/>
      <c r="K172" s="3"/>
      <c r="L172" s="3"/>
      <c r="M172" s="3"/>
      <c r="N172" s="3"/>
      <c r="O172" s="3"/>
      <c r="P172" s="3"/>
      <c r="Q172" s="3"/>
      <c r="R172" s="3"/>
      <c r="S172" s="3"/>
      <c r="T172" s="3"/>
      <c r="U172" s="3"/>
      <c r="V172" s="3"/>
      <c r="W172" s="240"/>
      <c r="X172" s="45"/>
      <c r="Y172" s="45"/>
      <c r="Z172" s="45"/>
      <c r="AA172" s="45"/>
      <c r="AB172" s="45"/>
      <c r="AC172" s="45"/>
      <c r="AD172" s="45"/>
      <c r="AE172" s="45"/>
    </row>
    <row r="173" spans="1:31" ht="17.100000000000001" customHeight="1">
      <c r="A173" s="3" t="s">
        <v>2539</v>
      </c>
      <c r="B173" s="3"/>
      <c r="C173" s="3"/>
      <c r="D173" s="3"/>
      <c r="E173" s="3"/>
      <c r="F173" s="3"/>
      <c r="G173" s="3"/>
      <c r="H173" s="3"/>
      <c r="I173" s="3" t="s">
        <v>2672</v>
      </c>
      <c r="J173" s="3"/>
      <c r="K173" s="3"/>
      <c r="L173" s="3"/>
      <c r="M173" s="3"/>
      <c r="N173" s="3"/>
      <c r="O173" s="3"/>
      <c r="P173" s="3"/>
      <c r="Q173" s="3"/>
      <c r="R173" s="3"/>
      <c r="S173" s="3"/>
      <c r="T173" s="3"/>
      <c r="U173" s="3"/>
      <c r="V173" s="3"/>
      <c r="W173" s="240"/>
      <c r="X173" s="45"/>
      <c r="Y173" s="45"/>
      <c r="Z173" s="45"/>
      <c r="AA173" s="45"/>
      <c r="AB173" s="45"/>
      <c r="AC173" s="45"/>
      <c r="AD173" s="45"/>
      <c r="AE173" s="45"/>
    </row>
    <row r="174" spans="1:31" ht="17.100000000000001" customHeight="1">
      <c r="A174" s="3"/>
      <c r="B174" s="3"/>
      <c r="C174" s="3"/>
      <c r="D174" s="3"/>
      <c r="E174" s="3"/>
      <c r="F174" s="3"/>
      <c r="G174" s="3"/>
      <c r="H174" s="3"/>
      <c r="I174" s="3" t="s">
        <v>2673</v>
      </c>
      <c r="J174" s="3"/>
      <c r="K174" s="3"/>
      <c r="L174" s="3"/>
      <c r="M174" s="3"/>
      <c r="N174" s="3"/>
      <c r="O174" s="3"/>
      <c r="P174" s="3"/>
      <c r="Q174" s="3"/>
      <c r="R174" s="3"/>
      <c r="S174" s="3"/>
      <c r="T174" s="3"/>
      <c r="U174" s="3"/>
      <c r="V174" s="3"/>
      <c r="W174" s="240"/>
      <c r="X174" s="45"/>
      <c r="Y174" s="45"/>
      <c r="Z174" s="45"/>
      <c r="AA174" s="45"/>
      <c r="AB174" s="45"/>
      <c r="AC174" s="45"/>
      <c r="AD174" s="45"/>
      <c r="AE174" s="45"/>
    </row>
    <row r="175" spans="1:31" ht="17.100000000000001" customHeight="1">
      <c r="A175" s="3" t="s">
        <v>2654</v>
      </c>
      <c r="B175" s="3"/>
      <c r="C175" s="3"/>
      <c r="D175" s="3"/>
      <c r="E175" s="3"/>
      <c r="F175" s="3"/>
      <c r="G175" s="3"/>
      <c r="H175" s="3"/>
      <c r="I175" s="3" t="s">
        <v>2426</v>
      </c>
      <c r="J175" s="3"/>
      <c r="K175" s="3"/>
      <c r="L175" s="3"/>
      <c r="M175" s="3"/>
      <c r="N175" s="3"/>
      <c r="O175" s="3"/>
      <c r="P175" s="3"/>
      <c r="Q175" s="3"/>
      <c r="R175" s="3"/>
      <c r="S175" s="3"/>
      <c r="T175" s="3"/>
      <c r="U175" s="3"/>
      <c r="V175" s="3"/>
      <c r="W175" s="240"/>
      <c r="X175" s="45"/>
      <c r="Y175" s="45"/>
      <c r="Z175" s="45"/>
      <c r="AA175" s="45"/>
      <c r="AB175" s="45"/>
      <c r="AC175" s="45"/>
      <c r="AD175" s="45"/>
      <c r="AE175" s="45"/>
    </row>
    <row r="176" spans="1:31" ht="17.100000000000001" customHeight="1">
      <c r="A176" s="3" t="s">
        <v>2655</v>
      </c>
      <c r="B176" s="3"/>
      <c r="C176" s="3"/>
      <c r="D176" s="3"/>
      <c r="E176" s="3"/>
      <c r="F176" s="3"/>
      <c r="G176" s="3"/>
      <c r="H176" s="3"/>
      <c r="I176" s="3"/>
      <c r="J176" s="3"/>
      <c r="K176" s="3"/>
      <c r="L176" s="3"/>
      <c r="M176" s="3"/>
      <c r="N176" s="3"/>
      <c r="O176" s="3"/>
      <c r="P176" s="3"/>
      <c r="Q176" s="3"/>
      <c r="R176" s="3"/>
      <c r="S176" s="3"/>
      <c r="T176" s="3"/>
      <c r="U176" s="3"/>
      <c r="V176" s="3"/>
      <c r="W176" s="240"/>
      <c r="X176" s="45"/>
      <c r="Y176" s="45"/>
      <c r="Z176" s="45"/>
      <c r="AA176" s="45"/>
      <c r="AB176" s="45"/>
      <c r="AC176" s="45"/>
      <c r="AD176" s="45"/>
      <c r="AE176" s="45"/>
    </row>
    <row r="177" spans="1:31" ht="17.100000000000001" customHeight="1">
      <c r="A177" s="3"/>
      <c r="B177" s="3"/>
      <c r="C177" s="3"/>
      <c r="D177" s="3"/>
      <c r="E177" s="3"/>
      <c r="F177" s="3"/>
      <c r="G177" s="3"/>
      <c r="H177" s="3"/>
      <c r="I177" s="3" t="s">
        <v>2600</v>
      </c>
      <c r="J177" s="3"/>
      <c r="K177" s="3"/>
      <c r="L177" s="3"/>
      <c r="M177" s="3"/>
      <c r="N177" s="3"/>
      <c r="O177" s="3"/>
      <c r="P177" s="3"/>
      <c r="Q177" s="3"/>
      <c r="R177" s="3"/>
      <c r="S177" s="3"/>
      <c r="T177" s="3"/>
      <c r="U177" s="3"/>
      <c r="V177" s="3"/>
      <c r="W177" s="240"/>
      <c r="X177" s="45"/>
      <c r="Y177" s="45"/>
      <c r="Z177" s="45"/>
      <c r="AA177" s="45"/>
      <c r="AB177" s="45"/>
      <c r="AC177" s="45"/>
      <c r="AD177" s="45"/>
      <c r="AE177" s="45"/>
    </row>
    <row r="178" spans="1:31" ht="17.100000000000001" customHeight="1">
      <c r="A178" s="3" t="s">
        <v>2600</v>
      </c>
      <c r="B178" s="3"/>
      <c r="C178" s="3"/>
      <c r="D178" s="3"/>
      <c r="E178" s="3"/>
      <c r="F178" s="3"/>
      <c r="G178" s="3"/>
      <c r="H178" s="3"/>
      <c r="I178" s="3" t="s">
        <v>2551</v>
      </c>
      <c r="J178" s="3"/>
      <c r="K178" s="3"/>
      <c r="L178" s="3"/>
      <c r="M178" s="3"/>
      <c r="N178" s="3"/>
      <c r="O178" s="3"/>
      <c r="P178" s="3"/>
      <c r="Q178" s="3"/>
      <c r="R178" s="3"/>
      <c r="S178" s="3"/>
      <c r="T178" s="3"/>
      <c r="U178" s="3"/>
      <c r="V178" s="3"/>
      <c r="W178" s="240"/>
      <c r="X178" s="45"/>
      <c r="Y178" s="45"/>
      <c r="Z178" s="45"/>
      <c r="AA178" s="45"/>
      <c r="AB178" s="45"/>
      <c r="AC178" s="45"/>
      <c r="AD178" s="45"/>
      <c r="AE178" s="45"/>
    </row>
    <row r="179" spans="1:31" ht="17.100000000000001" customHeight="1">
      <c r="A179" s="3" t="s">
        <v>2551</v>
      </c>
      <c r="B179" s="3"/>
      <c r="C179" s="3"/>
      <c r="D179" s="3"/>
      <c r="E179" s="3"/>
      <c r="F179" s="3"/>
      <c r="G179" s="3"/>
      <c r="H179" s="3"/>
      <c r="I179" s="3" t="s">
        <v>2453</v>
      </c>
      <c r="J179" s="3"/>
      <c r="K179" s="3"/>
      <c r="L179" s="3"/>
      <c r="M179" s="3"/>
      <c r="N179" s="3"/>
      <c r="O179" s="3"/>
      <c r="P179" s="3"/>
      <c r="Q179" s="3"/>
      <c r="R179" s="3"/>
      <c r="S179" s="3"/>
      <c r="T179" s="3"/>
      <c r="U179" s="3"/>
      <c r="V179" s="3"/>
      <c r="W179" s="240"/>
      <c r="X179" s="45"/>
      <c r="Y179" s="45"/>
      <c r="Z179" s="45"/>
      <c r="AA179" s="45"/>
      <c r="AB179" s="45"/>
      <c r="AC179" s="45"/>
      <c r="AD179" s="45"/>
      <c r="AE179" s="45"/>
    </row>
    <row r="180" spans="1:31" ht="17.100000000000001" customHeight="1">
      <c r="A180" s="3" t="s">
        <v>2453</v>
      </c>
      <c r="B180" s="3"/>
      <c r="C180" s="3"/>
      <c r="D180" s="3"/>
      <c r="E180" s="3"/>
      <c r="F180" s="3"/>
      <c r="G180" s="3"/>
      <c r="H180" s="3"/>
      <c r="I180" s="3" t="s">
        <v>2674</v>
      </c>
      <c r="J180" s="3"/>
      <c r="K180" s="3"/>
      <c r="L180" s="3"/>
      <c r="M180" s="3"/>
      <c r="N180" s="3"/>
      <c r="O180" s="3"/>
      <c r="P180" s="3"/>
      <c r="Q180" s="3"/>
      <c r="R180" s="3"/>
      <c r="S180" s="3"/>
      <c r="T180" s="3"/>
      <c r="U180" s="3"/>
      <c r="V180" s="3"/>
      <c r="W180" s="240"/>
      <c r="X180" s="45"/>
      <c r="Y180" s="45"/>
      <c r="Z180" s="45"/>
      <c r="AA180" s="45"/>
      <c r="AB180" s="45"/>
      <c r="AC180" s="45"/>
      <c r="AD180" s="45"/>
      <c r="AE180" s="45"/>
    </row>
    <row r="181" spans="1:31" ht="17.100000000000001" customHeight="1">
      <c r="A181" s="3" t="s">
        <v>2674</v>
      </c>
      <c r="B181" s="3"/>
      <c r="C181" s="3"/>
      <c r="D181" s="3"/>
      <c r="E181" s="3"/>
      <c r="F181" s="3"/>
      <c r="G181" s="3"/>
      <c r="H181" s="3"/>
      <c r="I181" s="3" t="s">
        <v>2675</v>
      </c>
      <c r="J181" s="3"/>
      <c r="K181" s="3"/>
      <c r="L181" s="3"/>
      <c r="M181" s="3"/>
      <c r="N181" s="3"/>
      <c r="O181" s="3"/>
      <c r="P181" s="3"/>
      <c r="Q181" s="3"/>
      <c r="R181" s="3"/>
      <c r="S181" s="3"/>
      <c r="T181" s="3"/>
      <c r="U181" s="3"/>
      <c r="V181" s="3"/>
      <c r="W181" s="240"/>
      <c r="X181" s="45"/>
      <c r="Y181" s="45"/>
      <c r="Z181" s="45"/>
      <c r="AA181" s="45"/>
      <c r="AB181" s="45"/>
      <c r="AC181" s="45"/>
      <c r="AD181" s="45"/>
      <c r="AE181" s="45"/>
    </row>
    <row r="182" spans="1:31" ht="17.100000000000001" customHeight="1">
      <c r="A182" s="3" t="s">
        <v>2676</v>
      </c>
      <c r="B182" s="3"/>
      <c r="C182" s="3"/>
      <c r="D182" s="3"/>
      <c r="E182" s="3"/>
      <c r="F182" s="3"/>
      <c r="G182" s="3"/>
      <c r="H182" s="3"/>
      <c r="I182" s="3" t="s">
        <v>2677</v>
      </c>
      <c r="J182" s="3"/>
      <c r="K182" s="3"/>
      <c r="L182" s="3"/>
      <c r="M182" s="3"/>
      <c r="N182" s="3"/>
      <c r="O182" s="3"/>
      <c r="P182" s="3"/>
      <c r="Q182" s="3"/>
      <c r="R182" s="3"/>
      <c r="S182" s="3"/>
      <c r="T182" s="3"/>
      <c r="U182" s="3"/>
      <c r="V182" s="3"/>
      <c r="W182" s="240"/>
      <c r="X182" s="45"/>
      <c r="Y182" s="45"/>
      <c r="Z182" s="45"/>
      <c r="AA182" s="45"/>
      <c r="AB182" s="45"/>
      <c r="AC182" s="45"/>
      <c r="AD182" s="45"/>
      <c r="AE182" s="45"/>
    </row>
    <row r="183" spans="1:31" ht="17.100000000000001" customHeight="1">
      <c r="A183" s="3" t="s">
        <v>2678</v>
      </c>
      <c r="B183" s="3"/>
      <c r="C183" s="3"/>
      <c r="D183" s="3"/>
      <c r="E183" s="3"/>
      <c r="F183" s="3"/>
      <c r="G183" s="3"/>
      <c r="H183" s="3"/>
      <c r="I183" s="3" t="s">
        <v>2679</v>
      </c>
      <c r="J183" s="3"/>
      <c r="K183" s="3"/>
      <c r="L183" s="3"/>
      <c r="M183" s="3"/>
      <c r="N183" s="3"/>
      <c r="O183" s="3"/>
      <c r="P183" s="3"/>
      <c r="Q183" s="3"/>
      <c r="R183" s="3"/>
      <c r="S183" s="3"/>
      <c r="T183" s="3"/>
      <c r="U183" s="3"/>
      <c r="V183" s="3"/>
      <c r="W183" s="240"/>
      <c r="X183" s="45"/>
      <c r="Y183" s="45"/>
      <c r="Z183" s="45"/>
      <c r="AA183" s="45"/>
      <c r="AB183" s="45"/>
      <c r="AC183" s="45"/>
      <c r="AD183" s="45"/>
      <c r="AE183" s="45"/>
    </row>
    <row r="184" spans="1:31" ht="17.100000000000001" customHeight="1">
      <c r="A184" s="3" t="s">
        <v>2679</v>
      </c>
      <c r="B184" s="3"/>
      <c r="C184" s="3"/>
      <c r="D184" s="3"/>
      <c r="E184" s="3"/>
      <c r="F184" s="3"/>
      <c r="G184" s="3"/>
      <c r="H184" s="3"/>
      <c r="I184" s="3" t="s">
        <v>2453</v>
      </c>
      <c r="J184" s="3"/>
      <c r="K184" s="3"/>
      <c r="L184" s="3"/>
      <c r="M184" s="3"/>
      <c r="N184" s="3"/>
      <c r="O184" s="3"/>
      <c r="P184" s="3"/>
      <c r="Q184" s="3"/>
      <c r="R184" s="3"/>
      <c r="S184" s="3"/>
      <c r="T184" s="3"/>
      <c r="U184" s="3"/>
      <c r="V184" s="3"/>
      <c r="W184" s="240"/>
      <c r="X184" s="45"/>
      <c r="Y184" s="45"/>
      <c r="Z184" s="45"/>
      <c r="AA184" s="45"/>
      <c r="AB184" s="45"/>
      <c r="AC184" s="45"/>
      <c r="AD184" s="45"/>
      <c r="AE184" s="45"/>
    </row>
    <row r="185" spans="1:31" ht="17.100000000000001" customHeight="1">
      <c r="A185" s="3" t="s">
        <v>2453</v>
      </c>
      <c r="B185" s="3"/>
      <c r="C185" s="3"/>
      <c r="D185" s="3"/>
      <c r="E185" s="3"/>
      <c r="F185" s="3"/>
      <c r="G185" s="3"/>
      <c r="H185" s="3"/>
      <c r="I185" s="3"/>
      <c r="J185" s="3"/>
      <c r="K185" s="3"/>
      <c r="L185" s="3"/>
      <c r="M185" s="3"/>
      <c r="N185" s="3"/>
      <c r="O185" s="3"/>
      <c r="P185" s="3"/>
      <c r="Q185" s="3"/>
      <c r="R185" s="3"/>
      <c r="S185" s="3"/>
      <c r="T185" s="3"/>
      <c r="U185" s="3"/>
      <c r="V185" s="3"/>
      <c r="W185" s="240"/>
      <c r="X185" s="45"/>
      <c r="Y185" s="45"/>
      <c r="Z185" s="45"/>
      <c r="AA185" s="45"/>
      <c r="AB185" s="45"/>
      <c r="AC185" s="45"/>
      <c r="AD185" s="45"/>
      <c r="AE185" s="45"/>
    </row>
    <row r="186" spans="1:31" ht="17.100000000000001" customHeight="1">
      <c r="A186" s="3"/>
      <c r="B186" s="3"/>
      <c r="C186" s="3"/>
      <c r="D186" s="3"/>
      <c r="E186" s="3"/>
      <c r="F186" s="3"/>
      <c r="G186" s="3"/>
      <c r="H186" s="3"/>
      <c r="I186" s="3" t="s">
        <v>2600</v>
      </c>
      <c r="J186" s="3"/>
      <c r="K186" s="3"/>
      <c r="L186" s="3"/>
      <c r="M186" s="3"/>
      <c r="N186" s="3"/>
      <c r="O186" s="3"/>
      <c r="P186" s="3"/>
      <c r="Q186" s="3"/>
      <c r="R186" s="3"/>
      <c r="S186" s="3"/>
      <c r="T186" s="3"/>
      <c r="U186" s="3"/>
      <c r="V186" s="3"/>
      <c r="W186" s="240"/>
      <c r="X186" s="45"/>
      <c r="Y186" s="45"/>
      <c r="Z186" s="45"/>
      <c r="AA186" s="45"/>
      <c r="AB186" s="45"/>
      <c r="AC186" s="45"/>
      <c r="AD186" s="45"/>
      <c r="AE186" s="45"/>
    </row>
    <row r="187" spans="1:31" ht="17.100000000000001" customHeight="1">
      <c r="A187" s="3" t="s">
        <v>2600</v>
      </c>
      <c r="B187" s="3"/>
      <c r="C187" s="3"/>
      <c r="D187" s="3"/>
      <c r="E187" s="3"/>
      <c r="F187" s="3"/>
      <c r="G187" s="3"/>
      <c r="H187" s="3"/>
      <c r="I187" s="3" t="s">
        <v>2602</v>
      </c>
      <c r="J187" s="3"/>
      <c r="K187" s="3"/>
      <c r="L187" s="3"/>
      <c r="M187" s="3"/>
      <c r="N187" s="3"/>
      <c r="O187" s="3"/>
      <c r="P187" s="3"/>
      <c r="Q187" s="3"/>
      <c r="R187" s="3"/>
      <c r="S187" s="3"/>
      <c r="T187" s="3"/>
      <c r="U187" s="3"/>
      <c r="V187" s="3"/>
      <c r="W187" s="240"/>
      <c r="X187" s="45"/>
      <c r="Y187" s="45"/>
      <c r="Z187" s="45"/>
      <c r="AA187" s="45"/>
      <c r="AB187" s="45"/>
      <c r="AC187" s="45"/>
      <c r="AD187" s="45"/>
      <c r="AE187" s="45"/>
    </row>
    <row r="188" spans="1:31" ht="17.100000000000001" customHeight="1">
      <c r="A188" s="3" t="s">
        <v>2602</v>
      </c>
      <c r="B188" s="3"/>
      <c r="C188" s="3"/>
      <c r="D188" s="3"/>
      <c r="E188" s="3"/>
      <c r="F188" s="3"/>
      <c r="G188" s="3"/>
      <c r="H188" s="3"/>
      <c r="I188" s="3" t="s">
        <v>2601</v>
      </c>
      <c r="J188" s="3"/>
      <c r="K188" s="3"/>
      <c r="L188" s="3"/>
      <c r="M188" s="3"/>
      <c r="N188" s="3"/>
      <c r="O188" s="3"/>
      <c r="P188" s="3"/>
      <c r="Q188" s="3"/>
      <c r="R188" s="3"/>
      <c r="S188" s="3"/>
      <c r="T188" s="3"/>
      <c r="U188" s="3"/>
      <c r="V188" s="3"/>
      <c r="W188" s="240"/>
      <c r="X188" s="45"/>
      <c r="Y188" s="45"/>
      <c r="Z188" s="45"/>
      <c r="AA188" s="45"/>
      <c r="AB188" s="45"/>
      <c r="AC188" s="45"/>
      <c r="AD188" s="45"/>
      <c r="AE188" s="45"/>
    </row>
    <row r="189" spans="1:31" ht="17.100000000000001" customHeight="1">
      <c r="A189" s="3" t="s">
        <v>2601</v>
      </c>
      <c r="B189" s="3"/>
      <c r="C189" s="3"/>
      <c r="D189" s="3"/>
      <c r="E189" s="3"/>
      <c r="F189" s="3"/>
      <c r="G189" s="3"/>
      <c r="H189" s="3"/>
      <c r="I189" s="3" t="s">
        <v>2680</v>
      </c>
      <c r="J189" s="3"/>
      <c r="K189" s="3"/>
      <c r="L189" s="3"/>
      <c r="M189" s="3"/>
      <c r="N189" s="3"/>
      <c r="O189" s="3"/>
      <c r="P189" s="3"/>
      <c r="Q189" s="3"/>
      <c r="R189" s="3"/>
      <c r="S189" s="3"/>
      <c r="T189" s="3"/>
      <c r="U189" s="3"/>
      <c r="V189" s="3"/>
      <c r="W189" s="240"/>
      <c r="X189" s="45"/>
      <c r="Y189" s="45"/>
      <c r="Z189" s="45"/>
      <c r="AA189" s="45"/>
      <c r="AB189" s="45"/>
      <c r="AC189" s="45"/>
      <c r="AD189" s="45"/>
      <c r="AE189" s="45"/>
    </row>
    <row r="190" spans="1:31" ht="17.100000000000001" customHeight="1">
      <c r="A190" s="3" t="s">
        <v>2681</v>
      </c>
      <c r="B190" s="3"/>
      <c r="C190" s="3"/>
      <c r="D190" s="3"/>
      <c r="E190" s="3"/>
      <c r="F190" s="3"/>
      <c r="G190" s="3"/>
      <c r="H190" s="3"/>
      <c r="I190" s="3" t="s">
        <v>2607</v>
      </c>
      <c r="J190" s="3"/>
      <c r="K190" s="3"/>
      <c r="L190" s="3"/>
      <c r="M190" s="3"/>
      <c r="N190" s="3"/>
      <c r="O190" s="3"/>
      <c r="P190" s="3"/>
      <c r="Q190" s="3"/>
      <c r="R190" s="3"/>
      <c r="S190" s="3"/>
      <c r="T190" s="3"/>
      <c r="U190" s="3"/>
      <c r="V190" s="3"/>
      <c r="W190" s="240"/>
      <c r="X190" s="45"/>
      <c r="Y190" s="45"/>
      <c r="Z190" s="45"/>
      <c r="AA190" s="45"/>
      <c r="AB190" s="45"/>
      <c r="AC190" s="45"/>
      <c r="AD190" s="45"/>
      <c r="AE190" s="45"/>
    </row>
    <row r="191" spans="1:31" ht="17.100000000000001" customHeight="1">
      <c r="A191" s="3" t="s">
        <v>2607</v>
      </c>
      <c r="B191" s="3"/>
      <c r="C191" s="3"/>
      <c r="D191" s="3"/>
      <c r="E191" s="3"/>
      <c r="F191" s="3"/>
      <c r="G191" s="3"/>
      <c r="H191" s="3"/>
      <c r="I191" s="3" t="s">
        <v>2682</v>
      </c>
      <c r="J191" s="3"/>
      <c r="K191" s="3"/>
      <c r="L191" s="3"/>
      <c r="M191" s="3"/>
      <c r="N191" s="3"/>
      <c r="O191" s="3"/>
      <c r="P191" s="3"/>
      <c r="Q191" s="3"/>
      <c r="R191" s="3"/>
      <c r="S191" s="3"/>
      <c r="T191" s="3"/>
      <c r="U191" s="3"/>
      <c r="V191" s="3"/>
      <c r="W191" s="240"/>
      <c r="X191" s="45"/>
      <c r="Y191" s="45"/>
      <c r="Z191" s="45"/>
      <c r="AA191" s="45"/>
      <c r="AB191" s="45"/>
      <c r="AC191" s="45"/>
      <c r="AD191" s="45"/>
      <c r="AE191" s="45"/>
    </row>
    <row r="192" spans="1:31" ht="17.100000000000001" customHeight="1">
      <c r="A192" s="3" t="s">
        <v>2683</v>
      </c>
      <c r="B192" s="3"/>
      <c r="C192" s="3"/>
      <c r="D192" s="3"/>
      <c r="E192" s="3"/>
      <c r="F192" s="3"/>
      <c r="G192" s="3"/>
      <c r="H192" s="3"/>
      <c r="I192" s="3" t="s">
        <v>2453</v>
      </c>
      <c r="J192" s="3"/>
      <c r="K192" s="3"/>
      <c r="L192" s="3"/>
      <c r="M192" s="3"/>
      <c r="N192" s="3"/>
      <c r="O192" s="3"/>
      <c r="P192" s="3"/>
      <c r="Q192" s="3"/>
      <c r="R192" s="3"/>
      <c r="S192" s="3"/>
      <c r="T192" s="3"/>
      <c r="U192" s="3"/>
      <c r="V192" s="3"/>
      <c r="W192" s="240"/>
      <c r="X192" s="45"/>
      <c r="Y192" s="45"/>
      <c r="Z192" s="45"/>
      <c r="AA192" s="45"/>
      <c r="AB192" s="45"/>
      <c r="AC192" s="45"/>
      <c r="AD192" s="45"/>
      <c r="AE192" s="45"/>
    </row>
    <row r="193" spans="1:31" ht="17.100000000000001" customHeight="1">
      <c r="A193" s="3" t="s">
        <v>2453</v>
      </c>
      <c r="B193" s="3"/>
      <c r="C193" s="3"/>
      <c r="D193" s="3"/>
      <c r="E193" s="3"/>
      <c r="F193" s="3"/>
      <c r="G193" s="3"/>
      <c r="H193" s="3"/>
      <c r="I193" s="3"/>
      <c r="J193" s="3"/>
      <c r="K193" s="3"/>
      <c r="L193" s="3"/>
      <c r="M193" s="3"/>
      <c r="N193" s="3"/>
      <c r="O193" s="3"/>
      <c r="P193" s="3"/>
      <c r="Q193" s="3"/>
      <c r="R193" s="3"/>
      <c r="S193" s="3"/>
      <c r="T193" s="3"/>
      <c r="U193" s="3"/>
      <c r="V193" s="3"/>
      <c r="W193" s="240"/>
      <c r="X193" s="45"/>
      <c r="Y193" s="45"/>
      <c r="Z193" s="45"/>
      <c r="AA193" s="45"/>
      <c r="AB193" s="45"/>
      <c r="AC193" s="45"/>
      <c r="AD193" s="45"/>
      <c r="AE193" s="45"/>
    </row>
    <row r="194" spans="1:31" ht="17.100000000000001" customHeight="1">
      <c r="A194" s="3" t="s">
        <v>2684</v>
      </c>
      <c r="B194" s="3"/>
      <c r="C194" s="3"/>
      <c r="D194" s="3"/>
      <c r="E194" s="3"/>
      <c r="F194" s="3"/>
      <c r="G194" s="3"/>
      <c r="H194" s="3"/>
      <c r="I194" s="3" t="s">
        <v>2685</v>
      </c>
      <c r="J194" s="3"/>
      <c r="K194" s="3"/>
      <c r="L194" s="3"/>
      <c r="M194" s="3"/>
      <c r="N194" s="3"/>
      <c r="O194" s="3"/>
      <c r="P194" s="3"/>
      <c r="Q194" s="3"/>
      <c r="R194" s="3"/>
      <c r="S194" s="3"/>
      <c r="T194" s="3"/>
      <c r="U194" s="3"/>
      <c r="V194" s="3"/>
      <c r="W194" s="240"/>
      <c r="X194" s="45"/>
      <c r="Y194" s="45"/>
      <c r="Z194" s="45"/>
      <c r="AA194" s="45"/>
      <c r="AB194" s="45"/>
      <c r="AC194" s="45"/>
      <c r="AD194" s="45"/>
      <c r="AE194" s="45"/>
    </row>
    <row r="195" spans="1:31" ht="17.100000000000001" customHeight="1">
      <c r="A195" s="3"/>
      <c r="B195" s="3"/>
      <c r="C195" s="3"/>
      <c r="D195" s="3"/>
      <c r="E195" s="3"/>
      <c r="F195" s="3"/>
      <c r="G195" s="3"/>
      <c r="H195" s="3"/>
      <c r="I195" s="3"/>
      <c r="J195" s="3"/>
      <c r="K195" s="3"/>
      <c r="L195" s="3"/>
      <c r="M195" s="3"/>
      <c r="N195" s="3"/>
      <c r="O195" s="3"/>
      <c r="P195" s="3"/>
      <c r="Q195" s="3"/>
      <c r="R195" s="3"/>
      <c r="S195" s="3"/>
      <c r="T195" s="3"/>
      <c r="U195" s="3"/>
      <c r="V195" s="3"/>
      <c r="W195" s="240"/>
      <c r="X195" s="45"/>
      <c r="Y195" s="45"/>
      <c r="Z195" s="45"/>
      <c r="AA195" s="45"/>
      <c r="AB195" s="45"/>
      <c r="AC195" s="45"/>
      <c r="AD195" s="45"/>
      <c r="AE195" s="45"/>
    </row>
    <row r="196" spans="1:31" ht="17.100000000000001" customHeight="1">
      <c r="A196" s="3"/>
      <c r="B196" s="3"/>
      <c r="C196" s="3"/>
      <c r="D196" s="3"/>
      <c r="E196" s="3"/>
      <c r="F196" s="3"/>
      <c r="G196" s="3"/>
      <c r="H196" s="3"/>
      <c r="I196" s="4" t="s">
        <v>2686</v>
      </c>
      <c r="J196" s="3"/>
      <c r="K196" s="3"/>
      <c r="L196" s="3"/>
      <c r="M196" s="3"/>
      <c r="N196" s="3"/>
      <c r="O196" s="3"/>
      <c r="P196" s="3"/>
      <c r="Q196" s="3"/>
      <c r="R196" s="3"/>
      <c r="S196" s="3"/>
      <c r="T196" s="3"/>
      <c r="U196" s="3"/>
      <c r="V196" s="3"/>
      <c r="W196" s="240"/>
      <c r="X196" s="45"/>
      <c r="Y196" s="45"/>
      <c r="Z196" s="45"/>
      <c r="AA196" s="45"/>
      <c r="AB196" s="45"/>
      <c r="AC196" s="45"/>
      <c r="AD196" s="45"/>
      <c r="AE196" s="45"/>
    </row>
    <row r="197" spans="1:31" ht="17.100000000000001" customHeight="1">
      <c r="A197" s="3"/>
      <c r="B197" s="3"/>
      <c r="C197" s="3"/>
      <c r="D197" s="3"/>
      <c r="E197" s="3"/>
      <c r="F197" s="3"/>
      <c r="G197" s="3"/>
      <c r="H197" s="3"/>
      <c r="I197" s="3"/>
      <c r="J197" s="3"/>
      <c r="K197" s="3"/>
      <c r="L197" s="3"/>
      <c r="M197" s="3"/>
      <c r="N197" s="3"/>
      <c r="O197" s="3"/>
      <c r="P197" s="3"/>
      <c r="Q197" s="3"/>
      <c r="R197" s="3"/>
      <c r="S197" s="3"/>
      <c r="T197" s="3"/>
      <c r="U197" s="3"/>
      <c r="V197" s="3"/>
      <c r="W197" s="240"/>
      <c r="X197" s="45"/>
      <c r="Y197" s="45"/>
      <c r="Z197" s="45"/>
      <c r="AA197" s="45"/>
      <c r="AB197" s="45"/>
      <c r="AC197" s="45"/>
      <c r="AD197" s="45"/>
      <c r="AE197" s="45"/>
    </row>
    <row r="198" spans="1:31" ht="17.100000000000001" customHeight="1">
      <c r="A198" s="3"/>
      <c r="B198" s="3"/>
      <c r="C198" s="3"/>
      <c r="D198" s="3"/>
      <c r="E198" s="3"/>
      <c r="F198" s="3"/>
      <c r="G198" s="3"/>
      <c r="H198" s="3"/>
      <c r="I198" s="3" t="s">
        <v>2687</v>
      </c>
      <c r="J198" s="3"/>
      <c r="K198" s="3"/>
      <c r="L198" s="3"/>
      <c r="M198" s="3"/>
      <c r="N198" s="3"/>
      <c r="O198" s="3"/>
      <c r="P198" s="3"/>
      <c r="Q198" s="3"/>
      <c r="R198" s="3"/>
      <c r="S198" s="3"/>
      <c r="T198" s="3"/>
      <c r="U198" s="3"/>
      <c r="V198" s="3"/>
      <c r="W198" s="240"/>
      <c r="X198" s="45"/>
      <c r="Y198" s="45"/>
      <c r="Z198" s="45"/>
      <c r="AA198" s="45"/>
      <c r="AB198" s="45"/>
      <c r="AC198" s="45"/>
      <c r="AD198" s="45"/>
      <c r="AE198" s="45"/>
    </row>
    <row r="199" spans="1:31" ht="17.100000000000001" customHeight="1">
      <c r="A199" s="3"/>
      <c r="B199" s="3"/>
      <c r="C199" s="3"/>
      <c r="D199" s="3"/>
      <c r="E199" s="3"/>
      <c r="F199" s="3"/>
      <c r="G199" s="3"/>
      <c r="H199" s="3"/>
      <c r="I199" s="3" t="s">
        <v>2688</v>
      </c>
      <c r="J199" s="3"/>
      <c r="K199" s="3"/>
      <c r="L199" s="3"/>
      <c r="M199" s="3"/>
      <c r="N199" s="3"/>
      <c r="O199" s="3"/>
      <c r="P199" s="3"/>
      <c r="Q199" s="3"/>
      <c r="R199" s="3"/>
      <c r="S199" s="3"/>
      <c r="T199" s="3"/>
      <c r="U199" s="3"/>
      <c r="V199" s="3"/>
      <c r="W199" s="240"/>
      <c r="X199" s="45"/>
      <c r="Y199" s="45"/>
      <c r="Z199" s="45"/>
      <c r="AA199" s="45"/>
      <c r="AB199" s="45"/>
      <c r="AC199" s="45"/>
      <c r="AD199" s="45"/>
      <c r="AE199" s="45"/>
    </row>
    <row r="200" spans="1:31" ht="17.100000000000001" customHeight="1">
      <c r="A200" s="3"/>
      <c r="B200" s="3"/>
      <c r="C200" s="3"/>
      <c r="D200" s="3"/>
      <c r="E200" s="3"/>
      <c r="F200" s="3"/>
      <c r="G200" s="3"/>
      <c r="H200" s="3"/>
      <c r="I200" s="3" t="s">
        <v>2689</v>
      </c>
      <c r="J200" s="3"/>
      <c r="K200" s="3"/>
      <c r="L200" s="3"/>
      <c r="M200" s="3"/>
      <c r="N200" s="3"/>
      <c r="O200" s="3"/>
      <c r="P200" s="3"/>
      <c r="Q200" s="3"/>
      <c r="R200" s="3"/>
      <c r="S200" s="3"/>
      <c r="T200" s="3"/>
      <c r="U200" s="3"/>
      <c r="V200" s="3"/>
      <c r="W200" s="240"/>
      <c r="X200" s="45"/>
      <c r="Y200" s="45"/>
      <c r="Z200" s="45"/>
      <c r="AA200" s="45"/>
      <c r="AB200" s="45"/>
      <c r="AC200" s="45"/>
      <c r="AD200" s="45"/>
      <c r="AE200" s="45"/>
    </row>
    <row r="201" spans="1:31" ht="17.100000000000001" customHeight="1">
      <c r="A201" s="3"/>
      <c r="B201" s="3"/>
      <c r="C201" s="3"/>
      <c r="D201" s="3"/>
      <c r="E201" s="3"/>
      <c r="F201" s="3"/>
      <c r="G201" s="3"/>
      <c r="H201" s="3"/>
      <c r="I201" s="3"/>
      <c r="J201" s="3"/>
      <c r="K201" s="3"/>
      <c r="L201" s="3"/>
      <c r="M201" s="3"/>
      <c r="N201" s="3"/>
      <c r="O201" s="3"/>
      <c r="P201" s="3"/>
      <c r="Q201" s="3"/>
      <c r="R201" s="3"/>
      <c r="S201" s="3"/>
      <c r="T201" s="3"/>
      <c r="U201" s="3"/>
      <c r="V201" s="3"/>
      <c r="W201" s="240"/>
      <c r="X201" s="45"/>
      <c r="Y201" s="45"/>
      <c r="Z201" s="45"/>
      <c r="AA201" s="45"/>
      <c r="AB201" s="45"/>
      <c r="AC201" s="45"/>
      <c r="AD201" s="45"/>
      <c r="AE201" s="45"/>
    </row>
    <row r="202" spans="1:31" ht="17.100000000000001" customHeight="1">
      <c r="A202" s="3"/>
      <c r="B202" s="3"/>
      <c r="C202" s="3"/>
      <c r="D202" s="3"/>
      <c r="E202" s="3"/>
      <c r="F202" s="3"/>
      <c r="G202" s="3"/>
      <c r="H202" s="3"/>
      <c r="I202" s="3"/>
      <c r="J202" s="3"/>
      <c r="K202" s="3"/>
      <c r="L202" s="3"/>
      <c r="M202" s="3"/>
      <c r="N202" s="3"/>
      <c r="O202" s="3"/>
      <c r="P202" s="3"/>
      <c r="Q202" s="3"/>
      <c r="R202" s="3"/>
      <c r="S202" s="3"/>
      <c r="T202" s="3"/>
      <c r="U202" s="3"/>
      <c r="V202" s="3"/>
      <c r="W202" s="240"/>
      <c r="X202" s="45"/>
      <c r="Y202" s="45"/>
      <c r="Z202" s="45"/>
      <c r="AA202" s="45"/>
      <c r="AB202" s="45"/>
      <c r="AC202" s="45"/>
      <c r="AD202" s="45"/>
      <c r="AE202" s="45"/>
    </row>
    <row r="203" spans="1:31" ht="17.100000000000001" customHeight="1">
      <c r="A203" s="3"/>
      <c r="B203" s="3"/>
      <c r="C203" s="3"/>
      <c r="D203" s="3"/>
      <c r="E203" s="3"/>
      <c r="F203" s="3"/>
      <c r="G203" s="3"/>
      <c r="H203" s="3"/>
      <c r="I203" s="3"/>
      <c r="J203" s="3"/>
      <c r="K203" s="3"/>
      <c r="L203" s="3"/>
      <c r="M203" s="3"/>
      <c r="N203" s="3"/>
      <c r="O203" s="3"/>
      <c r="P203" s="3"/>
      <c r="Q203" s="3"/>
      <c r="R203" s="3"/>
      <c r="S203" s="3"/>
      <c r="T203" s="3"/>
      <c r="U203" s="3"/>
      <c r="V203" s="3"/>
      <c r="W203" s="240"/>
      <c r="X203" s="45"/>
      <c r="Y203" s="45"/>
      <c r="Z203" s="45"/>
      <c r="AA203" s="45"/>
      <c r="AB203" s="45"/>
      <c r="AC203" s="45"/>
      <c r="AD203" s="45"/>
      <c r="AE203" s="45"/>
    </row>
    <row r="204" spans="1:31" ht="17.100000000000001" customHeight="1">
      <c r="A204" s="3"/>
      <c r="B204" s="3"/>
      <c r="C204" s="3"/>
      <c r="D204" s="3"/>
      <c r="E204" s="3"/>
      <c r="F204" s="3"/>
      <c r="G204" s="3"/>
      <c r="H204" s="3"/>
      <c r="I204" s="3"/>
      <c r="J204" s="3"/>
      <c r="K204" s="3"/>
      <c r="L204" s="3"/>
      <c r="M204" s="3"/>
      <c r="N204" s="3"/>
      <c r="O204" s="3"/>
      <c r="P204" s="3"/>
      <c r="Q204" s="3"/>
      <c r="R204" s="3"/>
      <c r="S204" s="3"/>
      <c r="T204" s="3"/>
      <c r="U204" s="3"/>
      <c r="V204" s="3"/>
      <c r="W204" s="240"/>
      <c r="X204" s="45"/>
      <c r="Y204" s="45"/>
      <c r="Z204" s="45"/>
      <c r="AA204" s="45"/>
      <c r="AB204" s="45"/>
      <c r="AC204" s="45"/>
      <c r="AD204" s="45"/>
      <c r="AE204" s="45"/>
    </row>
    <row r="205" spans="1:31" ht="17.100000000000001" customHeight="1">
      <c r="A205" s="3"/>
      <c r="B205" s="3"/>
      <c r="C205" s="3"/>
      <c r="D205" s="3"/>
      <c r="E205" s="3"/>
      <c r="F205" s="3"/>
      <c r="G205" s="3"/>
      <c r="H205" s="3"/>
      <c r="I205" s="3"/>
      <c r="J205" s="3"/>
      <c r="K205" s="3"/>
      <c r="L205" s="3"/>
      <c r="M205" s="3"/>
      <c r="N205" s="3"/>
      <c r="O205" s="3"/>
      <c r="P205" s="3"/>
      <c r="Q205" s="3"/>
      <c r="R205" s="3"/>
      <c r="S205" s="3"/>
      <c r="T205" s="3"/>
      <c r="U205" s="3"/>
      <c r="V205" s="3"/>
      <c r="W205" s="240"/>
      <c r="X205" s="45"/>
      <c r="Y205" s="45"/>
      <c r="Z205" s="45"/>
      <c r="AA205" s="45"/>
      <c r="AB205" s="45"/>
      <c r="AC205" s="45"/>
      <c r="AD205" s="45"/>
      <c r="AE205" s="45"/>
    </row>
    <row r="206" spans="1:31" ht="17.100000000000001" customHeight="1">
      <c r="A206" s="3"/>
      <c r="B206" s="3"/>
      <c r="C206" s="3"/>
      <c r="D206" s="3"/>
      <c r="E206" s="3"/>
      <c r="F206" s="3"/>
      <c r="G206" s="3"/>
      <c r="H206" s="3"/>
      <c r="I206" s="3"/>
      <c r="J206" s="3"/>
      <c r="K206" s="3"/>
      <c r="L206" s="3"/>
      <c r="M206" s="3"/>
      <c r="N206" s="3"/>
      <c r="O206" s="3"/>
      <c r="P206" s="3"/>
      <c r="Q206" s="3"/>
      <c r="R206" s="3"/>
      <c r="S206" s="3"/>
      <c r="T206" s="3"/>
      <c r="U206" s="3"/>
      <c r="V206" s="3"/>
      <c r="W206" s="240"/>
      <c r="X206" s="45"/>
      <c r="Y206" s="45"/>
      <c r="Z206" s="45"/>
      <c r="AA206" s="45"/>
      <c r="AB206" s="45"/>
      <c r="AC206" s="45"/>
      <c r="AD206" s="45"/>
      <c r="AE206" s="45"/>
    </row>
    <row r="207" spans="1:31" ht="17.100000000000001" customHeight="1">
      <c r="A207" s="3"/>
      <c r="B207" s="3"/>
      <c r="C207" s="3"/>
      <c r="D207" s="3"/>
      <c r="E207" s="3"/>
      <c r="F207" s="3"/>
      <c r="G207" s="3"/>
      <c r="H207" s="3"/>
      <c r="I207" s="3"/>
      <c r="J207" s="3"/>
      <c r="K207" s="3"/>
      <c r="L207" s="3"/>
      <c r="M207" s="3"/>
      <c r="N207" s="3"/>
      <c r="O207" s="3"/>
      <c r="P207" s="3"/>
      <c r="Q207" s="3"/>
      <c r="R207" s="3"/>
      <c r="S207" s="3"/>
      <c r="T207" s="3"/>
      <c r="U207" s="3"/>
      <c r="V207" s="3"/>
      <c r="W207" s="240"/>
      <c r="X207" s="45"/>
      <c r="Y207" s="45"/>
      <c r="Z207" s="45"/>
      <c r="AA207" s="45"/>
      <c r="AB207" s="45"/>
      <c r="AC207" s="45"/>
      <c r="AD207" s="45"/>
      <c r="AE207" s="45"/>
    </row>
    <row r="208" spans="1:31" ht="17.100000000000001" customHeight="1">
      <c r="A208" s="3"/>
      <c r="B208" s="3"/>
      <c r="C208" s="3"/>
      <c r="D208" s="3"/>
      <c r="E208" s="3"/>
      <c r="F208" s="3"/>
      <c r="G208" s="3"/>
      <c r="H208" s="3"/>
      <c r="I208" s="3"/>
      <c r="J208" s="3"/>
      <c r="K208" s="3"/>
      <c r="L208" s="3"/>
      <c r="M208" s="3"/>
      <c r="N208" s="3"/>
      <c r="O208" s="3"/>
      <c r="P208" s="3"/>
      <c r="Q208" s="3"/>
      <c r="R208" s="3"/>
      <c r="S208" s="3"/>
      <c r="T208" s="3"/>
      <c r="U208" s="3"/>
      <c r="V208" s="3"/>
      <c r="W208" s="240"/>
      <c r="X208" s="45"/>
      <c r="Y208" s="45"/>
      <c r="Z208" s="45"/>
      <c r="AA208" s="45"/>
      <c r="AB208" s="45"/>
      <c r="AC208" s="45"/>
      <c r="AD208" s="45"/>
      <c r="AE208" s="45"/>
    </row>
    <row r="209" spans="1:31" ht="17.100000000000001" customHeight="1">
      <c r="A209" s="3"/>
      <c r="B209" s="3"/>
      <c r="C209" s="3"/>
      <c r="D209" s="3"/>
      <c r="E209" s="3"/>
      <c r="F209" s="3"/>
      <c r="G209" s="3"/>
      <c r="H209" s="3"/>
      <c r="I209" s="3"/>
      <c r="J209" s="3"/>
      <c r="K209" s="3"/>
      <c r="L209" s="3"/>
      <c r="M209" s="3"/>
      <c r="N209" s="3"/>
      <c r="O209" s="3"/>
      <c r="P209" s="3"/>
      <c r="Q209" s="3"/>
      <c r="R209" s="3"/>
      <c r="S209" s="3"/>
      <c r="T209" s="3"/>
      <c r="U209" s="3"/>
      <c r="V209" s="3"/>
      <c r="W209" s="240"/>
      <c r="X209" s="45"/>
      <c r="Y209" s="45"/>
      <c r="Z209" s="45"/>
      <c r="AA209" s="45"/>
      <c r="AB209" s="45"/>
      <c r="AC209" s="45"/>
      <c r="AD209" s="45"/>
      <c r="AE209" s="45"/>
    </row>
    <row r="210" spans="1:31" ht="17.100000000000001" customHeight="1">
      <c r="A210" s="3"/>
      <c r="B210" s="3"/>
      <c r="C210" s="3"/>
      <c r="D210" s="3"/>
      <c r="E210" s="3"/>
      <c r="F210" s="3"/>
      <c r="G210" s="3"/>
      <c r="H210" s="3"/>
      <c r="I210" s="3"/>
      <c r="J210" s="3"/>
      <c r="K210" s="3"/>
      <c r="L210" s="3"/>
      <c r="M210" s="3"/>
      <c r="N210" s="3"/>
      <c r="O210" s="3"/>
      <c r="P210" s="3"/>
      <c r="Q210" s="3"/>
      <c r="R210" s="3"/>
      <c r="S210" s="3"/>
      <c r="T210" s="3"/>
      <c r="U210" s="3"/>
      <c r="V210" s="3"/>
      <c r="W210" s="240"/>
      <c r="X210" s="45"/>
      <c r="Y210" s="45"/>
      <c r="Z210" s="45"/>
      <c r="AA210" s="45"/>
      <c r="AB210" s="45"/>
      <c r="AC210" s="45"/>
      <c r="AD210" s="45"/>
      <c r="AE210" s="45"/>
    </row>
    <row r="211" spans="1:31" ht="17.100000000000001" customHeight="1">
      <c r="A211" s="3"/>
      <c r="B211" s="3"/>
      <c r="C211" s="3"/>
      <c r="D211" s="3"/>
      <c r="E211" s="3"/>
      <c r="F211" s="3"/>
      <c r="G211" s="3"/>
      <c r="H211" s="3"/>
      <c r="I211" s="3"/>
      <c r="J211" s="3"/>
      <c r="K211" s="3"/>
      <c r="L211" s="3"/>
      <c r="M211" s="3"/>
      <c r="N211" s="3"/>
      <c r="O211" s="3"/>
      <c r="P211" s="3"/>
      <c r="Q211" s="3"/>
      <c r="R211" s="3"/>
      <c r="S211" s="3"/>
      <c r="T211" s="3"/>
      <c r="U211" s="3"/>
      <c r="V211" s="3"/>
      <c r="W211" s="240"/>
      <c r="X211" s="45"/>
      <c r="Y211" s="45"/>
      <c r="Z211" s="45"/>
      <c r="AA211" s="45"/>
      <c r="AB211" s="45"/>
      <c r="AC211" s="45"/>
      <c r="AD211" s="45"/>
      <c r="AE211" s="45"/>
    </row>
    <row r="212" spans="1:31" ht="17.100000000000001" customHeight="1">
      <c r="A212" s="3"/>
      <c r="B212" s="3"/>
      <c r="C212" s="3"/>
      <c r="D212" s="3"/>
      <c r="E212" s="3"/>
      <c r="F212" s="3"/>
      <c r="G212" s="3"/>
      <c r="H212" s="3"/>
      <c r="I212" s="3"/>
      <c r="J212" s="3"/>
      <c r="K212" s="3"/>
      <c r="L212" s="3"/>
      <c r="M212" s="3"/>
      <c r="N212" s="3"/>
      <c r="O212" s="3"/>
      <c r="P212" s="3"/>
      <c r="Q212" s="3"/>
      <c r="R212" s="3"/>
      <c r="S212" s="3"/>
      <c r="T212" s="3"/>
      <c r="U212" s="3"/>
      <c r="V212" s="3"/>
      <c r="W212" s="240"/>
      <c r="X212" s="45"/>
      <c r="Y212" s="45"/>
      <c r="Z212" s="45"/>
      <c r="AA212" s="45"/>
      <c r="AB212" s="45"/>
      <c r="AC212" s="45"/>
      <c r="AD212" s="45"/>
      <c r="AE212" s="45"/>
    </row>
    <row r="213" spans="1:31" ht="17.100000000000001" customHeight="1">
      <c r="A213" s="3"/>
      <c r="B213" s="3"/>
      <c r="C213" s="3"/>
      <c r="D213" s="3"/>
      <c r="E213" s="3"/>
      <c r="F213" s="3"/>
      <c r="G213" s="3"/>
      <c r="H213" s="3"/>
      <c r="I213" s="3"/>
      <c r="J213" s="3"/>
      <c r="K213" s="3"/>
      <c r="L213" s="3"/>
      <c r="M213" s="3"/>
      <c r="N213" s="3"/>
      <c r="O213" s="3"/>
      <c r="P213" s="3"/>
      <c r="Q213" s="3"/>
      <c r="R213" s="3"/>
      <c r="S213" s="3"/>
      <c r="T213" s="3"/>
      <c r="U213" s="3"/>
      <c r="V213" s="3"/>
      <c r="W213" s="240"/>
      <c r="X213" s="45"/>
      <c r="Y213" s="45"/>
      <c r="Z213" s="45"/>
      <c r="AA213" s="45"/>
      <c r="AB213" s="45"/>
      <c r="AC213" s="45"/>
      <c r="AD213" s="45"/>
      <c r="AE213" s="4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theme="5" tint="-0.249977111117893"/>
  </sheetPr>
  <dimension ref="A1:BI360"/>
  <sheetViews>
    <sheetView showGridLines="0" workbookViewId="0"/>
  </sheetViews>
  <sheetFormatPr defaultRowHeight="15"/>
  <cols>
    <col min="7" max="7" width="10.875" customWidth="1"/>
  </cols>
  <sheetData>
    <row r="1" spans="1:61" s="22" customFormat="1" ht="30.75" customHeight="1">
      <c r="I1" s="42" t="s">
        <v>4327</v>
      </c>
    </row>
    <row r="2" spans="1:61" s="22" customFormat="1" ht="33.950000000000003" customHeight="1">
      <c r="A2" s="38" t="s">
        <v>2450</v>
      </c>
      <c r="B2" s="38"/>
      <c r="C2" s="38"/>
      <c r="D2" s="38"/>
      <c r="E2" s="38"/>
      <c r="F2" s="38"/>
      <c r="G2" s="38"/>
      <c r="H2" s="38" t="s">
        <v>689</v>
      </c>
      <c r="I2" s="38"/>
      <c r="J2" s="38"/>
      <c r="K2" s="38"/>
      <c r="L2" s="38"/>
      <c r="M2" s="38"/>
      <c r="N2" s="38"/>
      <c r="O2" s="38" t="s">
        <v>2450</v>
      </c>
      <c r="P2" s="38"/>
      <c r="Q2" s="38"/>
      <c r="R2" s="38"/>
      <c r="S2" s="38"/>
      <c r="T2" s="38"/>
      <c r="U2" s="38"/>
      <c r="V2" s="38"/>
      <c r="W2" s="38"/>
      <c r="X2" s="38"/>
      <c r="Y2" s="38"/>
      <c r="Z2" s="38"/>
      <c r="AA2" s="38"/>
      <c r="AB2" s="38"/>
      <c r="AC2" s="38"/>
      <c r="AD2" s="38"/>
      <c r="AE2" s="38" t="s">
        <v>2450</v>
      </c>
      <c r="AF2" s="38"/>
      <c r="AG2" s="38"/>
      <c r="AH2" s="38"/>
      <c r="AI2" s="38"/>
      <c r="AJ2" s="38"/>
      <c r="AK2" s="38"/>
      <c r="AL2" s="38"/>
      <c r="AM2" s="38"/>
      <c r="AN2" s="38"/>
      <c r="AO2" s="38"/>
      <c r="AP2" s="38"/>
      <c r="AQ2" s="38"/>
      <c r="AR2" s="38"/>
      <c r="AS2" s="38"/>
      <c r="AT2" s="38" t="s">
        <v>2450</v>
      </c>
      <c r="AU2" s="38"/>
      <c r="AV2" s="38"/>
      <c r="AW2" s="38"/>
      <c r="AX2" s="38"/>
      <c r="AY2" s="38"/>
      <c r="AZ2" s="38"/>
      <c r="BA2" s="38" t="s">
        <v>2450</v>
      </c>
    </row>
    <row r="3" spans="1:61" ht="18" customHeight="1">
      <c r="A3" s="241" t="s">
        <v>2452</v>
      </c>
      <c r="B3" s="241"/>
      <c r="C3" s="241"/>
      <c r="D3" s="241"/>
      <c r="E3" s="241"/>
      <c r="F3" s="241"/>
      <c r="G3" s="241"/>
      <c r="H3" s="241" t="s">
        <v>2452</v>
      </c>
      <c r="I3" s="241"/>
      <c r="J3" s="241"/>
      <c r="K3" s="241"/>
      <c r="L3" s="241"/>
      <c r="M3" s="241"/>
      <c r="N3" s="241"/>
      <c r="O3" s="241" t="s">
        <v>2452</v>
      </c>
      <c r="P3" s="241"/>
      <c r="Q3" s="241"/>
      <c r="R3" s="241"/>
      <c r="S3" s="241"/>
      <c r="T3" s="241"/>
      <c r="U3" s="241"/>
      <c r="V3" s="241"/>
      <c r="W3" s="241"/>
      <c r="X3" s="241"/>
      <c r="Y3" s="241"/>
      <c r="Z3" s="241"/>
      <c r="AA3" s="241"/>
      <c r="AB3" s="241"/>
      <c r="AC3" s="241"/>
      <c r="AD3" s="241"/>
      <c r="AE3" s="241" t="s">
        <v>2452</v>
      </c>
      <c r="AF3" s="241"/>
      <c r="AG3" s="241"/>
      <c r="AH3" s="241"/>
      <c r="AI3" s="241"/>
      <c r="AJ3" s="241"/>
      <c r="AK3" s="241"/>
      <c r="AL3" s="241"/>
      <c r="AM3" s="241"/>
      <c r="AN3" s="241"/>
      <c r="AO3" s="241"/>
      <c r="AP3" s="241"/>
      <c r="AQ3" s="241"/>
      <c r="AR3" s="241"/>
      <c r="AS3" s="241"/>
      <c r="AT3" s="241" t="s">
        <v>2452</v>
      </c>
      <c r="AU3" s="241"/>
      <c r="AV3" s="241"/>
      <c r="AW3" s="241"/>
      <c r="AX3" s="241"/>
      <c r="AY3" s="241"/>
      <c r="AZ3" s="241"/>
      <c r="BA3" s="241" t="s">
        <v>2452</v>
      </c>
      <c r="BB3" s="242"/>
      <c r="BC3" s="242"/>
      <c r="BD3" s="242"/>
      <c r="BE3" s="242"/>
      <c r="BF3" s="242"/>
      <c r="BG3" s="242"/>
      <c r="BH3" s="242"/>
      <c r="BI3" s="242"/>
    </row>
    <row r="4" spans="1:61" ht="18" customHeight="1">
      <c r="A4" s="241" t="s">
        <v>2690</v>
      </c>
      <c r="B4" s="241"/>
      <c r="C4" s="241"/>
      <c r="D4" s="241"/>
      <c r="E4" s="241"/>
      <c r="F4" s="241"/>
      <c r="G4" s="241"/>
      <c r="H4" s="241" t="s">
        <v>2690</v>
      </c>
      <c r="I4" s="241"/>
      <c r="J4" s="241"/>
      <c r="K4" s="241"/>
      <c r="L4" s="241"/>
      <c r="M4" s="241"/>
      <c r="N4" s="241"/>
      <c r="O4" s="241" t="s">
        <v>2690</v>
      </c>
      <c r="P4" s="241"/>
      <c r="Q4" s="241"/>
      <c r="R4" s="241"/>
      <c r="S4" s="241"/>
      <c r="T4" s="241"/>
      <c r="U4" s="241"/>
      <c r="V4" s="241"/>
      <c r="W4" s="241"/>
      <c r="X4" s="241"/>
      <c r="Y4" s="241"/>
      <c r="Z4" s="241"/>
      <c r="AA4" s="241"/>
      <c r="AB4" s="241"/>
      <c r="AC4" s="241"/>
      <c r="AD4" s="241"/>
      <c r="AE4" s="241" t="s">
        <v>2690</v>
      </c>
      <c r="AF4" s="241"/>
      <c r="AG4" s="241"/>
      <c r="AH4" s="241"/>
      <c r="AI4" s="241"/>
      <c r="AJ4" s="241"/>
      <c r="AK4" s="241"/>
      <c r="AL4" s="241"/>
      <c r="AM4" s="241"/>
      <c r="AN4" s="241"/>
      <c r="AO4" s="241"/>
      <c r="AP4" s="241"/>
      <c r="AQ4" s="241"/>
      <c r="AR4" s="241"/>
      <c r="AS4" s="241"/>
      <c r="AT4" s="241" t="s">
        <v>2690</v>
      </c>
      <c r="AU4" s="241"/>
      <c r="AV4" s="241"/>
      <c r="AW4" s="241"/>
      <c r="AX4" s="241"/>
      <c r="AY4" s="241"/>
      <c r="AZ4" s="241"/>
      <c r="BA4" s="241" t="s">
        <v>2690</v>
      </c>
      <c r="BB4" s="242"/>
      <c r="BC4" s="242"/>
      <c r="BD4" s="242"/>
      <c r="BE4" s="242"/>
      <c r="BF4" s="242"/>
      <c r="BG4" s="242"/>
      <c r="BH4" s="242"/>
      <c r="BI4" s="242"/>
    </row>
    <row r="5" spans="1:61" ht="18" customHeight="1">
      <c r="A5" s="241" t="s">
        <v>2457</v>
      </c>
      <c r="B5" s="241"/>
      <c r="C5" s="241"/>
      <c r="D5" s="241"/>
      <c r="E5" s="241"/>
      <c r="F5" s="241"/>
      <c r="G5" s="241"/>
      <c r="H5" s="241" t="s">
        <v>2457</v>
      </c>
      <c r="I5" s="241"/>
      <c r="J5" s="241"/>
      <c r="K5" s="241"/>
      <c r="L5" s="241"/>
      <c r="M5" s="241"/>
      <c r="N5" s="241"/>
      <c r="O5" s="241" t="s">
        <v>2457</v>
      </c>
      <c r="P5" s="241"/>
      <c r="Q5" s="241"/>
      <c r="R5" s="241"/>
      <c r="S5" s="241"/>
      <c r="T5" s="241"/>
      <c r="U5" s="241"/>
      <c r="V5" s="241"/>
      <c r="W5" s="241"/>
      <c r="X5" s="241"/>
      <c r="Y5" s="241"/>
      <c r="Z5" s="241"/>
      <c r="AA5" s="241"/>
      <c r="AB5" s="241"/>
      <c r="AC5" s="241"/>
      <c r="AD5" s="241"/>
      <c r="AE5" s="241" t="s">
        <v>2457</v>
      </c>
      <c r="AF5" s="241"/>
      <c r="AG5" s="241"/>
      <c r="AH5" s="241"/>
      <c r="AI5" s="241"/>
      <c r="AJ5" s="241"/>
      <c r="AK5" s="241"/>
      <c r="AL5" s="241"/>
      <c r="AM5" s="241"/>
      <c r="AN5" s="241"/>
      <c r="AO5" s="241"/>
      <c r="AP5" s="241"/>
      <c r="AQ5" s="241"/>
      <c r="AR5" s="241"/>
      <c r="AS5" s="241"/>
      <c r="AT5" s="241" t="s">
        <v>2457</v>
      </c>
      <c r="AU5" s="241"/>
      <c r="AV5" s="241"/>
      <c r="AW5" s="241"/>
      <c r="AX5" s="241"/>
      <c r="AY5" s="241"/>
      <c r="AZ5" s="241"/>
      <c r="BA5" s="241" t="s">
        <v>2457</v>
      </c>
      <c r="BB5" s="242"/>
      <c r="BC5" s="242"/>
      <c r="BD5" s="242"/>
      <c r="BE5" s="242"/>
      <c r="BF5" s="242"/>
      <c r="BG5" s="242"/>
      <c r="BH5" s="242"/>
      <c r="BI5" s="242"/>
    </row>
    <row r="6" spans="1:61" ht="18" customHeight="1">
      <c r="A6" s="241"/>
      <c r="B6" s="241"/>
      <c r="C6" s="241"/>
      <c r="D6" s="241"/>
      <c r="E6" s="241"/>
      <c r="F6" s="241"/>
      <c r="G6" s="241"/>
      <c r="H6" s="241"/>
      <c r="I6" s="241"/>
      <c r="J6" s="241"/>
      <c r="K6" s="241"/>
      <c r="L6" s="241"/>
      <c r="M6" s="241"/>
      <c r="N6" s="241"/>
      <c r="O6" s="241"/>
      <c r="P6" s="241"/>
      <c r="Q6" s="24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2"/>
      <c r="BC6" s="242"/>
      <c r="BD6" s="242"/>
      <c r="BE6" s="242"/>
      <c r="BF6" s="242"/>
      <c r="BG6" s="242"/>
      <c r="BH6" s="242"/>
      <c r="BI6" s="242"/>
    </row>
    <row r="7" spans="1:61" ht="18" customHeight="1">
      <c r="A7" s="241" t="s">
        <v>2463</v>
      </c>
      <c r="B7" s="241"/>
      <c r="C7" s="241"/>
      <c r="D7" s="241"/>
      <c r="E7" s="241"/>
      <c r="F7" s="241"/>
      <c r="G7" s="241"/>
      <c r="H7" s="241" t="s">
        <v>2691</v>
      </c>
      <c r="I7" s="241"/>
      <c r="J7" s="241"/>
      <c r="K7" s="241"/>
      <c r="L7" s="241"/>
      <c r="M7" s="241"/>
      <c r="N7" s="241"/>
      <c r="O7" s="241" t="s">
        <v>2692</v>
      </c>
      <c r="P7" s="241"/>
      <c r="Q7" s="241"/>
      <c r="R7" s="241"/>
      <c r="S7" s="241"/>
      <c r="T7" s="241"/>
      <c r="U7" s="241"/>
      <c r="V7" s="241"/>
      <c r="W7" s="241"/>
      <c r="X7" s="241"/>
      <c r="Y7" s="241"/>
      <c r="Z7" s="241"/>
      <c r="AA7" s="241"/>
      <c r="AB7" s="241"/>
      <c r="AC7" s="241"/>
      <c r="AD7" s="241"/>
      <c r="AE7" s="241" t="s">
        <v>2693</v>
      </c>
      <c r="AF7" s="241"/>
      <c r="AG7" s="241"/>
      <c r="AH7" s="241"/>
      <c r="AI7" s="241"/>
      <c r="AJ7" s="241"/>
      <c r="AK7" s="241"/>
      <c r="AL7" s="241"/>
      <c r="AM7" s="241"/>
      <c r="AN7" s="241"/>
      <c r="AO7" s="241"/>
      <c r="AP7" s="241"/>
      <c r="AQ7" s="241"/>
      <c r="AR7" s="241"/>
      <c r="AS7" s="241"/>
      <c r="AT7" s="241" t="s">
        <v>2694</v>
      </c>
      <c r="AU7" s="241"/>
      <c r="AV7" s="241"/>
      <c r="AW7" s="241"/>
      <c r="AX7" s="241"/>
      <c r="AY7" s="241"/>
      <c r="AZ7" s="241"/>
      <c r="BA7" s="241" t="s">
        <v>2695</v>
      </c>
      <c r="BB7" s="242"/>
      <c r="BC7" s="242"/>
      <c r="BD7" s="242"/>
      <c r="BE7" s="242"/>
      <c r="BF7" s="242"/>
      <c r="BG7" s="242"/>
      <c r="BH7" s="242"/>
      <c r="BI7" s="242"/>
    </row>
    <row r="8" spans="1:61" ht="18" customHeight="1">
      <c r="A8" s="241" t="s">
        <v>2450</v>
      </c>
      <c r="B8" s="241"/>
      <c r="C8" s="241"/>
      <c r="D8" s="241"/>
      <c r="E8" s="241"/>
      <c r="F8" s="241"/>
      <c r="G8" s="241"/>
      <c r="H8" s="241" t="s">
        <v>689</v>
      </c>
      <c r="I8" s="241"/>
      <c r="J8" s="241"/>
      <c r="K8" s="241"/>
      <c r="L8" s="241"/>
      <c r="M8" s="241"/>
      <c r="N8" s="241"/>
      <c r="O8" s="241" t="s">
        <v>2450</v>
      </c>
      <c r="P8" s="241"/>
      <c r="Q8" s="241"/>
      <c r="R8" s="241"/>
      <c r="S8" s="241"/>
      <c r="T8" s="241"/>
      <c r="U8" s="241"/>
      <c r="V8" s="241"/>
      <c r="W8" s="241"/>
      <c r="X8" s="241"/>
      <c r="Y8" s="241"/>
      <c r="Z8" s="241"/>
      <c r="AA8" s="241"/>
      <c r="AB8" s="241"/>
      <c r="AC8" s="241"/>
      <c r="AD8" s="241"/>
      <c r="AE8" s="241" t="s">
        <v>2450</v>
      </c>
      <c r="AF8" s="241"/>
      <c r="AG8" s="241"/>
      <c r="AH8" s="241"/>
      <c r="AI8" s="241"/>
      <c r="AJ8" s="241"/>
      <c r="AK8" s="241"/>
      <c r="AL8" s="241"/>
      <c r="AM8" s="241"/>
      <c r="AN8" s="241"/>
      <c r="AO8" s="241"/>
      <c r="AP8" s="241"/>
      <c r="AQ8" s="241"/>
      <c r="AR8" s="241"/>
      <c r="AS8" s="241"/>
      <c r="AT8" s="241" t="s">
        <v>2450</v>
      </c>
      <c r="AU8" s="241"/>
      <c r="AV8" s="241"/>
      <c r="AW8" s="241"/>
      <c r="AX8" s="241"/>
      <c r="AY8" s="241"/>
      <c r="AZ8" s="241"/>
      <c r="BA8" s="241" t="s">
        <v>2450</v>
      </c>
      <c r="BB8" s="242"/>
      <c r="BC8" s="242"/>
      <c r="BD8" s="242"/>
      <c r="BE8" s="242"/>
      <c r="BF8" s="242"/>
      <c r="BG8" s="242"/>
      <c r="BH8" s="242"/>
      <c r="BI8" s="242"/>
    </row>
    <row r="9" spans="1:61" ht="18" customHeight="1">
      <c r="A9" s="241"/>
      <c r="B9" s="241"/>
      <c r="C9" s="241"/>
      <c r="D9" s="241"/>
      <c r="E9" s="241"/>
      <c r="F9" s="241"/>
      <c r="G9" s="241"/>
      <c r="H9" s="241"/>
      <c r="I9" s="241"/>
      <c r="J9" s="241"/>
      <c r="K9" s="241"/>
      <c r="L9" s="241"/>
      <c r="M9" s="241"/>
      <c r="N9" s="241"/>
      <c r="O9" s="241" t="s">
        <v>2696</v>
      </c>
      <c r="P9" s="241"/>
      <c r="Q9" s="241"/>
      <c r="R9" s="241"/>
      <c r="S9" s="241"/>
      <c r="T9" s="241"/>
      <c r="U9" s="241"/>
      <c r="V9" s="241"/>
      <c r="W9" s="241"/>
      <c r="X9" s="241"/>
      <c r="Y9" s="241"/>
      <c r="Z9" s="241"/>
      <c r="AA9" s="241"/>
      <c r="AB9" s="241"/>
      <c r="AC9" s="241"/>
      <c r="AD9" s="241"/>
      <c r="AE9" s="241" t="s">
        <v>2697</v>
      </c>
      <c r="AF9" s="241"/>
      <c r="AG9" s="241"/>
      <c r="AH9" s="241"/>
      <c r="AI9" s="241"/>
      <c r="AJ9" s="241"/>
      <c r="AK9" s="241"/>
      <c r="AL9" s="241"/>
      <c r="AM9" s="241"/>
      <c r="AN9" s="241"/>
      <c r="AO9" s="241"/>
      <c r="AP9" s="241"/>
      <c r="AQ9" s="241"/>
      <c r="AR9" s="241"/>
      <c r="AS9" s="241"/>
      <c r="AT9" s="241"/>
      <c r="AU9" s="241"/>
      <c r="AV9" s="241"/>
      <c r="AW9" s="241"/>
      <c r="AX9" s="241"/>
      <c r="AY9" s="241"/>
      <c r="AZ9" s="241"/>
      <c r="BA9" s="241"/>
      <c r="BB9" s="242"/>
      <c r="BC9" s="242"/>
      <c r="BD9" s="242"/>
      <c r="BE9" s="242"/>
      <c r="BF9" s="242"/>
      <c r="BG9" s="242"/>
      <c r="BH9" s="242"/>
      <c r="BI9" s="242"/>
    </row>
    <row r="10" spans="1:61" ht="18" customHeight="1">
      <c r="A10" s="241" t="s">
        <v>2698</v>
      </c>
      <c r="B10" s="241"/>
      <c r="C10" s="241"/>
      <c r="D10" s="241"/>
      <c r="E10" s="241"/>
      <c r="F10" s="241"/>
      <c r="G10" s="241"/>
      <c r="H10" s="241" t="s">
        <v>2699</v>
      </c>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t="s">
        <v>2700</v>
      </c>
      <c r="AU10" s="241"/>
      <c r="AV10" s="241"/>
      <c r="AW10" s="241"/>
      <c r="AX10" s="241"/>
      <c r="AY10" s="241"/>
      <c r="AZ10" s="241"/>
      <c r="BA10" s="241" t="s">
        <v>2700</v>
      </c>
      <c r="BB10" s="242"/>
      <c r="BC10" s="242"/>
      <c r="BD10" s="242"/>
      <c r="BE10" s="242"/>
      <c r="BF10" s="242"/>
      <c r="BG10" s="242"/>
      <c r="BH10" s="242"/>
      <c r="BI10" s="242"/>
    </row>
    <row r="11" spans="1:61" ht="18" customHeight="1">
      <c r="A11" s="241" t="s">
        <v>2450</v>
      </c>
      <c r="B11" s="241"/>
      <c r="C11" s="241"/>
      <c r="D11" s="241"/>
      <c r="E11" s="241"/>
      <c r="F11" s="241"/>
      <c r="G11" s="241"/>
      <c r="H11" s="241" t="s">
        <v>2701</v>
      </c>
      <c r="I11" s="241"/>
      <c r="J11" s="241"/>
      <c r="K11" s="241"/>
      <c r="L11" s="241"/>
      <c r="M11" s="241"/>
      <c r="N11" s="241"/>
      <c r="O11" s="241" t="s">
        <v>2702</v>
      </c>
      <c r="P11" s="241"/>
      <c r="Q11" s="241"/>
      <c r="R11" s="241"/>
      <c r="S11" s="241"/>
      <c r="T11" s="241"/>
      <c r="U11" s="241"/>
      <c r="V11" s="241"/>
      <c r="W11" s="241"/>
      <c r="X11" s="241"/>
      <c r="Y11" s="241"/>
      <c r="Z11" s="241"/>
      <c r="AA11" s="241"/>
      <c r="AB11" s="241"/>
      <c r="AC11" s="241"/>
      <c r="AD11" s="241"/>
      <c r="AE11" s="241" t="s">
        <v>2700</v>
      </c>
      <c r="AF11" s="241"/>
      <c r="AG11" s="241"/>
      <c r="AH11" s="241"/>
      <c r="AI11" s="241"/>
      <c r="AJ11" s="241"/>
      <c r="AK11" s="241"/>
      <c r="AL11" s="241"/>
      <c r="AM11" s="241"/>
      <c r="AN11" s="241"/>
      <c r="AO11" s="241"/>
      <c r="AP11" s="241"/>
      <c r="AQ11" s="241"/>
      <c r="AR11" s="241"/>
      <c r="AS11" s="241"/>
      <c r="AT11" s="241" t="s">
        <v>2703</v>
      </c>
      <c r="AU11" s="241"/>
      <c r="AV11" s="241"/>
      <c r="AW11" s="241"/>
      <c r="AX11" s="241"/>
      <c r="AY11" s="241"/>
      <c r="AZ11" s="241"/>
      <c r="BA11" s="241" t="s">
        <v>2704</v>
      </c>
      <c r="BB11" s="242"/>
      <c r="BC11" s="242"/>
      <c r="BD11" s="242"/>
      <c r="BE11" s="242"/>
      <c r="BF11" s="242"/>
      <c r="BG11" s="242"/>
      <c r="BH11" s="242"/>
      <c r="BI11" s="242"/>
    </row>
    <row r="12" spans="1:61" ht="18" customHeight="1">
      <c r="A12" s="241" t="s">
        <v>2452</v>
      </c>
      <c r="B12" s="241"/>
      <c r="C12" s="241"/>
      <c r="D12" s="241"/>
      <c r="E12" s="241"/>
      <c r="F12" s="241"/>
      <c r="G12" s="241"/>
      <c r="H12" s="241" t="s">
        <v>2705</v>
      </c>
      <c r="I12" s="241"/>
      <c r="J12" s="241"/>
      <c r="K12" s="241"/>
      <c r="L12" s="241"/>
      <c r="M12" s="241"/>
      <c r="N12" s="241"/>
      <c r="O12" s="241"/>
      <c r="P12" s="241"/>
      <c r="Q12" s="241"/>
      <c r="R12" s="241"/>
      <c r="S12" s="241"/>
      <c r="T12" s="241"/>
      <c r="U12" s="241"/>
      <c r="V12" s="241"/>
      <c r="W12" s="241"/>
      <c r="X12" s="241"/>
      <c r="Y12" s="241"/>
      <c r="Z12" s="241"/>
      <c r="AA12" s="241"/>
      <c r="AB12" s="241"/>
      <c r="AC12" s="241"/>
      <c r="AD12" s="241"/>
      <c r="AE12" s="241" t="s">
        <v>2706</v>
      </c>
      <c r="AF12" s="241"/>
      <c r="AG12" s="241"/>
      <c r="AH12" s="241"/>
      <c r="AI12" s="241"/>
      <c r="AJ12" s="241"/>
      <c r="AK12" s="241"/>
      <c r="AL12" s="241"/>
      <c r="AM12" s="241"/>
      <c r="AN12" s="241"/>
      <c r="AO12" s="241"/>
      <c r="AP12" s="241"/>
      <c r="AQ12" s="241"/>
      <c r="AR12" s="241"/>
      <c r="AS12" s="241"/>
      <c r="AT12" s="241" t="s">
        <v>2707</v>
      </c>
      <c r="AU12" s="241"/>
      <c r="AV12" s="241"/>
      <c r="AW12" s="241"/>
      <c r="AX12" s="241"/>
      <c r="AY12" s="241"/>
      <c r="AZ12" s="241"/>
      <c r="BA12" s="241" t="s">
        <v>2708</v>
      </c>
      <c r="BB12" s="242"/>
      <c r="BC12" s="242"/>
      <c r="BD12" s="242"/>
      <c r="BE12" s="242"/>
      <c r="BF12" s="242"/>
      <c r="BG12" s="242"/>
      <c r="BH12" s="242"/>
      <c r="BI12" s="242"/>
    </row>
    <row r="13" spans="1:61" ht="18" customHeight="1">
      <c r="A13" s="241" t="s">
        <v>2690</v>
      </c>
      <c r="B13" s="241"/>
      <c r="C13" s="241"/>
      <c r="D13" s="241"/>
      <c r="E13" s="241"/>
      <c r="F13" s="241"/>
      <c r="G13" s="241"/>
      <c r="H13" s="241" t="s">
        <v>2709</v>
      </c>
      <c r="I13" s="241"/>
      <c r="J13" s="241"/>
      <c r="K13" s="241"/>
      <c r="L13" s="241"/>
      <c r="M13" s="241"/>
      <c r="N13" s="241"/>
      <c r="O13" s="241" t="s">
        <v>2710</v>
      </c>
      <c r="P13" s="241"/>
      <c r="Q13" s="24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t="s">
        <v>2711</v>
      </c>
      <c r="AU13" s="241"/>
      <c r="AV13" s="241"/>
      <c r="AW13" s="241"/>
      <c r="AX13" s="241"/>
      <c r="AY13" s="241"/>
      <c r="AZ13" s="241"/>
      <c r="BA13" s="241"/>
      <c r="BB13" s="242"/>
      <c r="BC13" s="242"/>
      <c r="BD13" s="242"/>
      <c r="BE13" s="242"/>
      <c r="BF13" s="242"/>
      <c r="BG13" s="242"/>
      <c r="BH13" s="242"/>
      <c r="BI13" s="242"/>
    </row>
    <row r="14" spans="1:61" ht="18" customHeight="1">
      <c r="A14" s="241" t="s">
        <v>2457</v>
      </c>
      <c r="B14" s="241"/>
      <c r="C14" s="241"/>
      <c r="D14" s="241"/>
      <c r="E14" s="241"/>
      <c r="F14" s="241"/>
      <c r="G14" s="241"/>
      <c r="H14" s="241" t="s">
        <v>2712</v>
      </c>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t="s">
        <v>2700</v>
      </c>
      <c r="AF14" s="241"/>
      <c r="AG14" s="241"/>
      <c r="AH14" s="241"/>
      <c r="AI14" s="241"/>
      <c r="AJ14" s="241"/>
      <c r="AK14" s="241"/>
      <c r="AL14" s="241"/>
      <c r="AM14" s="241"/>
      <c r="AN14" s="241"/>
      <c r="AO14" s="241"/>
      <c r="AP14" s="241"/>
      <c r="AQ14" s="241"/>
      <c r="AR14" s="241"/>
      <c r="AS14" s="241"/>
      <c r="AT14" s="241" t="s">
        <v>2713</v>
      </c>
      <c r="AU14" s="241"/>
      <c r="AV14" s="241"/>
      <c r="AW14" s="241"/>
      <c r="AX14" s="241"/>
      <c r="AY14" s="241"/>
      <c r="AZ14" s="241"/>
      <c r="BA14" s="241" t="s">
        <v>2700</v>
      </c>
      <c r="BB14" s="242"/>
      <c r="BC14" s="242"/>
      <c r="BD14" s="242"/>
      <c r="BE14" s="242"/>
      <c r="BF14" s="242"/>
      <c r="BG14" s="242"/>
      <c r="BH14" s="242"/>
      <c r="BI14" s="242"/>
    </row>
    <row r="15" spans="1:61" ht="18" customHeight="1">
      <c r="A15" s="241"/>
      <c r="B15" s="241"/>
      <c r="C15" s="241"/>
      <c r="D15" s="241"/>
      <c r="E15" s="241"/>
      <c r="F15" s="241"/>
      <c r="G15" s="241"/>
      <c r="H15" s="241" t="s">
        <v>2714</v>
      </c>
      <c r="I15" s="241"/>
      <c r="J15" s="241"/>
      <c r="K15" s="241"/>
      <c r="L15" s="241"/>
      <c r="M15" s="241"/>
      <c r="N15" s="241"/>
      <c r="O15" s="241" t="s">
        <v>2715</v>
      </c>
      <c r="P15" s="241"/>
      <c r="Q15" s="241"/>
      <c r="R15" s="241"/>
      <c r="S15" s="241"/>
      <c r="T15" s="241"/>
      <c r="U15" s="241"/>
      <c r="V15" s="241"/>
      <c r="W15" s="241"/>
      <c r="X15" s="241"/>
      <c r="Y15" s="241"/>
      <c r="Z15" s="241"/>
      <c r="AA15" s="241"/>
      <c r="AB15" s="241"/>
      <c r="AC15" s="241"/>
      <c r="AD15" s="241"/>
      <c r="AE15" s="241" t="s">
        <v>2716</v>
      </c>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t="s">
        <v>2717</v>
      </c>
      <c r="BB15" s="242"/>
      <c r="BC15" s="242"/>
      <c r="BD15" s="242"/>
      <c r="BE15" s="242"/>
      <c r="BF15" s="242"/>
      <c r="BG15" s="242"/>
      <c r="BH15" s="242"/>
      <c r="BI15" s="242"/>
    </row>
    <row r="16" spans="1:61" ht="18" customHeight="1">
      <c r="A16" s="241" t="s">
        <v>2463</v>
      </c>
      <c r="B16" s="241"/>
      <c r="C16" s="241"/>
      <c r="D16" s="241"/>
      <c r="E16" s="241"/>
      <c r="F16" s="241"/>
      <c r="G16" s="241"/>
      <c r="H16" s="241" t="s">
        <v>2718</v>
      </c>
      <c r="I16" s="241"/>
      <c r="J16" s="241"/>
      <c r="K16" s="241"/>
      <c r="L16" s="241"/>
      <c r="M16" s="241"/>
      <c r="N16" s="241"/>
      <c r="O16" s="241" t="s">
        <v>2719</v>
      </c>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t="s">
        <v>2700</v>
      </c>
      <c r="AU16" s="241"/>
      <c r="AV16" s="241"/>
      <c r="AW16" s="241"/>
      <c r="AX16" s="241"/>
      <c r="AY16" s="241"/>
      <c r="AZ16" s="241"/>
      <c r="BA16" s="241" t="s">
        <v>2720</v>
      </c>
      <c r="BB16" s="242"/>
      <c r="BC16" s="242"/>
      <c r="BD16" s="242"/>
      <c r="BE16" s="242"/>
      <c r="BF16" s="242"/>
      <c r="BG16" s="242"/>
      <c r="BH16" s="242"/>
      <c r="BI16" s="242"/>
    </row>
    <row r="17" spans="1:61" ht="18" customHeight="1">
      <c r="A17" s="241" t="s">
        <v>2450</v>
      </c>
      <c r="B17" s="241"/>
      <c r="C17" s="241"/>
      <c r="D17" s="241"/>
      <c r="E17" s="241"/>
      <c r="F17" s="241"/>
      <c r="G17" s="241"/>
      <c r="H17" s="241"/>
      <c r="I17" s="241"/>
      <c r="J17" s="241"/>
      <c r="K17" s="241"/>
      <c r="L17" s="241"/>
      <c r="M17" s="241"/>
      <c r="N17" s="241"/>
      <c r="O17" s="241" t="s">
        <v>2721</v>
      </c>
      <c r="P17" s="241"/>
      <c r="Q17" s="241"/>
      <c r="R17" s="241"/>
      <c r="S17" s="241"/>
      <c r="T17" s="241"/>
      <c r="U17" s="241"/>
      <c r="V17" s="241"/>
      <c r="W17" s="241"/>
      <c r="X17" s="241"/>
      <c r="Y17" s="241"/>
      <c r="Z17" s="241"/>
      <c r="AA17" s="241"/>
      <c r="AB17" s="241"/>
      <c r="AC17" s="241"/>
      <c r="AD17" s="241"/>
      <c r="AE17" s="241" t="s">
        <v>2700</v>
      </c>
      <c r="AF17" s="241"/>
      <c r="AG17" s="241"/>
      <c r="AH17" s="241"/>
      <c r="AI17" s="241"/>
      <c r="AJ17" s="241"/>
      <c r="AK17" s="241"/>
      <c r="AL17" s="241"/>
      <c r="AM17" s="241"/>
      <c r="AN17" s="241"/>
      <c r="AO17" s="241"/>
      <c r="AP17" s="241"/>
      <c r="AQ17" s="241"/>
      <c r="AR17" s="241"/>
      <c r="AS17" s="241"/>
      <c r="AT17" s="241" t="s">
        <v>2722</v>
      </c>
      <c r="AU17" s="241"/>
      <c r="AV17" s="241"/>
      <c r="AW17" s="241"/>
      <c r="AX17" s="241"/>
      <c r="AY17" s="241"/>
      <c r="AZ17" s="241"/>
      <c r="BA17" s="241"/>
      <c r="BB17" s="242"/>
      <c r="BC17" s="242"/>
      <c r="BD17" s="242"/>
      <c r="BE17" s="242"/>
      <c r="BF17" s="242"/>
      <c r="BG17" s="242"/>
      <c r="BH17" s="242"/>
      <c r="BI17" s="242"/>
    </row>
    <row r="18" spans="1:61" ht="18" customHeight="1">
      <c r="A18" s="241"/>
      <c r="B18" s="241"/>
      <c r="C18" s="241"/>
      <c r="D18" s="241"/>
      <c r="E18" s="241"/>
      <c r="F18" s="241"/>
      <c r="G18" s="241"/>
      <c r="H18" s="241" t="s">
        <v>2699</v>
      </c>
      <c r="I18" s="241"/>
      <c r="J18" s="241"/>
      <c r="K18" s="241"/>
      <c r="L18" s="241"/>
      <c r="M18" s="241"/>
      <c r="N18" s="241"/>
      <c r="O18" s="241" t="s">
        <v>2723</v>
      </c>
      <c r="P18" s="241"/>
      <c r="Q18" s="241"/>
      <c r="R18" s="241"/>
      <c r="S18" s="241"/>
      <c r="T18" s="241"/>
      <c r="U18" s="241"/>
      <c r="V18" s="241"/>
      <c r="W18" s="241"/>
      <c r="X18" s="241"/>
      <c r="Y18" s="241"/>
      <c r="Z18" s="241"/>
      <c r="AA18" s="241"/>
      <c r="AB18" s="241"/>
      <c r="AC18" s="241"/>
      <c r="AD18" s="241"/>
      <c r="AE18" s="241" t="s">
        <v>2724</v>
      </c>
      <c r="AF18" s="241"/>
      <c r="AG18" s="241"/>
      <c r="AH18" s="241"/>
      <c r="AI18" s="241"/>
      <c r="AJ18" s="241"/>
      <c r="AK18" s="241"/>
      <c r="AL18" s="241"/>
      <c r="AM18" s="241"/>
      <c r="AN18" s="241"/>
      <c r="AO18" s="241"/>
      <c r="AP18" s="241"/>
      <c r="AQ18" s="241"/>
      <c r="AR18" s="241"/>
      <c r="AS18" s="241"/>
      <c r="AT18" s="241" t="s">
        <v>2725</v>
      </c>
      <c r="AU18" s="241"/>
      <c r="AV18" s="241"/>
      <c r="AW18" s="241"/>
      <c r="AX18" s="241"/>
      <c r="AY18" s="241"/>
      <c r="AZ18" s="241"/>
      <c r="BA18" s="241" t="s">
        <v>2700</v>
      </c>
      <c r="BB18" s="242"/>
      <c r="BC18" s="242"/>
      <c r="BD18" s="242"/>
      <c r="BE18" s="242"/>
      <c r="BF18" s="242"/>
      <c r="BG18" s="242"/>
      <c r="BH18" s="242"/>
      <c r="BI18" s="242"/>
    </row>
    <row r="19" spans="1:61" ht="18" customHeight="1">
      <c r="A19" s="241" t="s">
        <v>2698</v>
      </c>
      <c r="B19" s="241"/>
      <c r="C19" s="241"/>
      <c r="D19" s="241"/>
      <c r="E19" s="241"/>
      <c r="F19" s="241"/>
      <c r="G19" s="241"/>
      <c r="H19" s="241" t="s">
        <v>2726</v>
      </c>
      <c r="I19" s="241"/>
      <c r="J19" s="241"/>
      <c r="K19" s="241"/>
      <c r="L19" s="241"/>
      <c r="M19" s="241"/>
      <c r="N19" s="241"/>
      <c r="O19" s="241" t="s">
        <v>2727</v>
      </c>
      <c r="P19" s="241"/>
      <c r="Q19" s="24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t="s">
        <v>2711</v>
      </c>
      <c r="AU19" s="241"/>
      <c r="AV19" s="241"/>
      <c r="AW19" s="241"/>
      <c r="AX19" s="241"/>
      <c r="AY19" s="241"/>
      <c r="AZ19" s="241"/>
      <c r="BA19" s="241" t="s">
        <v>2728</v>
      </c>
      <c r="BB19" s="242"/>
      <c r="BC19" s="242"/>
      <c r="BD19" s="242"/>
      <c r="BE19" s="242"/>
      <c r="BF19" s="242"/>
      <c r="BG19" s="242"/>
      <c r="BH19" s="242"/>
      <c r="BI19" s="242"/>
    </row>
    <row r="20" spans="1:61" ht="18" customHeight="1">
      <c r="A20" s="241" t="s">
        <v>2729</v>
      </c>
      <c r="B20" s="241"/>
      <c r="C20" s="241"/>
      <c r="D20" s="241"/>
      <c r="E20" s="241"/>
      <c r="F20" s="241"/>
      <c r="G20" s="241"/>
      <c r="H20" s="241" t="s">
        <v>2705</v>
      </c>
      <c r="I20" s="241"/>
      <c r="J20" s="241"/>
      <c r="K20" s="241"/>
      <c r="L20" s="241"/>
      <c r="M20" s="241"/>
      <c r="N20" s="241"/>
      <c r="O20" s="241" t="s">
        <v>2730</v>
      </c>
      <c r="P20" s="241"/>
      <c r="Q20" s="241"/>
      <c r="R20" s="241"/>
      <c r="S20" s="241"/>
      <c r="T20" s="241"/>
      <c r="U20" s="241"/>
      <c r="V20" s="241"/>
      <c r="W20" s="241"/>
      <c r="X20" s="241"/>
      <c r="Y20" s="241"/>
      <c r="Z20" s="241"/>
      <c r="AA20" s="241"/>
      <c r="AB20" s="241"/>
      <c r="AC20" s="241"/>
      <c r="AD20" s="241"/>
      <c r="AE20" s="241" t="s">
        <v>2700</v>
      </c>
      <c r="AF20" s="241"/>
      <c r="AG20" s="241"/>
      <c r="AH20" s="241"/>
      <c r="AI20" s="241"/>
      <c r="AJ20" s="241"/>
      <c r="AK20" s="241"/>
      <c r="AL20" s="241"/>
      <c r="AM20" s="241"/>
      <c r="AN20" s="241"/>
      <c r="AO20" s="241"/>
      <c r="AP20" s="241"/>
      <c r="AQ20" s="241"/>
      <c r="AR20" s="241"/>
      <c r="AS20" s="241"/>
      <c r="AT20" s="241" t="s">
        <v>2713</v>
      </c>
      <c r="AU20" s="241"/>
      <c r="AV20" s="241"/>
      <c r="AW20" s="241"/>
      <c r="AX20" s="241"/>
      <c r="AY20" s="241"/>
      <c r="AZ20" s="241"/>
      <c r="BA20" s="241" t="s">
        <v>2731</v>
      </c>
      <c r="BB20" s="242"/>
      <c r="BC20" s="242"/>
      <c r="BD20" s="242"/>
      <c r="BE20" s="242"/>
      <c r="BF20" s="242"/>
      <c r="BG20" s="242"/>
      <c r="BH20" s="242"/>
      <c r="BI20" s="242"/>
    </row>
    <row r="21" spans="1:61" ht="18" customHeight="1">
      <c r="A21" s="241"/>
      <c r="B21" s="241"/>
      <c r="C21" s="241"/>
      <c r="D21" s="241"/>
      <c r="E21" s="241"/>
      <c r="F21" s="241"/>
      <c r="G21" s="241"/>
      <c r="H21" s="241" t="s">
        <v>2709</v>
      </c>
      <c r="I21" s="241"/>
      <c r="J21" s="241"/>
      <c r="K21" s="241"/>
      <c r="L21" s="241"/>
      <c r="M21" s="241"/>
      <c r="N21" s="241"/>
      <c r="O21" s="241" t="s">
        <v>2732</v>
      </c>
      <c r="P21" s="241"/>
      <c r="Q21" s="241"/>
      <c r="R21" s="241"/>
      <c r="S21" s="241"/>
      <c r="T21" s="241"/>
      <c r="U21" s="241"/>
      <c r="V21" s="241"/>
      <c r="W21" s="241"/>
      <c r="X21" s="241"/>
      <c r="Y21" s="241"/>
      <c r="Z21" s="241"/>
      <c r="AA21" s="241"/>
      <c r="AB21" s="241"/>
      <c r="AC21" s="241"/>
      <c r="AD21" s="241"/>
      <c r="AE21" s="241" t="s">
        <v>2733</v>
      </c>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2"/>
      <c r="BC21" s="242"/>
      <c r="BD21" s="242"/>
      <c r="BE21" s="242"/>
      <c r="BF21" s="242"/>
      <c r="BG21" s="242"/>
      <c r="BH21" s="242"/>
      <c r="BI21" s="242"/>
    </row>
    <row r="22" spans="1:61" ht="18" customHeight="1">
      <c r="A22" s="241" t="s">
        <v>2734</v>
      </c>
      <c r="B22" s="241"/>
      <c r="C22" s="241"/>
      <c r="D22" s="241"/>
      <c r="E22" s="241"/>
      <c r="F22" s="241"/>
      <c r="G22" s="241"/>
      <c r="H22" s="241" t="s">
        <v>2712</v>
      </c>
      <c r="I22" s="241"/>
      <c r="J22" s="241"/>
      <c r="K22" s="241"/>
      <c r="L22" s="241"/>
      <c r="M22" s="241"/>
      <c r="N22" s="241"/>
      <c r="O22" s="241"/>
      <c r="P22" s="241"/>
      <c r="Q22" s="241"/>
      <c r="R22" s="241"/>
      <c r="S22" s="241"/>
      <c r="T22" s="241"/>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t="s">
        <v>2700</v>
      </c>
      <c r="AU22" s="241"/>
      <c r="AV22" s="241"/>
      <c r="AW22" s="241"/>
      <c r="AX22" s="241"/>
      <c r="AY22" s="241"/>
      <c r="AZ22" s="241"/>
      <c r="BA22" s="241" t="s">
        <v>2700</v>
      </c>
      <c r="BB22" s="242"/>
      <c r="BC22" s="242"/>
      <c r="BD22" s="242"/>
      <c r="BE22" s="242"/>
      <c r="BF22" s="242"/>
      <c r="BG22" s="242"/>
      <c r="BH22" s="242"/>
      <c r="BI22" s="242"/>
    </row>
    <row r="23" spans="1:61" ht="18" customHeight="1">
      <c r="A23" s="241"/>
      <c r="B23" s="241"/>
      <c r="C23" s="241"/>
      <c r="D23" s="241"/>
      <c r="E23" s="241"/>
      <c r="F23" s="241"/>
      <c r="G23" s="241"/>
      <c r="H23" s="241" t="s">
        <v>2714</v>
      </c>
      <c r="I23" s="241"/>
      <c r="J23" s="241"/>
      <c r="K23" s="241"/>
      <c r="L23" s="241"/>
      <c r="M23" s="241"/>
      <c r="N23" s="241"/>
      <c r="O23" s="241" t="s">
        <v>2735</v>
      </c>
      <c r="P23" s="241"/>
      <c r="Q23" s="241"/>
      <c r="R23" s="243"/>
      <c r="S23" s="243"/>
      <c r="T23" s="243"/>
      <c r="U23" s="241"/>
      <c r="V23" s="241"/>
      <c r="W23" s="241"/>
      <c r="X23" s="241"/>
      <c r="Y23" s="241"/>
      <c r="Z23" s="241"/>
      <c r="AA23" s="241"/>
      <c r="AB23" s="241"/>
      <c r="AC23" s="241"/>
      <c r="AD23" s="241"/>
      <c r="AE23" s="241" t="s">
        <v>2700</v>
      </c>
      <c r="AF23" s="241"/>
      <c r="AG23" s="241"/>
      <c r="AH23" s="241"/>
      <c r="AI23" s="241"/>
      <c r="AJ23" s="241"/>
      <c r="AK23" s="241"/>
      <c r="AL23" s="241"/>
      <c r="AM23" s="241"/>
      <c r="AN23" s="241"/>
      <c r="AO23" s="241"/>
      <c r="AP23" s="241"/>
      <c r="AQ23" s="241"/>
      <c r="AR23" s="241"/>
      <c r="AS23" s="241"/>
      <c r="AT23" s="241" t="s">
        <v>2736</v>
      </c>
      <c r="AU23" s="241"/>
      <c r="AV23" s="241"/>
      <c r="AW23" s="241"/>
      <c r="AX23" s="241"/>
      <c r="AY23" s="241"/>
      <c r="AZ23" s="241"/>
      <c r="BA23" s="241" t="s">
        <v>2737</v>
      </c>
      <c r="BB23" s="242"/>
      <c r="BC23" s="242"/>
      <c r="BD23" s="242"/>
      <c r="BE23" s="242"/>
      <c r="BF23" s="242"/>
      <c r="BG23" s="242"/>
      <c r="BH23" s="242"/>
      <c r="BI23" s="242"/>
    </row>
    <row r="24" spans="1:61" ht="18" customHeight="1">
      <c r="A24" s="241" t="s">
        <v>2738</v>
      </c>
      <c r="B24" s="241"/>
      <c r="C24" s="241"/>
      <c r="D24" s="241"/>
      <c r="E24" s="241"/>
      <c r="F24" s="241"/>
      <c r="G24" s="241"/>
      <c r="H24" s="241" t="s">
        <v>2718</v>
      </c>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t="s">
        <v>2739</v>
      </c>
      <c r="AF24" s="241"/>
      <c r="AG24" s="241"/>
      <c r="AH24" s="241"/>
      <c r="AI24" s="241"/>
      <c r="AJ24" s="241"/>
      <c r="AK24" s="241"/>
      <c r="AL24" s="241"/>
      <c r="AM24" s="241"/>
      <c r="AN24" s="241"/>
      <c r="AO24" s="241"/>
      <c r="AP24" s="241"/>
      <c r="AQ24" s="241"/>
      <c r="AR24" s="241"/>
      <c r="AS24" s="241"/>
      <c r="AT24" s="241" t="s">
        <v>2740</v>
      </c>
      <c r="AU24" s="241"/>
      <c r="AV24" s="241"/>
      <c r="AW24" s="241"/>
      <c r="AX24" s="241"/>
      <c r="AY24" s="241"/>
      <c r="AZ24" s="241"/>
      <c r="BA24" s="241" t="s">
        <v>2741</v>
      </c>
      <c r="BB24" s="242"/>
      <c r="BC24" s="242"/>
      <c r="BD24" s="242"/>
      <c r="BE24" s="242"/>
      <c r="BF24" s="242"/>
      <c r="BG24" s="242"/>
      <c r="BH24" s="242"/>
      <c r="BI24" s="242"/>
    </row>
    <row r="25" spans="1:61" ht="18" customHeight="1">
      <c r="A25" s="241"/>
      <c r="B25" s="241"/>
      <c r="C25" s="241"/>
      <c r="D25" s="241"/>
      <c r="E25" s="241"/>
      <c r="F25" s="241"/>
      <c r="G25" s="241"/>
      <c r="H25" s="241"/>
      <c r="I25" s="241"/>
      <c r="J25" s="241"/>
      <c r="K25" s="241"/>
      <c r="L25" s="241"/>
      <c r="M25" s="241"/>
      <c r="N25" s="241"/>
      <c r="O25" s="241" t="s">
        <v>2742</v>
      </c>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t="s">
        <v>2743</v>
      </c>
      <c r="AU25" s="241"/>
      <c r="AV25" s="241"/>
      <c r="AW25" s="241"/>
      <c r="AX25" s="241"/>
      <c r="AY25" s="241"/>
      <c r="AZ25" s="241"/>
      <c r="BA25" s="241"/>
      <c r="BB25" s="242"/>
      <c r="BC25" s="242"/>
      <c r="BD25" s="242"/>
      <c r="BE25" s="242"/>
      <c r="BF25" s="242"/>
      <c r="BG25" s="242"/>
      <c r="BH25" s="242"/>
      <c r="BI25" s="242"/>
    </row>
    <row r="26" spans="1:61" ht="18" customHeight="1">
      <c r="A26" s="241"/>
      <c r="B26" s="241"/>
      <c r="C26" s="241"/>
      <c r="D26" s="241"/>
      <c r="E26" s="241"/>
      <c r="F26" s="241"/>
      <c r="G26" s="241"/>
      <c r="H26" s="241" t="s">
        <v>2699</v>
      </c>
      <c r="I26" s="241"/>
      <c r="J26" s="241"/>
      <c r="K26" s="241"/>
      <c r="L26" s="241"/>
      <c r="M26" s="241"/>
      <c r="N26" s="241"/>
      <c r="O26" s="241" t="s">
        <v>2744</v>
      </c>
      <c r="P26" s="241"/>
      <c r="Q26" s="241"/>
      <c r="R26" s="241"/>
      <c r="S26" s="241"/>
      <c r="T26" s="241"/>
      <c r="U26" s="241"/>
      <c r="V26" s="241"/>
      <c r="W26" s="241"/>
      <c r="X26" s="241"/>
      <c r="Y26" s="241"/>
      <c r="Z26" s="241"/>
      <c r="AA26" s="241"/>
      <c r="AB26" s="241"/>
      <c r="AC26" s="241"/>
      <c r="AD26" s="241"/>
      <c r="AE26" s="241" t="s">
        <v>2700</v>
      </c>
      <c r="AF26" s="241"/>
      <c r="AG26" s="241"/>
      <c r="AH26" s="241"/>
      <c r="AI26" s="241"/>
      <c r="AJ26" s="241"/>
      <c r="AK26" s="241"/>
      <c r="AL26" s="241"/>
      <c r="AM26" s="241"/>
      <c r="AN26" s="241"/>
      <c r="AO26" s="241"/>
      <c r="AP26" s="241"/>
      <c r="AQ26" s="241"/>
      <c r="AR26" s="241"/>
      <c r="AS26" s="241"/>
      <c r="AT26" s="241" t="s">
        <v>2713</v>
      </c>
      <c r="AU26" s="241"/>
      <c r="AV26" s="241"/>
      <c r="AW26" s="241"/>
      <c r="AX26" s="241"/>
      <c r="AY26" s="241"/>
      <c r="AZ26" s="241"/>
      <c r="BA26" s="241" t="s">
        <v>2700</v>
      </c>
      <c r="BB26" s="242"/>
      <c r="BC26" s="242"/>
      <c r="BD26" s="242"/>
      <c r="BE26" s="242"/>
      <c r="BF26" s="242"/>
      <c r="BG26" s="242"/>
      <c r="BH26" s="242"/>
      <c r="BI26" s="242"/>
    </row>
    <row r="27" spans="1:61" ht="18" customHeight="1">
      <c r="A27" s="241" t="s">
        <v>2745</v>
      </c>
      <c r="B27" s="241"/>
      <c r="C27" s="241"/>
      <c r="D27" s="241"/>
      <c r="E27" s="241"/>
      <c r="F27" s="241"/>
      <c r="G27" s="241"/>
      <c r="H27" s="241" t="s">
        <v>2746</v>
      </c>
      <c r="I27" s="241"/>
      <c r="J27" s="241"/>
      <c r="K27" s="241"/>
      <c r="L27" s="241"/>
      <c r="M27" s="241"/>
      <c r="N27" s="241"/>
      <c r="O27" s="241" t="s">
        <v>2747</v>
      </c>
      <c r="P27" s="241"/>
      <c r="Q27" s="241"/>
      <c r="R27" s="241"/>
      <c r="S27" s="241"/>
      <c r="T27" s="241"/>
      <c r="U27" s="241"/>
      <c r="V27" s="241"/>
      <c r="W27" s="241"/>
      <c r="X27" s="241"/>
      <c r="Y27" s="241"/>
      <c r="Z27" s="241"/>
      <c r="AA27" s="241"/>
      <c r="AB27" s="241"/>
      <c r="AC27" s="241"/>
      <c r="AD27" s="241"/>
      <c r="AE27" s="241" t="s">
        <v>2748</v>
      </c>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t="s">
        <v>2749</v>
      </c>
      <c r="BB27" s="242"/>
      <c r="BC27" s="242"/>
      <c r="BD27" s="242"/>
      <c r="BE27" s="242"/>
      <c r="BF27" s="242"/>
      <c r="BG27" s="242"/>
      <c r="BH27" s="242"/>
      <c r="BI27" s="242"/>
    </row>
    <row r="28" spans="1:61" ht="18" customHeight="1">
      <c r="A28" s="241" t="s">
        <v>2700</v>
      </c>
      <c r="B28" s="241"/>
      <c r="C28" s="241"/>
      <c r="D28" s="241"/>
      <c r="E28" s="241"/>
      <c r="F28" s="241"/>
      <c r="G28" s="241"/>
      <c r="H28" s="241" t="s">
        <v>2750</v>
      </c>
      <c r="I28" s="241"/>
      <c r="J28" s="241"/>
      <c r="K28" s="241"/>
      <c r="L28" s="241"/>
      <c r="M28" s="241"/>
      <c r="N28" s="241"/>
      <c r="O28" s="241" t="s">
        <v>2751</v>
      </c>
      <c r="P28" s="241"/>
      <c r="Q28" s="24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t="s">
        <v>2700</v>
      </c>
      <c r="AU28" s="241"/>
      <c r="AV28" s="241"/>
      <c r="AW28" s="241"/>
      <c r="AX28" s="241"/>
      <c r="AY28" s="241"/>
      <c r="AZ28" s="241"/>
      <c r="BA28" s="241" t="s">
        <v>2731</v>
      </c>
      <c r="BB28" s="242"/>
      <c r="BC28" s="242"/>
      <c r="BD28" s="242"/>
      <c r="BE28" s="242"/>
      <c r="BF28" s="242"/>
      <c r="BG28" s="242"/>
      <c r="BH28" s="242"/>
      <c r="BI28" s="242"/>
    </row>
    <row r="29" spans="1:61" ht="18" customHeight="1">
      <c r="A29" s="241" t="s">
        <v>2752</v>
      </c>
      <c r="B29" s="241"/>
      <c r="C29" s="241"/>
      <c r="D29" s="241"/>
      <c r="E29" s="241"/>
      <c r="F29" s="241"/>
      <c r="G29" s="241"/>
      <c r="H29" s="241" t="s">
        <v>2753</v>
      </c>
      <c r="I29" s="241"/>
      <c r="J29" s="241"/>
      <c r="K29" s="241"/>
      <c r="L29" s="241"/>
      <c r="M29" s="241"/>
      <c r="N29" s="241"/>
      <c r="O29" s="241" t="s">
        <v>2754</v>
      </c>
      <c r="P29" s="241"/>
      <c r="Q29" s="241"/>
      <c r="R29" s="241"/>
      <c r="S29" s="241"/>
      <c r="T29" s="241"/>
      <c r="U29" s="241"/>
      <c r="V29" s="241"/>
      <c r="W29" s="241"/>
      <c r="X29" s="241"/>
      <c r="Y29" s="241"/>
      <c r="Z29" s="241"/>
      <c r="AA29" s="241"/>
      <c r="AB29" s="241"/>
      <c r="AC29" s="241"/>
      <c r="AD29" s="241"/>
      <c r="AE29" s="241" t="s">
        <v>2700</v>
      </c>
      <c r="AF29" s="241"/>
      <c r="AG29" s="241"/>
      <c r="AH29" s="241"/>
      <c r="AI29" s="241"/>
      <c r="AJ29" s="241"/>
      <c r="AK29" s="241"/>
      <c r="AL29" s="241"/>
      <c r="AM29" s="241"/>
      <c r="AN29" s="241"/>
      <c r="AO29" s="241"/>
      <c r="AP29" s="241"/>
      <c r="AQ29" s="241"/>
      <c r="AR29" s="241"/>
      <c r="AS29" s="241"/>
      <c r="AT29" s="241" t="s">
        <v>2755</v>
      </c>
      <c r="AU29" s="241"/>
      <c r="AV29" s="241"/>
      <c r="AW29" s="241"/>
      <c r="AX29" s="241"/>
      <c r="AY29" s="241"/>
      <c r="AZ29" s="241"/>
      <c r="BA29" s="241"/>
      <c r="BB29" s="242"/>
      <c r="BC29" s="242"/>
      <c r="BD29" s="242"/>
      <c r="BE29" s="242"/>
      <c r="BF29" s="242"/>
      <c r="BG29" s="242"/>
      <c r="BH29" s="242"/>
      <c r="BI29" s="242"/>
    </row>
    <row r="30" spans="1:61" ht="18" customHeight="1">
      <c r="A30" s="241" t="s">
        <v>2756</v>
      </c>
      <c r="B30" s="241"/>
      <c r="C30" s="241"/>
      <c r="D30" s="241"/>
      <c r="E30" s="241"/>
      <c r="F30" s="241"/>
      <c r="G30" s="241"/>
      <c r="H30" s="241" t="s">
        <v>2757</v>
      </c>
      <c r="I30" s="241"/>
      <c r="J30" s="241"/>
      <c r="K30" s="241"/>
      <c r="L30" s="241"/>
      <c r="M30" s="241"/>
      <c r="N30" s="241"/>
      <c r="O30" s="241" t="s">
        <v>2758</v>
      </c>
      <c r="P30" s="241"/>
      <c r="Q30" s="241"/>
      <c r="R30" s="241"/>
      <c r="S30" s="241"/>
      <c r="T30" s="241"/>
      <c r="U30" s="241"/>
      <c r="V30" s="241"/>
      <c r="W30" s="241"/>
      <c r="X30" s="241"/>
      <c r="Y30" s="241"/>
      <c r="Z30" s="241"/>
      <c r="AA30" s="241"/>
      <c r="AB30" s="241"/>
      <c r="AC30" s="241"/>
      <c r="AD30" s="241"/>
      <c r="AE30" s="241" t="s">
        <v>2759</v>
      </c>
      <c r="AF30" s="241"/>
      <c r="AG30" s="241"/>
      <c r="AH30" s="241"/>
      <c r="AI30" s="241"/>
      <c r="AJ30" s="241"/>
      <c r="AK30" s="241"/>
      <c r="AL30" s="241"/>
      <c r="AM30" s="241"/>
      <c r="AN30" s="241"/>
      <c r="AO30" s="241"/>
      <c r="AP30" s="241"/>
      <c r="AQ30" s="241"/>
      <c r="AR30" s="241"/>
      <c r="AS30" s="241"/>
      <c r="AT30" s="241" t="s">
        <v>2760</v>
      </c>
      <c r="AU30" s="241"/>
      <c r="AV30" s="241"/>
      <c r="AW30" s="241"/>
      <c r="AX30" s="241"/>
      <c r="AY30" s="241"/>
      <c r="AZ30" s="241"/>
      <c r="BA30" s="241" t="s">
        <v>2700</v>
      </c>
      <c r="BB30" s="242"/>
      <c r="BC30" s="242"/>
      <c r="BD30" s="242"/>
      <c r="BE30" s="242"/>
      <c r="BF30" s="242"/>
      <c r="BG30" s="242"/>
      <c r="BH30" s="242"/>
      <c r="BI30" s="242"/>
    </row>
    <row r="31" spans="1:61" ht="18" customHeight="1">
      <c r="A31" s="241" t="s">
        <v>2761</v>
      </c>
      <c r="B31" s="241"/>
      <c r="C31" s="241"/>
      <c r="D31" s="241"/>
      <c r="E31" s="241"/>
      <c r="F31" s="241"/>
      <c r="G31" s="241"/>
      <c r="H31" s="241" t="s">
        <v>2762</v>
      </c>
      <c r="I31" s="241"/>
      <c r="J31" s="241"/>
      <c r="K31" s="241"/>
      <c r="L31" s="241"/>
      <c r="M31" s="241"/>
      <c r="N31" s="241"/>
      <c r="O31" s="241" t="s">
        <v>2763</v>
      </c>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t="s">
        <v>2743</v>
      </c>
      <c r="AU31" s="241"/>
      <c r="AV31" s="241"/>
      <c r="AW31" s="241"/>
      <c r="AX31" s="241"/>
      <c r="AY31" s="241"/>
      <c r="AZ31" s="241"/>
      <c r="BA31" s="241" t="s">
        <v>2764</v>
      </c>
      <c r="BB31" s="242"/>
      <c r="BC31" s="242"/>
      <c r="BD31" s="242"/>
      <c r="BE31" s="242"/>
      <c r="BF31" s="242"/>
      <c r="BG31" s="242"/>
      <c r="BH31" s="242"/>
      <c r="BI31" s="242"/>
    </row>
    <row r="32" spans="1:61" ht="18" customHeight="1">
      <c r="A32" s="241" t="s">
        <v>2765</v>
      </c>
      <c r="B32" s="241"/>
      <c r="C32" s="241"/>
      <c r="D32" s="241"/>
      <c r="E32" s="241"/>
      <c r="F32" s="241"/>
      <c r="G32" s="241"/>
      <c r="H32" s="241" t="s">
        <v>2766</v>
      </c>
      <c r="I32" s="241"/>
      <c r="J32" s="241"/>
      <c r="K32" s="241"/>
      <c r="L32" s="241"/>
      <c r="M32" s="241"/>
      <c r="N32" s="241"/>
      <c r="O32" s="241" t="s">
        <v>2767</v>
      </c>
      <c r="P32" s="241"/>
      <c r="Q32" s="241"/>
      <c r="R32" s="241"/>
      <c r="S32" s="241"/>
      <c r="T32" s="241"/>
      <c r="U32" s="241"/>
      <c r="V32" s="241"/>
      <c r="W32" s="241"/>
      <c r="X32" s="241"/>
      <c r="Y32" s="241"/>
      <c r="Z32" s="241"/>
      <c r="AA32" s="241"/>
      <c r="AB32" s="241"/>
      <c r="AC32" s="241"/>
      <c r="AD32" s="241"/>
      <c r="AE32" s="241" t="s">
        <v>2700</v>
      </c>
      <c r="AF32" s="241"/>
      <c r="AG32" s="241"/>
      <c r="AH32" s="241"/>
      <c r="AI32" s="241"/>
      <c r="AJ32" s="241"/>
      <c r="AK32" s="241"/>
      <c r="AL32" s="241"/>
      <c r="AM32" s="241"/>
      <c r="AN32" s="241"/>
      <c r="AO32" s="241"/>
      <c r="AP32" s="241"/>
      <c r="AQ32" s="241"/>
      <c r="AR32" s="241"/>
      <c r="AS32" s="241"/>
      <c r="AT32" s="241" t="s">
        <v>2713</v>
      </c>
      <c r="AU32" s="241"/>
      <c r="AV32" s="241"/>
      <c r="AW32" s="241"/>
      <c r="AX32" s="241"/>
      <c r="AY32" s="241"/>
      <c r="AZ32" s="241"/>
      <c r="BA32" s="241" t="s">
        <v>2741</v>
      </c>
      <c r="BB32" s="242"/>
      <c r="BC32" s="242"/>
      <c r="BD32" s="242"/>
      <c r="BE32" s="242"/>
      <c r="BF32" s="242"/>
      <c r="BG32" s="242"/>
      <c r="BH32" s="242"/>
      <c r="BI32" s="242"/>
    </row>
    <row r="33" spans="1:61" ht="18" customHeight="1">
      <c r="A33" s="241" t="s">
        <v>2768</v>
      </c>
      <c r="B33" s="241"/>
      <c r="C33" s="241"/>
      <c r="D33" s="241"/>
      <c r="E33" s="241"/>
      <c r="F33" s="241"/>
      <c r="G33" s="241"/>
      <c r="H33" s="241" t="s">
        <v>2769</v>
      </c>
      <c r="I33" s="241"/>
      <c r="J33" s="241"/>
      <c r="K33" s="241"/>
      <c r="L33" s="241"/>
      <c r="M33" s="241"/>
      <c r="N33" s="241"/>
      <c r="O33" s="241" t="s">
        <v>2770</v>
      </c>
      <c r="P33" s="241"/>
      <c r="Q33" s="241"/>
      <c r="R33" s="241"/>
      <c r="S33" s="241"/>
      <c r="T33" s="241"/>
      <c r="U33" s="241"/>
      <c r="V33" s="241"/>
      <c r="W33" s="241"/>
      <c r="X33" s="241"/>
      <c r="Y33" s="241"/>
      <c r="Z33" s="241"/>
      <c r="AA33" s="241"/>
      <c r="AB33" s="241"/>
      <c r="AC33" s="241"/>
      <c r="AD33" s="241"/>
      <c r="AE33" s="241" t="s">
        <v>2771</v>
      </c>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1"/>
      <c r="BB33" s="242"/>
      <c r="BC33" s="242"/>
      <c r="BD33" s="242"/>
      <c r="BE33" s="242"/>
      <c r="BF33" s="242"/>
      <c r="BG33" s="242"/>
      <c r="BH33" s="242"/>
      <c r="BI33" s="242"/>
    </row>
    <row r="34" spans="1:61" ht="18" customHeight="1">
      <c r="A34" s="241" t="s">
        <v>2772</v>
      </c>
      <c r="B34" s="241"/>
      <c r="C34" s="241"/>
      <c r="D34" s="241"/>
      <c r="E34" s="241"/>
      <c r="F34" s="241"/>
      <c r="G34" s="241"/>
      <c r="H34" s="241" t="s">
        <v>2773</v>
      </c>
      <c r="I34" s="241"/>
      <c r="J34" s="241"/>
      <c r="K34" s="241"/>
      <c r="L34" s="241"/>
      <c r="M34" s="241"/>
      <c r="N34" s="241"/>
      <c r="O34" s="241" t="s">
        <v>2774</v>
      </c>
      <c r="P34" s="241"/>
      <c r="Q34" s="24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t="s">
        <v>2700</v>
      </c>
      <c r="AU34" s="241"/>
      <c r="AV34" s="241"/>
      <c r="AW34" s="241"/>
      <c r="AX34" s="241"/>
      <c r="AY34" s="241"/>
      <c r="AZ34" s="241"/>
      <c r="BA34" s="241" t="s">
        <v>2700</v>
      </c>
      <c r="BB34" s="242"/>
      <c r="BC34" s="242"/>
      <c r="BD34" s="242"/>
      <c r="BE34" s="242"/>
      <c r="BF34" s="242"/>
      <c r="BG34" s="242"/>
      <c r="BH34" s="242"/>
      <c r="BI34" s="242"/>
    </row>
    <row r="35" spans="1:61" ht="18" customHeight="1">
      <c r="A35" s="241" t="s">
        <v>2775</v>
      </c>
      <c r="B35" s="241"/>
      <c r="C35" s="241"/>
      <c r="D35" s="241"/>
      <c r="E35" s="241"/>
      <c r="F35" s="241"/>
      <c r="G35" s="241"/>
      <c r="H35" s="241"/>
      <c r="I35" s="241"/>
      <c r="J35" s="241"/>
      <c r="K35" s="241"/>
      <c r="L35" s="241"/>
      <c r="M35" s="241"/>
      <c r="N35" s="241"/>
      <c r="O35" s="241" t="s">
        <v>2776</v>
      </c>
      <c r="P35" s="241"/>
      <c r="Q35" s="241"/>
      <c r="R35" s="241"/>
      <c r="S35" s="241"/>
      <c r="T35" s="241"/>
      <c r="U35" s="241"/>
      <c r="V35" s="241"/>
      <c r="W35" s="241"/>
      <c r="X35" s="241"/>
      <c r="Y35" s="241"/>
      <c r="Z35" s="241"/>
      <c r="AA35" s="241"/>
      <c r="AB35" s="241"/>
      <c r="AC35" s="241"/>
      <c r="AD35" s="241"/>
      <c r="AE35" s="241" t="s">
        <v>2700</v>
      </c>
      <c r="AF35" s="241"/>
      <c r="AG35" s="241"/>
      <c r="AH35" s="241"/>
      <c r="AI35" s="241"/>
      <c r="AJ35" s="241"/>
      <c r="AK35" s="241"/>
      <c r="AL35" s="241"/>
      <c r="AM35" s="241"/>
      <c r="AN35" s="241"/>
      <c r="AO35" s="241"/>
      <c r="AP35" s="241"/>
      <c r="AQ35" s="241"/>
      <c r="AR35" s="241"/>
      <c r="AS35" s="241"/>
      <c r="AT35" s="241" t="s">
        <v>2777</v>
      </c>
      <c r="AU35" s="241"/>
      <c r="AV35" s="241"/>
      <c r="AW35" s="241"/>
      <c r="AX35" s="241"/>
      <c r="AY35" s="241"/>
      <c r="AZ35" s="241"/>
      <c r="BA35" s="241" t="s">
        <v>2778</v>
      </c>
      <c r="BB35" s="242"/>
      <c r="BC35" s="242"/>
      <c r="BD35" s="242"/>
      <c r="BE35" s="242"/>
      <c r="BF35" s="242"/>
      <c r="BG35" s="242"/>
      <c r="BH35" s="242"/>
      <c r="BI35" s="242"/>
    </row>
    <row r="36" spans="1:61" ht="18" customHeight="1">
      <c r="A36" s="241" t="s">
        <v>2779</v>
      </c>
      <c r="B36" s="241"/>
      <c r="C36" s="241"/>
      <c r="D36" s="241"/>
      <c r="E36" s="241"/>
      <c r="F36" s="241"/>
      <c r="G36" s="241"/>
      <c r="H36" s="241" t="s">
        <v>2699</v>
      </c>
      <c r="I36" s="241"/>
      <c r="J36" s="241"/>
      <c r="K36" s="241"/>
      <c r="L36" s="241"/>
      <c r="M36" s="241"/>
      <c r="N36" s="241"/>
      <c r="O36" s="241" t="s">
        <v>2780</v>
      </c>
      <c r="P36" s="241"/>
      <c r="Q36" s="241"/>
      <c r="R36" s="241"/>
      <c r="S36" s="241"/>
      <c r="T36" s="241"/>
      <c r="U36" s="241"/>
      <c r="V36" s="241"/>
      <c r="W36" s="241"/>
      <c r="X36" s="241"/>
      <c r="Y36" s="241"/>
      <c r="Z36" s="241"/>
      <c r="AA36" s="241"/>
      <c r="AB36" s="241"/>
      <c r="AC36" s="241"/>
      <c r="AD36" s="241"/>
      <c r="AE36" s="241" t="s">
        <v>2781</v>
      </c>
      <c r="AF36" s="241"/>
      <c r="AG36" s="241"/>
      <c r="AH36" s="241"/>
      <c r="AI36" s="241"/>
      <c r="AJ36" s="241"/>
      <c r="AK36" s="241"/>
      <c r="AL36" s="241"/>
      <c r="AM36" s="241"/>
      <c r="AN36" s="241"/>
      <c r="AO36" s="241"/>
      <c r="AP36" s="241"/>
      <c r="AQ36" s="241"/>
      <c r="AR36" s="241"/>
      <c r="AS36" s="241"/>
      <c r="AT36" s="241" t="s">
        <v>2740</v>
      </c>
      <c r="AU36" s="241"/>
      <c r="AV36" s="241"/>
      <c r="AW36" s="241"/>
      <c r="AX36" s="241"/>
      <c r="AY36" s="241"/>
      <c r="AZ36" s="241"/>
      <c r="BA36" s="241" t="s">
        <v>2731</v>
      </c>
      <c r="BB36" s="242"/>
      <c r="BC36" s="242"/>
      <c r="BD36" s="242"/>
      <c r="BE36" s="242"/>
      <c r="BF36" s="242"/>
      <c r="BG36" s="242"/>
      <c r="BH36" s="242"/>
      <c r="BI36" s="242"/>
    </row>
    <row r="37" spans="1:61" ht="18" customHeight="1">
      <c r="A37" s="241" t="s">
        <v>2782</v>
      </c>
      <c r="B37" s="241"/>
      <c r="C37" s="241"/>
      <c r="D37" s="241"/>
      <c r="E37" s="241"/>
      <c r="F37" s="241"/>
      <c r="G37" s="241"/>
      <c r="H37" s="241" t="s">
        <v>2783</v>
      </c>
      <c r="I37" s="241"/>
      <c r="J37" s="241"/>
      <c r="K37" s="241"/>
      <c r="L37" s="241"/>
      <c r="M37" s="241"/>
      <c r="N37" s="241"/>
      <c r="O37" s="241" t="s">
        <v>2784</v>
      </c>
      <c r="P37" s="241"/>
      <c r="Q37" s="241"/>
      <c r="R37" s="241"/>
      <c r="S37" s="241"/>
      <c r="T37" s="241"/>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t="s">
        <v>2743</v>
      </c>
      <c r="AU37" s="241"/>
      <c r="AV37" s="241"/>
      <c r="AW37" s="241"/>
      <c r="AX37" s="241"/>
      <c r="AY37" s="241"/>
      <c r="AZ37" s="241"/>
      <c r="BA37" s="241"/>
      <c r="BB37" s="242"/>
      <c r="BC37" s="242"/>
      <c r="BD37" s="242"/>
      <c r="BE37" s="242"/>
      <c r="BF37" s="242"/>
      <c r="BG37" s="242"/>
      <c r="BH37" s="242"/>
      <c r="BI37" s="242"/>
    </row>
    <row r="38" spans="1:61" ht="18" customHeight="1">
      <c r="A38" s="241" t="s">
        <v>2785</v>
      </c>
      <c r="B38" s="241"/>
      <c r="C38" s="241"/>
      <c r="D38" s="241"/>
      <c r="E38" s="241"/>
      <c r="F38" s="241"/>
      <c r="G38" s="241"/>
      <c r="H38" s="241" t="s">
        <v>2750</v>
      </c>
      <c r="I38" s="241"/>
      <c r="J38" s="241"/>
      <c r="K38" s="241"/>
      <c r="L38" s="241"/>
      <c r="M38" s="241"/>
      <c r="N38" s="241"/>
      <c r="O38" s="241" t="s">
        <v>2786</v>
      </c>
      <c r="P38" s="241"/>
      <c r="Q38" s="241"/>
      <c r="R38" s="241"/>
      <c r="S38" s="241"/>
      <c r="T38" s="241"/>
      <c r="U38" s="241"/>
      <c r="V38" s="241"/>
      <c r="W38" s="241"/>
      <c r="X38" s="241"/>
      <c r="Y38" s="241"/>
      <c r="Z38" s="241"/>
      <c r="AA38" s="241"/>
      <c r="AB38" s="241"/>
      <c r="AC38" s="241"/>
      <c r="AD38" s="241"/>
      <c r="AE38" s="241" t="s">
        <v>2700</v>
      </c>
      <c r="AF38" s="241"/>
      <c r="AG38" s="241"/>
      <c r="AH38" s="241"/>
      <c r="AI38" s="241"/>
      <c r="AJ38" s="241"/>
      <c r="AK38" s="241"/>
      <c r="AL38" s="241"/>
      <c r="AM38" s="241"/>
      <c r="AN38" s="241"/>
      <c r="AO38" s="241"/>
      <c r="AP38" s="241"/>
      <c r="AQ38" s="241"/>
      <c r="AR38" s="241"/>
      <c r="AS38" s="241"/>
      <c r="AT38" s="241" t="s">
        <v>2713</v>
      </c>
      <c r="AU38" s="241"/>
      <c r="AV38" s="241"/>
      <c r="AW38" s="241"/>
      <c r="AX38" s="241"/>
      <c r="AY38" s="241"/>
      <c r="AZ38" s="241"/>
      <c r="BA38" s="241" t="s">
        <v>2700</v>
      </c>
      <c r="BB38" s="242"/>
      <c r="BC38" s="242"/>
      <c r="BD38" s="242"/>
      <c r="BE38" s="242"/>
      <c r="BF38" s="242"/>
      <c r="BG38" s="242"/>
      <c r="BH38" s="242"/>
      <c r="BI38" s="242"/>
    </row>
    <row r="39" spans="1:61" ht="18" customHeight="1">
      <c r="A39" s="241" t="s">
        <v>2787</v>
      </c>
      <c r="B39" s="241"/>
      <c r="C39" s="241"/>
      <c r="D39" s="241"/>
      <c r="E39" s="241"/>
      <c r="F39" s="241"/>
      <c r="G39" s="241"/>
      <c r="H39" s="241" t="s">
        <v>2753</v>
      </c>
      <c r="I39" s="241"/>
      <c r="J39" s="241"/>
      <c r="K39" s="241"/>
      <c r="L39" s="241"/>
      <c r="M39" s="241"/>
      <c r="N39" s="241"/>
      <c r="O39" s="241" t="s">
        <v>2788</v>
      </c>
      <c r="P39" s="241"/>
      <c r="Q39" s="241"/>
      <c r="R39" s="241"/>
      <c r="S39" s="241"/>
      <c r="T39" s="241"/>
      <c r="U39" s="241"/>
      <c r="V39" s="241"/>
      <c r="W39" s="241"/>
      <c r="X39" s="241"/>
      <c r="Y39" s="241"/>
      <c r="Z39" s="241"/>
      <c r="AA39" s="241"/>
      <c r="AB39" s="241"/>
      <c r="AC39" s="241"/>
      <c r="AD39" s="241"/>
      <c r="AE39" s="241" t="s">
        <v>2789</v>
      </c>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t="s">
        <v>2790</v>
      </c>
      <c r="BB39" s="242"/>
      <c r="BC39" s="242"/>
      <c r="BD39" s="242"/>
      <c r="BE39" s="242"/>
      <c r="BF39" s="242"/>
      <c r="BG39" s="242"/>
      <c r="BH39" s="242"/>
      <c r="BI39" s="242"/>
    </row>
    <row r="40" spans="1:61" ht="18" customHeight="1">
      <c r="A40" s="241" t="s">
        <v>2791</v>
      </c>
      <c r="B40" s="241"/>
      <c r="C40" s="241"/>
      <c r="D40" s="241"/>
      <c r="E40" s="241"/>
      <c r="F40" s="241"/>
      <c r="G40" s="241"/>
      <c r="H40" s="241" t="s">
        <v>2757</v>
      </c>
      <c r="I40" s="241"/>
      <c r="J40" s="241"/>
      <c r="K40" s="241"/>
      <c r="L40" s="241"/>
      <c r="M40" s="241"/>
      <c r="N40" s="241"/>
      <c r="O40" s="241" t="s">
        <v>2792</v>
      </c>
      <c r="P40" s="241"/>
      <c r="Q40" s="241"/>
      <c r="R40" s="241"/>
      <c r="S40" s="241"/>
      <c r="T40" s="241"/>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t="s">
        <v>2700</v>
      </c>
      <c r="AU40" s="241"/>
      <c r="AV40" s="241"/>
      <c r="AW40" s="241"/>
      <c r="AX40" s="241"/>
      <c r="AY40" s="241"/>
      <c r="AZ40" s="241"/>
      <c r="BA40" s="241" t="s">
        <v>2741</v>
      </c>
      <c r="BB40" s="242"/>
      <c r="BC40" s="242"/>
      <c r="BD40" s="242"/>
      <c r="BE40" s="242"/>
      <c r="BF40" s="242"/>
      <c r="BG40" s="242"/>
      <c r="BH40" s="242"/>
      <c r="BI40" s="242"/>
    </row>
    <row r="41" spans="1:61" ht="18" customHeight="1">
      <c r="A41" s="241" t="s">
        <v>2793</v>
      </c>
      <c r="B41" s="241"/>
      <c r="C41" s="241"/>
      <c r="D41" s="241"/>
      <c r="E41" s="241"/>
      <c r="F41" s="241"/>
      <c r="G41" s="241"/>
      <c r="H41" s="241" t="s">
        <v>2762</v>
      </c>
      <c r="I41" s="241"/>
      <c r="J41" s="241"/>
      <c r="K41" s="241"/>
      <c r="L41" s="241"/>
      <c r="M41" s="241"/>
      <c r="N41" s="241"/>
      <c r="O41" s="241" t="s">
        <v>2794</v>
      </c>
      <c r="P41" s="241"/>
      <c r="Q41" s="241"/>
      <c r="R41" s="241"/>
      <c r="S41" s="241"/>
      <c r="T41" s="241"/>
      <c r="U41" s="241"/>
      <c r="V41" s="241"/>
      <c r="W41" s="241"/>
      <c r="X41" s="241" t="s">
        <v>2795</v>
      </c>
      <c r="Y41" s="241"/>
      <c r="Z41" s="241"/>
      <c r="AA41" s="241"/>
      <c r="AB41" s="241"/>
      <c r="AC41" s="241"/>
      <c r="AD41" s="241"/>
      <c r="AE41" s="241" t="s">
        <v>2700</v>
      </c>
      <c r="AF41" s="241"/>
      <c r="AG41" s="241"/>
      <c r="AH41" s="241"/>
      <c r="AI41" s="241"/>
      <c r="AJ41" s="241"/>
      <c r="AK41" s="241"/>
      <c r="AL41" s="241"/>
      <c r="AM41" s="241"/>
      <c r="AN41" s="241"/>
      <c r="AO41" s="241"/>
      <c r="AP41" s="241"/>
      <c r="AQ41" s="241"/>
      <c r="AR41" s="241"/>
      <c r="AS41" s="241"/>
      <c r="AT41" s="241" t="s">
        <v>2796</v>
      </c>
      <c r="AU41" s="241"/>
      <c r="AV41" s="241"/>
      <c r="AW41" s="241"/>
      <c r="AX41" s="241"/>
      <c r="AY41" s="241"/>
      <c r="AZ41" s="241"/>
      <c r="BA41" s="241"/>
      <c r="BB41" s="242"/>
      <c r="BC41" s="242"/>
      <c r="BD41" s="242"/>
      <c r="BE41" s="242"/>
      <c r="BF41" s="242"/>
      <c r="BG41" s="242"/>
      <c r="BH41" s="242"/>
      <c r="BI41" s="242"/>
    </row>
    <row r="42" spans="1:61" ht="18" customHeight="1">
      <c r="A42" s="241" t="s">
        <v>2797</v>
      </c>
      <c r="B42" s="241"/>
      <c r="C42" s="241"/>
      <c r="D42" s="241"/>
      <c r="E42" s="241"/>
      <c r="F42" s="241"/>
      <c r="G42" s="241"/>
      <c r="H42" s="241" t="s">
        <v>2766</v>
      </c>
      <c r="I42" s="241"/>
      <c r="J42" s="241"/>
      <c r="K42" s="241"/>
      <c r="L42" s="241"/>
      <c r="M42" s="241"/>
      <c r="N42" s="241"/>
      <c r="O42" s="241" t="s">
        <v>2798</v>
      </c>
      <c r="P42" s="241"/>
      <c r="Q42" s="241"/>
      <c r="R42" s="241"/>
      <c r="S42" s="241"/>
      <c r="T42" s="241"/>
      <c r="U42" s="241"/>
      <c r="V42" s="241"/>
      <c r="W42" s="241"/>
      <c r="X42" s="241" t="s">
        <v>2799</v>
      </c>
      <c r="Y42" s="241"/>
      <c r="Z42" s="241"/>
      <c r="AA42" s="241"/>
      <c r="AB42" s="241"/>
      <c r="AC42" s="241"/>
      <c r="AD42" s="241"/>
      <c r="AE42" s="241" t="s">
        <v>2800</v>
      </c>
      <c r="AF42" s="241"/>
      <c r="AG42" s="241"/>
      <c r="AH42" s="241"/>
      <c r="AI42" s="241"/>
      <c r="AJ42" s="241"/>
      <c r="AK42" s="241"/>
      <c r="AL42" s="241"/>
      <c r="AM42" s="241"/>
      <c r="AN42" s="241"/>
      <c r="AO42" s="241"/>
      <c r="AP42" s="241"/>
      <c r="AQ42" s="241"/>
      <c r="AR42" s="241"/>
      <c r="AS42" s="241"/>
      <c r="AT42" s="241" t="s">
        <v>2760</v>
      </c>
      <c r="AU42" s="241"/>
      <c r="AV42" s="241"/>
      <c r="AW42" s="241"/>
      <c r="AX42" s="241"/>
      <c r="AY42" s="241"/>
      <c r="AZ42" s="241"/>
      <c r="BA42" s="241" t="s">
        <v>2700</v>
      </c>
      <c r="BB42" s="242"/>
      <c r="BC42" s="242"/>
      <c r="BD42" s="242"/>
      <c r="BE42" s="242"/>
      <c r="BF42" s="242"/>
      <c r="BG42" s="242"/>
      <c r="BH42" s="242"/>
      <c r="BI42" s="242"/>
    </row>
    <row r="43" spans="1:61" ht="18" customHeight="1">
      <c r="A43" s="241" t="s">
        <v>2801</v>
      </c>
      <c r="B43" s="241"/>
      <c r="C43" s="241"/>
      <c r="D43" s="241"/>
      <c r="E43" s="241"/>
      <c r="F43" s="241"/>
      <c r="G43" s="241"/>
      <c r="H43" s="241" t="s">
        <v>2769</v>
      </c>
      <c r="I43" s="241"/>
      <c r="J43" s="241"/>
      <c r="K43" s="241"/>
      <c r="L43" s="241"/>
      <c r="M43" s="241"/>
      <c r="N43" s="241"/>
      <c r="O43" s="241" t="s">
        <v>2802</v>
      </c>
      <c r="P43" s="241"/>
      <c r="Q43" s="241"/>
      <c r="R43" s="241"/>
      <c r="S43" s="241"/>
      <c r="T43" s="241"/>
      <c r="U43" s="241"/>
      <c r="V43" s="241"/>
      <c r="W43" s="241"/>
      <c r="X43" s="241" t="s">
        <v>2803</v>
      </c>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t="s">
        <v>2743</v>
      </c>
      <c r="AU43" s="241"/>
      <c r="AV43" s="241"/>
      <c r="AW43" s="241"/>
      <c r="AX43" s="241"/>
      <c r="AY43" s="241"/>
      <c r="AZ43" s="241"/>
      <c r="BA43" s="241" t="s">
        <v>2804</v>
      </c>
      <c r="BB43" s="242"/>
      <c r="BC43" s="242"/>
      <c r="BD43" s="242"/>
      <c r="BE43" s="242"/>
      <c r="BF43" s="242"/>
      <c r="BG43" s="242"/>
      <c r="BH43" s="242"/>
      <c r="BI43" s="242"/>
    </row>
    <row r="44" spans="1:61" ht="18" customHeight="1">
      <c r="A44" s="241" t="s">
        <v>2805</v>
      </c>
      <c r="B44" s="241"/>
      <c r="C44" s="241"/>
      <c r="D44" s="241"/>
      <c r="E44" s="241"/>
      <c r="F44" s="241"/>
      <c r="G44" s="241"/>
      <c r="H44" s="241" t="s">
        <v>2773</v>
      </c>
      <c r="I44" s="241"/>
      <c r="J44" s="241"/>
      <c r="K44" s="241"/>
      <c r="L44" s="241"/>
      <c r="M44" s="241"/>
      <c r="N44" s="241"/>
      <c r="O44" s="241" t="s">
        <v>2806</v>
      </c>
      <c r="P44" s="241"/>
      <c r="Q44" s="241"/>
      <c r="R44" s="241"/>
      <c r="S44" s="241"/>
      <c r="T44" s="241"/>
      <c r="U44" s="241"/>
      <c r="V44" s="241"/>
      <c r="W44" s="241"/>
      <c r="X44" s="241" t="s">
        <v>2807</v>
      </c>
      <c r="Y44" s="241"/>
      <c r="Z44" s="241"/>
      <c r="AA44" s="241"/>
      <c r="AB44" s="241"/>
      <c r="AC44" s="241"/>
      <c r="AD44" s="241"/>
      <c r="AE44" s="241" t="s">
        <v>2700</v>
      </c>
      <c r="AF44" s="241"/>
      <c r="AG44" s="241"/>
      <c r="AH44" s="241"/>
      <c r="AI44" s="241"/>
      <c r="AJ44" s="241"/>
      <c r="AK44" s="241"/>
      <c r="AL44" s="241"/>
      <c r="AM44" s="241"/>
      <c r="AN44" s="241"/>
      <c r="AO44" s="241"/>
      <c r="AP44" s="241"/>
      <c r="AQ44" s="241"/>
      <c r="AR44" s="241"/>
      <c r="AS44" s="241"/>
      <c r="AT44" s="241" t="s">
        <v>2713</v>
      </c>
      <c r="AU44" s="241"/>
      <c r="AV44" s="241"/>
      <c r="AW44" s="241"/>
      <c r="AX44" s="241"/>
      <c r="AY44" s="241"/>
      <c r="AZ44" s="241"/>
      <c r="BA44" s="241" t="s">
        <v>2731</v>
      </c>
      <c r="BB44" s="242"/>
      <c r="BC44" s="242"/>
      <c r="BD44" s="242"/>
      <c r="BE44" s="242"/>
      <c r="BF44" s="242"/>
      <c r="BG44" s="242"/>
      <c r="BH44" s="242"/>
      <c r="BI44" s="242"/>
    </row>
    <row r="45" spans="1:61" ht="18" customHeight="1">
      <c r="A45" s="241" t="s">
        <v>2808</v>
      </c>
      <c r="B45" s="241"/>
      <c r="C45" s="241"/>
      <c r="D45" s="241"/>
      <c r="E45" s="241"/>
      <c r="F45" s="241"/>
      <c r="G45" s="241"/>
      <c r="H45" s="241"/>
      <c r="I45" s="241"/>
      <c r="J45" s="241"/>
      <c r="K45" s="241"/>
      <c r="L45" s="241"/>
      <c r="M45" s="241"/>
      <c r="N45" s="241"/>
      <c r="O45" s="241" t="s">
        <v>2809</v>
      </c>
      <c r="P45" s="241"/>
      <c r="Q45" s="241"/>
      <c r="R45" s="241"/>
      <c r="S45" s="241"/>
      <c r="T45" s="241"/>
      <c r="U45" s="241"/>
      <c r="V45" s="241"/>
      <c r="W45" s="241"/>
      <c r="X45" s="241" t="s">
        <v>2810</v>
      </c>
      <c r="Y45" s="241"/>
      <c r="Z45" s="241"/>
      <c r="AA45" s="241"/>
      <c r="AB45" s="241"/>
      <c r="AC45" s="241"/>
      <c r="AD45" s="241"/>
      <c r="AE45" s="241" t="s">
        <v>2811</v>
      </c>
      <c r="AF45" s="241"/>
      <c r="AG45" s="241"/>
      <c r="AH45" s="241"/>
      <c r="AI45" s="241"/>
      <c r="AJ45" s="241"/>
      <c r="AK45" s="241"/>
      <c r="AL45" s="241"/>
      <c r="AM45" s="241"/>
      <c r="AN45" s="241"/>
      <c r="AO45" s="241"/>
      <c r="AP45" s="241"/>
      <c r="AQ45" s="241"/>
      <c r="AR45" s="241"/>
      <c r="AS45" s="241"/>
      <c r="AT45" s="241"/>
      <c r="AU45" s="241"/>
      <c r="AV45" s="241"/>
      <c r="AW45" s="241"/>
      <c r="AX45" s="241"/>
      <c r="AY45" s="241"/>
      <c r="AZ45" s="241"/>
      <c r="BA45" s="241"/>
      <c r="BB45" s="242"/>
      <c r="BC45" s="242"/>
      <c r="BD45" s="242"/>
      <c r="BE45" s="242"/>
      <c r="BF45" s="242"/>
      <c r="BG45" s="242"/>
      <c r="BH45" s="242"/>
      <c r="BI45" s="242"/>
    </row>
    <row r="46" spans="1:61" ht="18" customHeight="1">
      <c r="A46" s="241" t="s">
        <v>2812</v>
      </c>
      <c r="B46" s="241"/>
      <c r="C46" s="241"/>
      <c r="D46" s="241"/>
      <c r="E46" s="241"/>
      <c r="F46" s="241"/>
      <c r="G46" s="241"/>
      <c r="H46" s="241" t="s">
        <v>2699</v>
      </c>
      <c r="I46" s="241"/>
      <c r="J46" s="241"/>
      <c r="K46" s="241"/>
      <c r="L46" s="241"/>
      <c r="M46" s="241"/>
      <c r="N46" s="241"/>
      <c r="O46" s="241" t="s">
        <v>2813</v>
      </c>
      <c r="P46" s="241"/>
      <c r="Q46" s="241"/>
      <c r="R46" s="241"/>
      <c r="S46" s="241"/>
      <c r="T46" s="241"/>
      <c r="U46" s="241"/>
      <c r="V46" s="241"/>
      <c r="W46" s="241"/>
      <c r="X46" s="241" t="s">
        <v>2814</v>
      </c>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t="s">
        <v>2700</v>
      </c>
      <c r="AU46" s="241"/>
      <c r="AV46" s="241"/>
      <c r="AW46" s="241"/>
      <c r="AX46" s="241"/>
      <c r="AY46" s="241"/>
      <c r="AZ46" s="241"/>
      <c r="BA46" s="241" t="s">
        <v>2700</v>
      </c>
      <c r="BB46" s="242"/>
      <c r="BC46" s="242"/>
      <c r="BD46" s="242"/>
      <c r="BE46" s="242"/>
      <c r="BF46" s="242"/>
      <c r="BG46" s="242"/>
      <c r="BH46" s="242"/>
      <c r="BI46" s="242"/>
    </row>
    <row r="47" spans="1:61" ht="18" customHeight="1">
      <c r="A47" s="241" t="s">
        <v>2815</v>
      </c>
      <c r="B47" s="241"/>
      <c r="C47" s="241"/>
      <c r="D47" s="241"/>
      <c r="E47" s="241"/>
      <c r="F47" s="241"/>
      <c r="G47" s="241"/>
      <c r="H47" s="241" t="s">
        <v>2816</v>
      </c>
      <c r="I47" s="241"/>
      <c r="J47" s="241"/>
      <c r="K47" s="241"/>
      <c r="L47" s="241"/>
      <c r="M47" s="241"/>
      <c r="N47" s="241"/>
      <c r="O47" s="241" t="s">
        <v>2817</v>
      </c>
      <c r="P47" s="241"/>
      <c r="Q47" s="241"/>
      <c r="R47" s="241"/>
      <c r="S47" s="241"/>
      <c r="T47" s="241"/>
      <c r="U47" s="241"/>
      <c r="V47" s="241"/>
      <c r="W47" s="241"/>
      <c r="X47" s="241" t="s">
        <v>2818</v>
      </c>
      <c r="Y47" s="241"/>
      <c r="Z47" s="241"/>
      <c r="AA47" s="241"/>
      <c r="AB47" s="241"/>
      <c r="AC47" s="241"/>
      <c r="AD47" s="241"/>
      <c r="AE47" s="241" t="s">
        <v>2700</v>
      </c>
      <c r="AF47" s="241"/>
      <c r="AG47" s="241"/>
      <c r="AH47" s="241"/>
      <c r="AI47" s="241"/>
      <c r="AJ47" s="241"/>
      <c r="AK47" s="241"/>
      <c r="AL47" s="241"/>
      <c r="AM47" s="241"/>
      <c r="AN47" s="241"/>
      <c r="AO47" s="241"/>
      <c r="AP47" s="241"/>
      <c r="AQ47" s="241"/>
      <c r="AR47" s="241"/>
      <c r="AS47" s="241"/>
      <c r="AT47" s="241" t="s">
        <v>2819</v>
      </c>
      <c r="AU47" s="241"/>
      <c r="AV47" s="241"/>
      <c r="AW47" s="241"/>
      <c r="AX47" s="241"/>
      <c r="AY47" s="241"/>
      <c r="AZ47" s="241"/>
      <c r="BA47" s="241" t="s">
        <v>2820</v>
      </c>
      <c r="BB47" s="242"/>
      <c r="BC47" s="242"/>
      <c r="BD47" s="242"/>
      <c r="BE47" s="242"/>
      <c r="BF47" s="242"/>
      <c r="BG47" s="242"/>
      <c r="BH47" s="242"/>
      <c r="BI47" s="242"/>
    </row>
    <row r="48" spans="1:61" ht="18" customHeight="1">
      <c r="A48" s="241" t="s">
        <v>2821</v>
      </c>
      <c r="B48" s="241"/>
      <c r="C48" s="241"/>
      <c r="D48" s="241"/>
      <c r="E48" s="241"/>
      <c r="F48" s="241"/>
      <c r="G48" s="241"/>
      <c r="H48" s="241" t="s">
        <v>2750</v>
      </c>
      <c r="I48" s="241"/>
      <c r="J48" s="241"/>
      <c r="K48" s="241"/>
      <c r="L48" s="241"/>
      <c r="M48" s="241"/>
      <c r="N48" s="241"/>
      <c r="O48" s="241" t="s">
        <v>2822</v>
      </c>
      <c r="P48" s="241"/>
      <c r="Q48" s="241"/>
      <c r="R48" s="241"/>
      <c r="S48" s="241"/>
      <c r="T48" s="241"/>
      <c r="U48" s="241"/>
      <c r="V48" s="241"/>
      <c r="W48" s="241"/>
      <c r="X48" s="241"/>
      <c r="Y48" s="241"/>
      <c r="Z48" s="241"/>
      <c r="AA48" s="241"/>
      <c r="AB48" s="241"/>
      <c r="AC48" s="241"/>
      <c r="AD48" s="241"/>
      <c r="AE48" s="241" t="s">
        <v>2823</v>
      </c>
      <c r="AF48" s="241"/>
      <c r="AG48" s="241"/>
      <c r="AH48" s="241"/>
      <c r="AI48" s="241"/>
      <c r="AJ48" s="241"/>
      <c r="AK48" s="241"/>
      <c r="AL48" s="241"/>
      <c r="AM48" s="241"/>
      <c r="AN48" s="241"/>
      <c r="AO48" s="241"/>
      <c r="AP48" s="241"/>
      <c r="AQ48" s="241"/>
      <c r="AR48" s="241"/>
      <c r="AS48" s="241"/>
      <c r="AT48" s="241" t="s">
        <v>2740</v>
      </c>
      <c r="AU48" s="241"/>
      <c r="AV48" s="241"/>
      <c r="AW48" s="241"/>
      <c r="AX48" s="241"/>
      <c r="AY48" s="241"/>
      <c r="AZ48" s="241"/>
      <c r="BA48" s="241" t="s">
        <v>2741</v>
      </c>
      <c r="BB48" s="242"/>
      <c r="BC48" s="242"/>
      <c r="BD48" s="242"/>
      <c r="BE48" s="242"/>
      <c r="BF48" s="242"/>
      <c r="BG48" s="242"/>
      <c r="BH48" s="242"/>
      <c r="BI48" s="242"/>
    </row>
    <row r="49" spans="1:61" ht="18" customHeight="1">
      <c r="A49" s="241" t="s">
        <v>2824</v>
      </c>
      <c r="B49" s="241"/>
      <c r="C49" s="241"/>
      <c r="D49" s="241"/>
      <c r="E49" s="241"/>
      <c r="F49" s="241"/>
      <c r="G49" s="241"/>
      <c r="H49" s="241" t="s">
        <v>2753</v>
      </c>
      <c r="I49" s="241"/>
      <c r="J49" s="241"/>
      <c r="K49" s="241"/>
      <c r="L49" s="241"/>
      <c r="M49" s="241"/>
      <c r="N49" s="241"/>
      <c r="O49" s="241" t="s">
        <v>2825</v>
      </c>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t="s">
        <v>2743</v>
      </c>
      <c r="AU49" s="241"/>
      <c r="AV49" s="241"/>
      <c r="AW49" s="241"/>
      <c r="AX49" s="241"/>
      <c r="AY49" s="241"/>
      <c r="AZ49" s="241"/>
      <c r="BA49" s="241"/>
      <c r="BB49" s="242"/>
      <c r="BC49" s="242"/>
      <c r="BD49" s="242"/>
      <c r="BE49" s="242"/>
      <c r="BF49" s="242"/>
      <c r="BG49" s="242"/>
      <c r="BH49" s="242"/>
      <c r="BI49" s="242"/>
    </row>
    <row r="50" spans="1:61" ht="18" customHeight="1">
      <c r="A50" s="241" t="s">
        <v>2826</v>
      </c>
      <c r="B50" s="241"/>
      <c r="C50" s="241"/>
      <c r="D50" s="241"/>
      <c r="E50" s="241"/>
      <c r="F50" s="241"/>
      <c r="G50" s="241"/>
      <c r="H50" s="241" t="s">
        <v>2757</v>
      </c>
      <c r="I50" s="241"/>
      <c r="J50" s="241"/>
      <c r="K50" s="241"/>
      <c r="L50" s="241"/>
      <c r="M50" s="241"/>
      <c r="N50" s="241"/>
      <c r="O50" s="241" t="s">
        <v>2827</v>
      </c>
      <c r="P50" s="241"/>
      <c r="Q50" s="241"/>
      <c r="R50" s="241"/>
      <c r="S50" s="241"/>
      <c r="T50" s="241"/>
      <c r="U50" s="241"/>
      <c r="V50" s="241"/>
      <c r="W50" s="241"/>
      <c r="X50" s="241"/>
      <c r="Y50" s="241"/>
      <c r="Z50" s="241"/>
      <c r="AA50" s="241"/>
      <c r="AB50" s="241"/>
      <c r="AC50" s="241"/>
      <c r="AD50" s="241"/>
      <c r="AE50" s="241" t="s">
        <v>2700</v>
      </c>
      <c r="AF50" s="241"/>
      <c r="AG50" s="241"/>
      <c r="AH50" s="241"/>
      <c r="AI50" s="241"/>
      <c r="AJ50" s="241"/>
      <c r="AK50" s="241"/>
      <c r="AL50" s="241"/>
      <c r="AM50" s="241"/>
      <c r="AN50" s="241"/>
      <c r="AO50" s="241"/>
      <c r="AP50" s="241"/>
      <c r="AQ50" s="241"/>
      <c r="AR50" s="241"/>
      <c r="AS50" s="241"/>
      <c r="AT50" s="241" t="s">
        <v>2713</v>
      </c>
      <c r="AU50" s="241"/>
      <c r="AV50" s="241"/>
      <c r="AW50" s="241"/>
      <c r="AX50" s="241"/>
      <c r="AY50" s="241"/>
      <c r="AZ50" s="241"/>
      <c r="BA50" s="241" t="s">
        <v>2700</v>
      </c>
      <c r="BB50" s="242"/>
      <c r="BC50" s="242"/>
      <c r="BD50" s="242"/>
      <c r="BE50" s="242"/>
      <c r="BF50" s="242"/>
      <c r="BG50" s="242"/>
      <c r="BH50" s="242"/>
      <c r="BI50" s="242"/>
    </row>
    <row r="51" spans="1:61" ht="18" customHeight="1">
      <c r="A51" s="241" t="s">
        <v>2828</v>
      </c>
      <c r="B51" s="241"/>
      <c r="C51" s="241"/>
      <c r="D51" s="241"/>
      <c r="E51" s="241"/>
      <c r="F51" s="241"/>
      <c r="G51" s="241"/>
      <c r="H51" s="241" t="s">
        <v>2762</v>
      </c>
      <c r="I51" s="241"/>
      <c r="J51" s="241"/>
      <c r="K51" s="241"/>
      <c r="L51" s="241"/>
      <c r="M51" s="241"/>
      <c r="N51" s="241"/>
      <c r="O51" s="241" t="s">
        <v>2829</v>
      </c>
      <c r="P51" s="241"/>
      <c r="Q51" s="241"/>
      <c r="R51" s="241"/>
      <c r="S51" s="241"/>
      <c r="T51" s="241"/>
      <c r="U51" s="241"/>
      <c r="V51" s="241"/>
      <c r="W51" s="241"/>
      <c r="X51" s="241"/>
      <c r="Y51" s="241"/>
      <c r="Z51" s="241"/>
      <c r="AA51" s="241"/>
      <c r="AB51" s="241"/>
      <c r="AC51" s="241"/>
      <c r="AD51" s="241"/>
      <c r="AE51" s="241" t="s">
        <v>2830</v>
      </c>
      <c r="AF51" s="241"/>
      <c r="AG51" s="241"/>
      <c r="AH51" s="241"/>
      <c r="AI51" s="241"/>
      <c r="AJ51" s="241"/>
      <c r="AK51" s="241"/>
      <c r="AL51" s="241"/>
      <c r="AM51" s="241"/>
      <c r="AN51" s="241"/>
      <c r="AO51" s="241"/>
      <c r="AP51" s="241"/>
      <c r="AQ51" s="241"/>
      <c r="AR51" s="241"/>
      <c r="AS51" s="241"/>
      <c r="AT51" s="241"/>
      <c r="AU51" s="241"/>
      <c r="AV51" s="241"/>
      <c r="AW51" s="241"/>
      <c r="AX51" s="241"/>
      <c r="AY51" s="241"/>
      <c r="AZ51" s="241"/>
      <c r="BA51" s="241" t="s">
        <v>2831</v>
      </c>
      <c r="BB51" s="242"/>
      <c r="BC51" s="242"/>
      <c r="BD51" s="242"/>
      <c r="BE51" s="242"/>
      <c r="BF51" s="242"/>
      <c r="BG51" s="242"/>
      <c r="BH51" s="242"/>
      <c r="BI51" s="242"/>
    </row>
    <row r="52" spans="1:61" ht="18" customHeight="1">
      <c r="A52" s="241" t="s">
        <v>2832</v>
      </c>
      <c r="B52" s="241"/>
      <c r="C52" s="241"/>
      <c r="D52" s="241"/>
      <c r="E52" s="241"/>
      <c r="F52" s="241"/>
      <c r="G52" s="241"/>
      <c r="H52" s="241" t="s">
        <v>2766</v>
      </c>
      <c r="I52" s="241"/>
      <c r="J52" s="241"/>
      <c r="K52" s="241"/>
      <c r="L52" s="241"/>
      <c r="M52" s="241"/>
      <c r="N52" s="241"/>
      <c r="O52" s="241" t="s">
        <v>2833</v>
      </c>
      <c r="P52" s="241"/>
      <c r="Q52" s="241"/>
      <c r="R52" s="241"/>
      <c r="S52" s="241"/>
      <c r="T52" s="241"/>
      <c r="U52" s="241"/>
      <c r="V52" s="241"/>
      <c r="W52" s="241"/>
      <c r="X52" s="241"/>
      <c r="Y52" s="241"/>
      <c r="Z52" s="241"/>
      <c r="AA52" s="241"/>
      <c r="AB52" s="241"/>
      <c r="AC52" s="241"/>
      <c r="AD52" s="241"/>
      <c r="AE52" s="241"/>
      <c r="AF52" s="241"/>
      <c r="AG52" s="241"/>
      <c r="AH52" s="241"/>
      <c r="AI52" s="241"/>
      <c r="AJ52" s="241"/>
      <c r="AK52" s="241"/>
      <c r="AL52" s="241"/>
      <c r="AM52" s="241"/>
      <c r="AN52" s="241"/>
      <c r="AO52" s="241"/>
      <c r="AP52" s="241"/>
      <c r="AQ52" s="241"/>
      <c r="AR52" s="241"/>
      <c r="AS52" s="241"/>
      <c r="AT52" s="241" t="s">
        <v>2700</v>
      </c>
      <c r="AU52" s="241"/>
      <c r="AV52" s="241"/>
      <c r="AW52" s="241"/>
      <c r="AX52" s="241"/>
      <c r="AY52" s="241"/>
      <c r="AZ52" s="241"/>
      <c r="BA52" s="241" t="s">
        <v>2731</v>
      </c>
      <c r="BB52" s="242"/>
      <c r="BC52" s="242"/>
      <c r="BD52" s="242"/>
      <c r="BE52" s="242"/>
      <c r="BF52" s="242"/>
      <c r="BG52" s="242"/>
      <c r="BH52" s="242"/>
      <c r="BI52" s="242"/>
    </row>
    <row r="53" spans="1:61" ht="18" customHeight="1">
      <c r="A53" s="241" t="s">
        <v>2834</v>
      </c>
      <c r="B53" s="241"/>
      <c r="C53" s="241"/>
      <c r="D53" s="241"/>
      <c r="E53" s="241"/>
      <c r="F53" s="241"/>
      <c r="G53" s="241"/>
      <c r="H53" s="241" t="s">
        <v>2769</v>
      </c>
      <c r="I53" s="241"/>
      <c r="J53" s="241"/>
      <c r="K53" s="241"/>
      <c r="L53" s="241"/>
      <c r="M53" s="241"/>
      <c r="N53" s="241"/>
      <c r="O53" s="241" t="s">
        <v>2835</v>
      </c>
      <c r="P53" s="241"/>
      <c r="Q53" s="241"/>
      <c r="R53" s="241"/>
      <c r="S53" s="241"/>
      <c r="T53" s="241"/>
      <c r="U53" s="241"/>
      <c r="V53" s="241"/>
      <c r="W53" s="241"/>
      <c r="X53" s="241"/>
      <c r="Y53" s="241"/>
      <c r="Z53" s="241"/>
      <c r="AA53" s="241"/>
      <c r="AB53" s="241"/>
      <c r="AC53" s="241"/>
      <c r="AD53" s="241"/>
      <c r="AE53" s="241" t="s">
        <v>2700</v>
      </c>
      <c r="AF53" s="241"/>
      <c r="AG53" s="241"/>
      <c r="AH53" s="241"/>
      <c r="AI53" s="241"/>
      <c r="AJ53" s="241"/>
      <c r="AK53" s="241"/>
      <c r="AL53" s="241"/>
      <c r="AM53" s="241"/>
      <c r="AN53" s="241"/>
      <c r="AO53" s="241"/>
      <c r="AP53" s="241"/>
      <c r="AQ53" s="241"/>
      <c r="AR53" s="241"/>
      <c r="AS53" s="241"/>
      <c r="AT53" s="241" t="s">
        <v>2836</v>
      </c>
      <c r="AU53" s="241"/>
      <c r="AV53" s="241"/>
      <c r="AW53" s="241"/>
      <c r="AX53" s="241"/>
      <c r="AY53" s="241"/>
      <c r="AZ53" s="241"/>
      <c r="BA53" s="241"/>
      <c r="BB53" s="242"/>
      <c r="BC53" s="242"/>
      <c r="BD53" s="242"/>
      <c r="BE53" s="242"/>
      <c r="BF53" s="242"/>
      <c r="BG53" s="242"/>
      <c r="BH53" s="242"/>
      <c r="BI53" s="242"/>
    </row>
    <row r="54" spans="1:61" ht="18" customHeight="1">
      <c r="A54" s="241" t="s">
        <v>2837</v>
      </c>
      <c r="B54" s="241"/>
      <c r="C54" s="241"/>
      <c r="D54" s="241"/>
      <c r="E54" s="241"/>
      <c r="F54" s="241"/>
      <c r="G54" s="241"/>
      <c r="H54" s="241" t="s">
        <v>2773</v>
      </c>
      <c r="I54" s="241"/>
      <c r="J54" s="241"/>
      <c r="K54" s="241"/>
      <c r="L54" s="241"/>
      <c r="M54" s="241"/>
      <c r="N54" s="241"/>
      <c r="O54" s="241" t="s">
        <v>2838</v>
      </c>
      <c r="P54" s="241"/>
      <c r="Q54" s="241"/>
      <c r="R54" s="241"/>
      <c r="S54" s="241"/>
      <c r="T54" s="241"/>
      <c r="U54" s="241"/>
      <c r="V54" s="241"/>
      <c r="W54" s="241"/>
      <c r="X54" s="241"/>
      <c r="Y54" s="241"/>
      <c r="Z54" s="241"/>
      <c r="AA54" s="241"/>
      <c r="AB54" s="241"/>
      <c r="AC54" s="241"/>
      <c r="AD54" s="241"/>
      <c r="AE54" s="241" t="s">
        <v>2839</v>
      </c>
      <c r="AF54" s="241"/>
      <c r="AG54" s="241"/>
      <c r="AH54" s="241"/>
      <c r="AI54" s="241"/>
      <c r="AJ54" s="241"/>
      <c r="AK54" s="241"/>
      <c r="AL54" s="241"/>
      <c r="AM54" s="241"/>
      <c r="AN54" s="241"/>
      <c r="AO54" s="241"/>
      <c r="AP54" s="241"/>
      <c r="AQ54" s="241"/>
      <c r="AR54" s="241"/>
      <c r="AS54" s="241"/>
      <c r="AT54" s="241" t="s">
        <v>2760</v>
      </c>
      <c r="AU54" s="241"/>
      <c r="AV54" s="241"/>
      <c r="AW54" s="241"/>
      <c r="AX54" s="241"/>
      <c r="AY54" s="241"/>
      <c r="AZ54" s="241"/>
      <c r="BA54" s="241" t="s">
        <v>2700</v>
      </c>
      <c r="BB54" s="242"/>
      <c r="BC54" s="242"/>
      <c r="BD54" s="242"/>
      <c r="BE54" s="242"/>
      <c r="BF54" s="242"/>
      <c r="BG54" s="242"/>
      <c r="BH54" s="242"/>
      <c r="BI54" s="242"/>
    </row>
    <row r="55" spans="1:61" ht="18" customHeight="1">
      <c r="A55" s="241" t="s">
        <v>2840</v>
      </c>
      <c r="B55" s="241"/>
      <c r="C55" s="241"/>
      <c r="D55" s="241"/>
      <c r="E55" s="241"/>
      <c r="F55" s="241"/>
      <c r="G55" s="241"/>
      <c r="H55" s="241"/>
      <c r="I55" s="241"/>
      <c r="J55" s="241"/>
      <c r="K55" s="241"/>
      <c r="L55" s="241"/>
      <c r="M55" s="241"/>
      <c r="N55" s="241"/>
      <c r="O55" s="241" t="s">
        <v>2841</v>
      </c>
      <c r="P55" s="241"/>
      <c r="Q55" s="241"/>
      <c r="R55" s="241"/>
      <c r="S55" s="241"/>
      <c r="T55" s="241"/>
      <c r="U55" s="241"/>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c r="AT55" s="241" t="s">
        <v>2743</v>
      </c>
      <c r="AU55" s="241"/>
      <c r="AV55" s="241"/>
      <c r="AW55" s="241"/>
      <c r="AX55" s="241"/>
      <c r="AY55" s="241"/>
      <c r="AZ55" s="241"/>
      <c r="BA55" s="241" t="s">
        <v>2842</v>
      </c>
      <c r="BB55" s="242"/>
      <c r="BC55" s="242"/>
      <c r="BD55" s="242"/>
      <c r="BE55" s="242"/>
      <c r="BF55" s="242"/>
      <c r="BG55" s="242"/>
      <c r="BH55" s="242"/>
      <c r="BI55" s="242"/>
    </row>
    <row r="56" spans="1:61" ht="18" customHeight="1">
      <c r="A56" s="241" t="s">
        <v>2843</v>
      </c>
      <c r="B56" s="241"/>
      <c r="C56" s="241"/>
      <c r="D56" s="241"/>
      <c r="E56" s="241"/>
      <c r="F56" s="241"/>
      <c r="G56" s="241"/>
      <c r="H56" s="241" t="s">
        <v>2699</v>
      </c>
      <c r="I56" s="241"/>
      <c r="J56" s="241"/>
      <c r="K56" s="241"/>
      <c r="L56" s="241"/>
      <c r="M56" s="241"/>
      <c r="N56" s="241"/>
      <c r="O56" s="241" t="s">
        <v>2844</v>
      </c>
      <c r="P56" s="241"/>
      <c r="Q56" s="241"/>
      <c r="R56" s="241"/>
      <c r="S56" s="241"/>
      <c r="T56" s="241"/>
      <c r="U56" s="241"/>
      <c r="V56" s="241"/>
      <c r="W56" s="241"/>
      <c r="X56" s="241"/>
      <c r="Y56" s="241"/>
      <c r="Z56" s="241"/>
      <c r="AA56" s="241"/>
      <c r="AB56" s="241"/>
      <c r="AC56" s="241"/>
      <c r="AD56" s="241"/>
      <c r="AE56" s="241" t="s">
        <v>2700</v>
      </c>
      <c r="AF56" s="241"/>
      <c r="AG56" s="241"/>
      <c r="AH56" s="241"/>
      <c r="AI56" s="241"/>
      <c r="AJ56" s="241"/>
      <c r="AK56" s="241"/>
      <c r="AL56" s="241"/>
      <c r="AM56" s="241"/>
      <c r="AN56" s="241"/>
      <c r="AO56" s="241"/>
      <c r="AP56" s="241"/>
      <c r="AQ56" s="241"/>
      <c r="AR56" s="241"/>
      <c r="AS56" s="241"/>
      <c r="AT56" s="241" t="s">
        <v>2713</v>
      </c>
      <c r="AU56" s="241"/>
      <c r="AV56" s="241"/>
      <c r="AW56" s="241"/>
      <c r="AX56" s="241"/>
      <c r="AY56" s="241"/>
      <c r="AZ56" s="241"/>
      <c r="BA56" s="241" t="s">
        <v>2741</v>
      </c>
      <c r="BB56" s="242"/>
      <c r="BC56" s="242"/>
      <c r="BD56" s="242"/>
      <c r="BE56" s="242"/>
      <c r="BF56" s="242"/>
      <c r="BG56" s="242"/>
      <c r="BH56" s="242"/>
      <c r="BI56" s="242"/>
    </row>
    <row r="57" spans="1:61" ht="18" customHeight="1">
      <c r="A57" s="241" t="s">
        <v>2845</v>
      </c>
      <c r="B57" s="241"/>
      <c r="C57" s="241"/>
      <c r="D57" s="241"/>
      <c r="E57" s="241"/>
      <c r="F57" s="241"/>
      <c r="G57" s="241"/>
      <c r="H57" s="241" t="s">
        <v>2846</v>
      </c>
      <c r="I57" s="241"/>
      <c r="J57" s="241"/>
      <c r="K57" s="241"/>
      <c r="L57" s="241"/>
      <c r="M57" s="241"/>
      <c r="N57" s="241"/>
      <c r="O57" s="241" t="s">
        <v>2847</v>
      </c>
      <c r="P57" s="241"/>
      <c r="Q57" s="241"/>
      <c r="R57" s="241"/>
      <c r="S57" s="241"/>
      <c r="T57" s="241"/>
      <c r="U57" s="241"/>
      <c r="V57" s="241"/>
      <c r="W57" s="241"/>
      <c r="X57" s="241"/>
      <c r="Y57" s="241"/>
      <c r="Z57" s="241"/>
      <c r="AA57" s="241"/>
      <c r="AB57" s="241"/>
      <c r="AC57" s="241"/>
      <c r="AD57" s="241"/>
      <c r="AE57" s="241" t="s">
        <v>2848</v>
      </c>
      <c r="AF57" s="241"/>
      <c r="AG57" s="241"/>
      <c r="AH57" s="241"/>
      <c r="AI57" s="241"/>
      <c r="AJ57" s="241"/>
      <c r="AK57" s="241"/>
      <c r="AL57" s="241"/>
      <c r="AM57" s="241"/>
      <c r="AN57" s="241"/>
      <c r="AO57" s="241"/>
      <c r="AP57" s="241"/>
      <c r="AQ57" s="241"/>
      <c r="AR57" s="241"/>
      <c r="AS57" s="241"/>
      <c r="AT57" s="241"/>
      <c r="AU57" s="241"/>
      <c r="AV57" s="241"/>
      <c r="AW57" s="241"/>
      <c r="AX57" s="241"/>
      <c r="AY57" s="241"/>
      <c r="AZ57" s="241"/>
      <c r="BA57" s="241"/>
      <c r="BB57" s="242"/>
      <c r="BC57" s="242"/>
      <c r="BD57" s="242"/>
      <c r="BE57" s="242"/>
      <c r="BF57" s="242"/>
      <c r="BG57" s="242"/>
      <c r="BH57" s="242"/>
      <c r="BI57" s="242"/>
    </row>
    <row r="58" spans="1:61" ht="18" customHeight="1">
      <c r="A58" s="241" t="s">
        <v>2849</v>
      </c>
      <c r="B58" s="241"/>
      <c r="C58" s="241"/>
      <c r="D58" s="241"/>
      <c r="E58" s="241"/>
      <c r="F58" s="241"/>
      <c r="G58" s="241"/>
      <c r="H58" s="241" t="s">
        <v>2750</v>
      </c>
      <c r="I58" s="241"/>
      <c r="J58" s="241"/>
      <c r="K58" s="241"/>
      <c r="L58" s="241"/>
      <c r="M58" s="241"/>
      <c r="N58" s="241"/>
      <c r="O58" s="241" t="s">
        <v>2850</v>
      </c>
      <c r="P58" s="241"/>
      <c r="Q58" s="241"/>
      <c r="R58" s="241"/>
      <c r="S58" s="241"/>
      <c r="T58" s="241"/>
      <c r="U58" s="241"/>
      <c r="V58" s="241"/>
      <c r="W58" s="241"/>
      <c r="X58" s="241"/>
      <c r="Y58" s="241"/>
      <c r="Z58" s="241"/>
      <c r="AA58" s="241"/>
      <c r="AB58" s="241"/>
      <c r="AC58" s="241"/>
      <c r="AD58" s="241"/>
      <c r="AE58" s="241"/>
      <c r="AF58" s="241"/>
      <c r="AG58" s="241"/>
      <c r="AH58" s="241"/>
      <c r="AI58" s="241"/>
      <c r="AJ58" s="241"/>
      <c r="AK58" s="241"/>
      <c r="AL58" s="241"/>
      <c r="AM58" s="241"/>
      <c r="AN58" s="241"/>
      <c r="AO58" s="241"/>
      <c r="AP58" s="241"/>
      <c r="AQ58" s="241"/>
      <c r="AR58" s="241"/>
      <c r="AS58" s="241"/>
      <c r="AT58" s="241" t="s">
        <v>2700</v>
      </c>
      <c r="AU58" s="241"/>
      <c r="AV58" s="241"/>
      <c r="AW58" s="241"/>
      <c r="AX58" s="241"/>
      <c r="AY58" s="241"/>
      <c r="AZ58" s="241"/>
      <c r="BA58" s="241" t="s">
        <v>2700</v>
      </c>
      <c r="BB58" s="242"/>
      <c r="BC58" s="242"/>
      <c r="BD58" s="242"/>
      <c r="BE58" s="242"/>
      <c r="BF58" s="242"/>
      <c r="BG58" s="242"/>
      <c r="BH58" s="242"/>
      <c r="BI58" s="242"/>
    </row>
    <row r="59" spans="1:61" ht="18" customHeight="1">
      <c r="A59" s="241" t="s">
        <v>2851</v>
      </c>
      <c r="B59" s="241"/>
      <c r="C59" s="241"/>
      <c r="D59" s="241"/>
      <c r="E59" s="241"/>
      <c r="F59" s="241"/>
      <c r="G59" s="241"/>
      <c r="H59" s="241" t="s">
        <v>2753</v>
      </c>
      <c r="I59" s="241"/>
      <c r="J59" s="241"/>
      <c r="K59" s="241"/>
      <c r="L59" s="241"/>
      <c r="M59" s="241"/>
      <c r="N59" s="241"/>
      <c r="O59" s="241" t="s">
        <v>2852</v>
      </c>
      <c r="P59" s="241"/>
      <c r="Q59" s="241"/>
      <c r="R59" s="241"/>
      <c r="S59" s="241"/>
      <c r="T59" s="241"/>
      <c r="U59" s="241"/>
      <c r="V59" s="241"/>
      <c r="W59" s="241"/>
      <c r="X59" s="241"/>
      <c r="Y59" s="241"/>
      <c r="Z59" s="241"/>
      <c r="AA59" s="241"/>
      <c r="AB59" s="241"/>
      <c r="AC59" s="241"/>
      <c r="AD59" s="241"/>
      <c r="AE59" s="241" t="s">
        <v>2700</v>
      </c>
      <c r="AF59" s="241"/>
      <c r="AG59" s="241"/>
      <c r="AH59" s="241"/>
      <c r="AI59" s="241"/>
      <c r="AJ59" s="241"/>
      <c r="AK59" s="241"/>
      <c r="AL59" s="241"/>
      <c r="AM59" s="241"/>
      <c r="AN59" s="241"/>
      <c r="AO59" s="241"/>
      <c r="AP59" s="241"/>
      <c r="AQ59" s="241"/>
      <c r="AR59" s="241"/>
      <c r="AS59" s="241"/>
      <c r="AT59" s="241" t="s">
        <v>2853</v>
      </c>
      <c r="AU59" s="241"/>
      <c r="AV59" s="241"/>
      <c r="AW59" s="241"/>
      <c r="AX59" s="241"/>
      <c r="AY59" s="241"/>
      <c r="AZ59" s="241"/>
      <c r="BA59" s="241" t="s">
        <v>2854</v>
      </c>
      <c r="BB59" s="242"/>
      <c r="BC59" s="242"/>
      <c r="BD59" s="242"/>
      <c r="BE59" s="242"/>
      <c r="BF59" s="242"/>
      <c r="BG59" s="242"/>
      <c r="BH59" s="242"/>
      <c r="BI59" s="242"/>
    </row>
    <row r="60" spans="1:61" ht="18" customHeight="1">
      <c r="A60" s="241" t="s">
        <v>2855</v>
      </c>
      <c r="B60" s="241"/>
      <c r="C60" s="241"/>
      <c r="D60" s="241"/>
      <c r="E60" s="241"/>
      <c r="F60" s="241"/>
      <c r="G60" s="241"/>
      <c r="H60" s="241" t="s">
        <v>2757</v>
      </c>
      <c r="I60" s="241"/>
      <c r="J60" s="241"/>
      <c r="K60" s="241"/>
      <c r="L60" s="241"/>
      <c r="M60" s="241"/>
      <c r="N60" s="241"/>
      <c r="O60" s="241" t="s">
        <v>2856</v>
      </c>
      <c r="P60" s="241"/>
      <c r="Q60" s="241"/>
      <c r="R60" s="241"/>
      <c r="S60" s="241"/>
      <c r="T60" s="241"/>
      <c r="U60" s="241"/>
      <c r="V60" s="241"/>
      <c r="W60" s="241"/>
      <c r="X60" s="241"/>
      <c r="Y60" s="241"/>
      <c r="Z60" s="241"/>
      <c r="AA60" s="241"/>
      <c r="AB60" s="241"/>
      <c r="AC60" s="241"/>
      <c r="AD60" s="241"/>
      <c r="AE60" s="241" t="s">
        <v>2857</v>
      </c>
      <c r="AF60" s="241"/>
      <c r="AG60" s="241"/>
      <c r="AH60" s="241"/>
      <c r="AI60" s="241"/>
      <c r="AJ60" s="241"/>
      <c r="AK60" s="241"/>
      <c r="AL60" s="241"/>
      <c r="AM60" s="241"/>
      <c r="AN60" s="241"/>
      <c r="AO60" s="241"/>
      <c r="AP60" s="241"/>
      <c r="AQ60" s="241"/>
      <c r="AR60" s="241"/>
      <c r="AS60" s="241"/>
      <c r="AT60" s="241" t="s">
        <v>2740</v>
      </c>
      <c r="AU60" s="241"/>
      <c r="AV60" s="241"/>
      <c r="AW60" s="241"/>
      <c r="AX60" s="241"/>
      <c r="AY60" s="241"/>
      <c r="AZ60" s="241"/>
      <c r="BA60" s="241" t="s">
        <v>2731</v>
      </c>
      <c r="BB60" s="242"/>
      <c r="BC60" s="242"/>
      <c r="BD60" s="242"/>
      <c r="BE60" s="242"/>
      <c r="BF60" s="242"/>
      <c r="BG60" s="242"/>
      <c r="BH60" s="242"/>
      <c r="BI60" s="242"/>
    </row>
    <row r="61" spans="1:61" ht="18" customHeight="1">
      <c r="A61" s="241"/>
      <c r="B61" s="241"/>
      <c r="C61" s="241"/>
      <c r="D61" s="241"/>
      <c r="E61" s="241"/>
      <c r="F61" s="241"/>
      <c r="G61" s="241"/>
      <c r="H61" s="241" t="s">
        <v>2762</v>
      </c>
      <c r="I61" s="241"/>
      <c r="J61" s="241"/>
      <c r="K61" s="241"/>
      <c r="L61" s="241"/>
      <c r="M61" s="241"/>
      <c r="N61" s="241"/>
      <c r="O61" s="241" t="s">
        <v>2858</v>
      </c>
      <c r="P61" s="241"/>
      <c r="Q61" s="241"/>
      <c r="R61" s="241"/>
      <c r="S61" s="241"/>
      <c r="T61" s="241"/>
      <c r="U61" s="241"/>
      <c r="V61" s="241"/>
      <c r="W61" s="241"/>
      <c r="X61" s="241"/>
      <c r="Y61" s="241"/>
      <c r="Z61" s="241"/>
      <c r="AA61" s="241"/>
      <c r="AB61" s="241"/>
      <c r="AC61" s="241"/>
      <c r="AD61" s="241"/>
      <c r="AE61" s="241"/>
      <c r="AF61" s="241"/>
      <c r="AG61" s="241"/>
      <c r="AH61" s="241"/>
      <c r="AI61" s="241"/>
      <c r="AJ61" s="241"/>
      <c r="AK61" s="241"/>
      <c r="AL61" s="241"/>
      <c r="AM61" s="241"/>
      <c r="AN61" s="241"/>
      <c r="AO61" s="241"/>
      <c r="AP61" s="241"/>
      <c r="AQ61" s="241"/>
      <c r="AR61" s="241"/>
      <c r="AS61" s="241"/>
      <c r="AT61" s="241" t="s">
        <v>2743</v>
      </c>
      <c r="AU61" s="241"/>
      <c r="AV61" s="241"/>
      <c r="AW61" s="241"/>
      <c r="AX61" s="241"/>
      <c r="AY61" s="241"/>
      <c r="AZ61" s="241"/>
      <c r="BA61" s="241"/>
      <c r="BB61" s="242"/>
      <c r="BC61" s="242"/>
      <c r="BD61" s="242"/>
      <c r="BE61" s="242"/>
      <c r="BF61" s="242"/>
      <c r="BG61" s="242"/>
      <c r="BH61" s="242"/>
      <c r="BI61" s="242"/>
    </row>
    <row r="62" spans="1:61" ht="18" customHeight="1">
      <c r="A62" s="241" t="s">
        <v>2450</v>
      </c>
      <c r="B62" s="241"/>
      <c r="C62" s="241"/>
      <c r="D62" s="241"/>
      <c r="E62" s="241"/>
      <c r="F62" s="241"/>
      <c r="G62" s="241"/>
      <c r="H62" s="241" t="s">
        <v>2766</v>
      </c>
      <c r="I62" s="241"/>
      <c r="J62" s="241"/>
      <c r="K62" s="241"/>
      <c r="L62" s="241"/>
      <c r="M62" s="241"/>
      <c r="N62" s="241"/>
      <c r="O62" s="241" t="s">
        <v>2859</v>
      </c>
      <c r="P62" s="241"/>
      <c r="Q62" s="241"/>
      <c r="R62" s="241"/>
      <c r="S62" s="241"/>
      <c r="T62" s="241"/>
      <c r="U62" s="241"/>
      <c r="V62" s="241"/>
      <c r="W62" s="241"/>
      <c r="X62" s="241"/>
      <c r="Y62" s="241"/>
      <c r="Z62" s="241"/>
      <c r="AA62" s="241"/>
      <c r="AB62" s="241"/>
      <c r="AC62" s="241"/>
      <c r="AD62" s="241"/>
      <c r="AE62" s="241" t="s">
        <v>2700</v>
      </c>
      <c r="AF62" s="241"/>
      <c r="AG62" s="241"/>
      <c r="AH62" s="241"/>
      <c r="AI62" s="241"/>
      <c r="AJ62" s="241"/>
      <c r="AK62" s="241"/>
      <c r="AL62" s="241"/>
      <c r="AM62" s="241"/>
      <c r="AN62" s="241"/>
      <c r="AO62" s="241"/>
      <c r="AP62" s="241"/>
      <c r="AQ62" s="241"/>
      <c r="AR62" s="241"/>
      <c r="AS62" s="241"/>
      <c r="AT62" s="241" t="s">
        <v>2713</v>
      </c>
      <c r="AU62" s="241"/>
      <c r="AV62" s="241"/>
      <c r="AW62" s="241"/>
      <c r="AX62" s="241"/>
      <c r="AY62" s="241"/>
      <c r="AZ62" s="241"/>
      <c r="BA62" s="241" t="s">
        <v>2700</v>
      </c>
      <c r="BB62" s="242"/>
      <c r="BC62" s="242"/>
      <c r="BD62" s="242"/>
      <c r="BE62" s="242"/>
      <c r="BF62" s="242"/>
      <c r="BG62" s="242"/>
      <c r="BH62" s="242"/>
      <c r="BI62" s="242"/>
    </row>
    <row r="63" spans="1:61" ht="18" customHeight="1">
      <c r="A63" s="241" t="s">
        <v>2860</v>
      </c>
      <c r="B63" s="241"/>
      <c r="C63" s="241"/>
      <c r="D63" s="241"/>
      <c r="E63" s="241"/>
      <c r="F63" s="241"/>
      <c r="G63" s="241"/>
      <c r="H63" s="241" t="s">
        <v>2769</v>
      </c>
      <c r="I63" s="241"/>
      <c r="J63" s="241"/>
      <c r="K63" s="241"/>
      <c r="L63" s="241"/>
      <c r="M63" s="241"/>
      <c r="N63" s="241"/>
      <c r="O63" s="241" t="s">
        <v>2861</v>
      </c>
      <c r="P63" s="241"/>
      <c r="Q63" s="241"/>
      <c r="R63" s="241"/>
      <c r="S63" s="241"/>
      <c r="T63" s="241"/>
      <c r="U63" s="241"/>
      <c r="V63" s="241"/>
      <c r="W63" s="241"/>
      <c r="X63" s="241"/>
      <c r="Y63" s="241"/>
      <c r="Z63" s="241"/>
      <c r="AA63" s="241"/>
      <c r="AB63" s="241"/>
      <c r="AC63" s="241"/>
      <c r="AD63" s="241"/>
      <c r="AE63" s="241" t="s">
        <v>2862</v>
      </c>
      <c r="AF63" s="241"/>
      <c r="AG63" s="241"/>
      <c r="AH63" s="241"/>
      <c r="AI63" s="241"/>
      <c r="AJ63" s="241"/>
      <c r="AK63" s="241"/>
      <c r="AL63" s="241"/>
      <c r="AM63" s="241"/>
      <c r="AN63" s="241"/>
      <c r="AO63" s="241"/>
      <c r="AP63" s="241"/>
      <c r="AQ63" s="241"/>
      <c r="AR63" s="241"/>
      <c r="AS63" s="241"/>
      <c r="AT63" s="241"/>
      <c r="AU63" s="241"/>
      <c r="AV63" s="241"/>
      <c r="AW63" s="241"/>
      <c r="AX63" s="241"/>
      <c r="AY63" s="241"/>
      <c r="AZ63" s="241"/>
      <c r="BA63" s="241" t="s">
        <v>2863</v>
      </c>
      <c r="BB63" s="242"/>
      <c r="BC63" s="242"/>
      <c r="BD63" s="242"/>
      <c r="BE63" s="242"/>
      <c r="BF63" s="242"/>
      <c r="BG63" s="242"/>
      <c r="BH63" s="242"/>
      <c r="BI63" s="242"/>
    </row>
    <row r="64" spans="1:61" ht="18" customHeight="1">
      <c r="A64" s="241" t="s">
        <v>2700</v>
      </c>
      <c r="B64" s="241"/>
      <c r="C64" s="241"/>
      <c r="D64" s="241"/>
      <c r="E64" s="241"/>
      <c r="F64" s="241"/>
      <c r="G64" s="241"/>
      <c r="H64" s="241" t="s">
        <v>2773</v>
      </c>
      <c r="I64" s="241"/>
      <c r="J64" s="241"/>
      <c r="K64" s="241"/>
      <c r="L64" s="241"/>
      <c r="M64" s="241"/>
      <c r="N64" s="241"/>
      <c r="O64" s="241" t="s">
        <v>2864</v>
      </c>
      <c r="P64" s="241"/>
      <c r="Q64" s="241"/>
      <c r="R64" s="241"/>
      <c r="S64" s="241"/>
      <c r="T64" s="241"/>
      <c r="U64" s="241"/>
      <c r="V64" s="241"/>
      <c r="W64" s="241"/>
      <c r="X64" s="241"/>
      <c r="Y64" s="241"/>
      <c r="Z64" s="241"/>
      <c r="AA64" s="241"/>
      <c r="AB64" s="241"/>
      <c r="AC64" s="241"/>
      <c r="AD64" s="241"/>
      <c r="AE64" s="241"/>
      <c r="AF64" s="241"/>
      <c r="AG64" s="241"/>
      <c r="AH64" s="241"/>
      <c r="AI64" s="241"/>
      <c r="AJ64" s="241"/>
      <c r="AK64" s="241"/>
      <c r="AL64" s="241"/>
      <c r="AM64" s="241"/>
      <c r="AN64" s="241"/>
      <c r="AO64" s="241"/>
      <c r="AP64" s="241"/>
      <c r="AQ64" s="241"/>
      <c r="AR64" s="241"/>
      <c r="AS64" s="241"/>
      <c r="AT64" s="241" t="s">
        <v>2700</v>
      </c>
      <c r="AU64" s="241"/>
      <c r="AV64" s="241"/>
      <c r="AW64" s="241"/>
      <c r="AX64" s="241"/>
      <c r="AY64" s="241"/>
      <c r="AZ64" s="241"/>
      <c r="BA64" s="241" t="s">
        <v>2741</v>
      </c>
      <c r="BB64" s="242"/>
      <c r="BC64" s="242"/>
      <c r="BD64" s="242"/>
      <c r="BE64" s="242"/>
      <c r="BF64" s="242"/>
      <c r="BG64" s="242"/>
      <c r="BH64" s="242"/>
      <c r="BI64" s="242"/>
    </row>
    <row r="65" spans="1:61" ht="18" customHeight="1">
      <c r="A65" s="241" t="s">
        <v>2865</v>
      </c>
      <c r="B65" s="241"/>
      <c r="C65" s="241"/>
      <c r="D65" s="241"/>
      <c r="E65" s="241"/>
      <c r="F65" s="241"/>
      <c r="G65" s="241"/>
      <c r="H65" s="241"/>
      <c r="I65" s="241"/>
      <c r="J65" s="241"/>
      <c r="K65" s="241"/>
      <c r="L65" s="241"/>
      <c r="M65" s="241"/>
      <c r="N65" s="241"/>
      <c r="O65" s="241" t="s">
        <v>2866</v>
      </c>
      <c r="P65" s="241"/>
      <c r="Q65" s="241"/>
      <c r="R65" s="241"/>
      <c r="S65" s="241"/>
      <c r="T65" s="241"/>
      <c r="U65" s="241"/>
      <c r="V65" s="241"/>
      <c r="W65" s="241"/>
      <c r="X65" s="241"/>
      <c r="Y65" s="241"/>
      <c r="Z65" s="241"/>
      <c r="AA65" s="241"/>
      <c r="AB65" s="241"/>
      <c r="AC65" s="241"/>
      <c r="AD65" s="241"/>
      <c r="AE65" s="241" t="s">
        <v>2700</v>
      </c>
      <c r="AF65" s="241"/>
      <c r="AG65" s="241"/>
      <c r="AH65" s="241"/>
      <c r="AI65" s="241"/>
      <c r="AJ65" s="241"/>
      <c r="AK65" s="241"/>
      <c r="AL65" s="241"/>
      <c r="AM65" s="241"/>
      <c r="AN65" s="241"/>
      <c r="AO65" s="241"/>
      <c r="AP65" s="241"/>
      <c r="AQ65" s="241"/>
      <c r="AR65" s="241"/>
      <c r="AS65" s="241"/>
      <c r="AT65" s="241" t="s">
        <v>2867</v>
      </c>
      <c r="AU65" s="241"/>
      <c r="AV65" s="241"/>
      <c r="AW65" s="241"/>
      <c r="AX65" s="241"/>
      <c r="AY65" s="241"/>
      <c r="AZ65" s="241"/>
      <c r="BA65" s="241"/>
      <c r="BB65" s="242"/>
      <c r="BC65" s="242"/>
      <c r="BD65" s="242"/>
      <c r="BE65" s="242"/>
      <c r="BF65" s="242"/>
      <c r="BG65" s="242"/>
      <c r="BH65" s="242"/>
      <c r="BI65" s="242"/>
    </row>
    <row r="66" spans="1:61" ht="18" customHeight="1">
      <c r="A66" s="241" t="s">
        <v>2868</v>
      </c>
      <c r="B66" s="241"/>
      <c r="C66" s="241"/>
      <c r="D66" s="241"/>
      <c r="E66" s="241"/>
      <c r="F66" s="241"/>
      <c r="G66" s="241"/>
      <c r="H66" s="241" t="s">
        <v>2699</v>
      </c>
      <c r="I66" s="241"/>
      <c r="J66" s="241"/>
      <c r="K66" s="241"/>
      <c r="L66" s="241"/>
      <c r="M66" s="241"/>
      <c r="N66" s="241"/>
      <c r="O66" s="241" t="s">
        <v>2869</v>
      </c>
      <c r="P66" s="241"/>
      <c r="Q66" s="241"/>
      <c r="R66" s="241"/>
      <c r="S66" s="241"/>
      <c r="T66" s="241"/>
      <c r="U66" s="241"/>
      <c r="V66" s="241"/>
      <c r="W66" s="241"/>
      <c r="X66" s="241"/>
      <c r="Y66" s="241"/>
      <c r="Z66" s="241"/>
      <c r="AA66" s="241"/>
      <c r="AB66" s="241"/>
      <c r="AC66" s="241"/>
      <c r="AD66" s="241"/>
      <c r="AE66" s="241" t="s">
        <v>2870</v>
      </c>
      <c r="AF66" s="241"/>
      <c r="AG66" s="241"/>
      <c r="AH66" s="241"/>
      <c r="AI66" s="241"/>
      <c r="AJ66" s="241"/>
      <c r="AK66" s="241"/>
      <c r="AL66" s="241"/>
      <c r="AM66" s="241"/>
      <c r="AN66" s="241"/>
      <c r="AO66" s="241"/>
      <c r="AP66" s="241"/>
      <c r="AQ66" s="241"/>
      <c r="AR66" s="241"/>
      <c r="AS66" s="241"/>
      <c r="AT66" s="241" t="s">
        <v>2760</v>
      </c>
      <c r="AU66" s="241"/>
      <c r="AV66" s="241"/>
      <c r="AW66" s="241"/>
      <c r="AX66" s="241"/>
      <c r="AY66" s="241"/>
      <c r="AZ66" s="241"/>
      <c r="BA66" s="241" t="s">
        <v>2700</v>
      </c>
      <c r="BB66" s="242"/>
      <c r="BC66" s="242"/>
      <c r="BD66" s="242"/>
      <c r="BE66" s="242"/>
      <c r="BF66" s="242"/>
      <c r="BG66" s="242"/>
      <c r="BH66" s="242"/>
      <c r="BI66" s="242"/>
    </row>
    <row r="67" spans="1:61" ht="18" customHeight="1">
      <c r="A67" s="241" t="s">
        <v>2871</v>
      </c>
      <c r="B67" s="241"/>
      <c r="C67" s="241"/>
      <c r="D67" s="241"/>
      <c r="E67" s="241"/>
      <c r="F67" s="241"/>
      <c r="G67" s="241"/>
      <c r="H67" s="241" t="s">
        <v>2872</v>
      </c>
      <c r="I67" s="241"/>
      <c r="J67" s="241"/>
      <c r="K67" s="241"/>
      <c r="L67" s="241"/>
      <c r="M67" s="241"/>
      <c r="N67" s="241"/>
      <c r="O67" s="241" t="s">
        <v>2873</v>
      </c>
      <c r="P67" s="241"/>
      <c r="Q67" s="241"/>
      <c r="R67" s="241"/>
      <c r="S67" s="241"/>
      <c r="T67" s="241"/>
      <c r="U67" s="241"/>
      <c r="V67" s="241"/>
      <c r="W67" s="241"/>
      <c r="X67" s="241"/>
      <c r="Y67" s="241"/>
      <c r="Z67" s="241"/>
      <c r="AA67" s="241"/>
      <c r="AB67" s="241"/>
      <c r="AC67" s="241"/>
      <c r="AD67" s="241"/>
      <c r="AE67" s="241"/>
      <c r="AF67" s="241"/>
      <c r="AG67" s="241"/>
      <c r="AH67" s="241"/>
      <c r="AI67" s="241"/>
      <c r="AJ67" s="241"/>
      <c r="AK67" s="241"/>
      <c r="AL67" s="241"/>
      <c r="AM67" s="241"/>
      <c r="AN67" s="241"/>
      <c r="AO67" s="241"/>
      <c r="AP67" s="241"/>
      <c r="AQ67" s="241"/>
      <c r="AR67" s="241"/>
      <c r="AS67" s="241"/>
      <c r="AT67" s="241" t="s">
        <v>2743</v>
      </c>
      <c r="AU67" s="241"/>
      <c r="AV67" s="241"/>
      <c r="AW67" s="241"/>
      <c r="AX67" s="241"/>
      <c r="AY67" s="241"/>
      <c r="AZ67" s="241"/>
      <c r="BA67" s="241" t="s">
        <v>2874</v>
      </c>
      <c r="BB67" s="242"/>
      <c r="BC67" s="242"/>
      <c r="BD67" s="242"/>
      <c r="BE67" s="242"/>
      <c r="BF67" s="242"/>
      <c r="BG67" s="242"/>
      <c r="BH67" s="242"/>
      <c r="BI67" s="242"/>
    </row>
    <row r="68" spans="1:61" ht="18" customHeight="1">
      <c r="A68" s="241" t="s">
        <v>2450</v>
      </c>
      <c r="B68" s="241"/>
      <c r="C68" s="241"/>
      <c r="D68" s="241"/>
      <c r="E68" s="241"/>
      <c r="F68" s="241"/>
      <c r="G68" s="241"/>
      <c r="H68" s="241" t="s">
        <v>2750</v>
      </c>
      <c r="I68" s="241"/>
      <c r="J68" s="241"/>
      <c r="K68" s="241"/>
      <c r="L68" s="241"/>
      <c r="M68" s="241"/>
      <c r="N68" s="241"/>
      <c r="O68" s="241" t="s">
        <v>2875</v>
      </c>
      <c r="P68" s="241"/>
      <c r="Q68" s="241"/>
      <c r="R68" s="241"/>
      <c r="S68" s="241"/>
      <c r="T68" s="241"/>
      <c r="U68" s="241"/>
      <c r="V68" s="241"/>
      <c r="W68" s="241"/>
      <c r="X68" s="241"/>
      <c r="Y68" s="241"/>
      <c r="Z68" s="241"/>
      <c r="AA68" s="241"/>
      <c r="AB68" s="241"/>
      <c r="AC68" s="241"/>
      <c r="AD68" s="241"/>
      <c r="AE68" s="241" t="s">
        <v>2700</v>
      </c>
      <c r="AF68" s="241"/>
      <c r="AG68" s="241"/>
      <c r="AH68" s="241"/>
      <c r="AI68" s="241"/>
      <c r="AJ68" s="241"/>
      <c r="AK68" s="241"/>
      <c r="AL68" s="241"/>
      <c r="AM68" s="241"/>
      <c r="AN68" s="241"/>
      <c r="AO68" s="241"/>
      <c r="AP68" s="241"/>
      <c r="AQ68" s="241"/>
      <c r="AR68" s="241"/>
      <c r="AS68" s="241"/>
      <c r="AT68" s="241" t="s">
        <v>2713</v>
      </c>
      <c r="AU68" s="241"/>
      <c r="AV68" s="241"/>
      <c r="AW68" s="241"/>
      <c r="AX68" s="241"/>
      <c r="AY68" s="241"/>
      <c r="AZ68" s="241"/>
      <c r="BA68" s="241" t="s">
        <v>2731</v>
      </c>
      <c r="BB68" s="242"/>
      <c r="BC68" s="242"/>
      <c r="BD68" s="242"/>
      <c r="BE68" s="242"/>
      <c r="BF68" s="242"/>
      <c r="BG68" s="242"/>
      <c r="BH68" s="242"/>
      <c r="BI68" s="242"/>
    </row>
    <row r="69" spans="1:61" ht="18" customHeight="1">
      <c r="A69" s="241"/>
      <c r="B69" s="241"/>
      <c r="C69" s="241"/>
      <c r="D69" s="241"/>
      <c r="E69" s="241"/>
      <c r="F69" s="241"/>
      <c r="G69" s="241"/>
      <c r="H69" s="241" t="s">
        <v>2753</v>
      </c>
      <c r="I69" s="241"/>
      <c r="J69" s="241"/>
      <c r="K69" s="241"/>
      <c r="L69" s="241"/>
      <c r="M69" s="241"/>
      <c r="N69" s="241"/>
      <c r="O69" s="241" t="s">
        <v>2876</v>
      </c>
      <c r="P69" s="241"/>
      <c r="Q69" s="241"/>
      <c r="R69" s="241"/>
      <c r="S69" s="241"/>
      <c r="T69" s="241"/>
      <c r="U69" s="241"/>
      <c r="V69" s="241"/>
      <c r="W69" s="241"/>
      <c r="X69" s="241"/>
      <c r="Y69" s="241"/>
      <c r="Z69" s="241"/>
      <c r="AA69" s="241"/>
      <c r="AB69" s="241"/>
      <c r="AC69" s="241"/>
      <c r="AD69" s="241"/>
      <c r="AE69" s="241" t="s">
        <v>2877</v>
      </c>
      <c r="AF69" s="241"/>
      <c r="AG69" s="241"/>
      <c r="AH69" s="241"/>
      <c r="AI69" s="241"/>
      <c r="AJ69" s="241"/>
      <c r="AK69" s="241"/>
      <c r="AL69" s="241"/>
      <c r="AM69" s="241"/>
      <c r="AN69" s="241"/>
      <c r="AO69" s="241"/>
      <c r="AP69" s="241"/>
      <c r="AQ69" s="241"/>
      <c r="AR69" s="241"/>
      <c r="AS69" s="241"/>
      <c r="AT69" s="241"/>
      <c r="AU69" s="241"/>
      <c r="AV69" s="241"/>
      <c r="AW69" s="241"/>
      <c r="AX69" s="241"/>
      <c r="AY69" s="241"/>
      <c r="AZ69" s="241"/>
      <c r="BA69" s="241"/>
      <c r="BB69" s="242"/>
      <c r="BC69" s="242"/>
      <c r="BD69" s="242"/>
      <c r="BE69" s="242"/>
      <c r="BF69" s="242"/>
      <c r="BG69" s="242"/>
      <c r="BH69" s="242"/>
      <c r="BI69" s="242"/>
    </row>
    <row r="70" spans="1:61" ht="18" customHeight="1">
      <c r="A70" s="241"/>
      <c r="B70" s="241"/>
      <c r="C70" s="241"/>
      <c r="D70" s="241"/>
      <c r="E70" s="241"/>
      <c r="F70" s="241"/>
      <c r="G70" s="241"/>
      <c r="H70" s="241" t="s">
        <v>2757</v>
      </c>
      <c r="I70" s="241"/>
      <c r="J70" s="241"/>
      <c r="K70" s="241"/>
      <c r="L70" s="241"/>
      <c r="M70" s="241"/>
      <c r="N70" s="241"/>
      <c r="O70" s="241" t="s">
        <v>2878</v>
      </c>
      <c r="P70" s="241"/>
      <c r="Q70" s="241"/>
      <c r="R70" s="241"/>
      <c r="S70" s="241"/>
      <c r="T70" s="241"/>
      <c r="U70" s="241"/>
      <c r="V70" s="241"/>
      <c r="W70" s="241"/>
      <c r="X70" s="241"/>
      <c r="Y70" s="241"/>
      <c r="Z70" s="241"/>
      <c r="AA70" s="241"/>
      <c r="AB70" s="241"/>
      <c r="AC70" s="241"/>
      <c r="AD70" s="241"/>
      <c r="AE70" s="241"/>
      <c r="AF70" s="241"/>
      <c r="AG70" s="241"/>
      <c r="AH70" s="241"/>
      <c r="AI70" s="241"/>
      <c r="AJ70" s="241"/>
      <c r="AK70" s="241"/>
      <c r="AL70" s="241"/>
      <c r="AM70" s="241"/>
      <c r="AN70" s="241"/>
      <c r="AO70" s="241"/>
      <c r="AP70" s="241"/>
      <c r="AQ70" s="241"/>
      <c r="AR70" s="241"/>
      <c r="AS70" s="241"/>
      <c r="AT70" s="241" t="s">
        <v>2700</v>
      </c>
      <c r="AU70" s="241"/>
      <c r="AV70" s="241"/>
      <c r="AW70" s="241"/>
      <c r="AX70" s="241"/>
      <c r="AY70" s="241"/>
      <c r="AZ70" s="241"/>
      <c r="BA70" s="241" t="s">
        <v>2700</v>
      </c>
      <c r="BB70" s="242"/>
      <c r="BC70" s="242"/>
      <c r="BD70" s="242"/>
      <c r="BE70" s="242"/>
      <c r="BF70" s="242"/>
      <c r="BG70" s="242"/>
      <c r="BH70" s="242"/>
      <c r="BI70" s="242"/>
    </row>
    <row r="71" spans="1:61" ht="18" customHeight="1">
      <c r="A71" s="241"/>
      <c r="B71" s="241"/>
      <c r="C71" s="241"/>
      <c r="D71" s="241"/>
      <c r="E71" s="241"/>
      <c r="F71" s="241"/>
      <c r="G71" s="241"/>
      <c r="H71" s="241" t="s">
        <v>2879</v>
      </c>
      <c r="I71" s="241"/>
      <c r="J71" s="241"/>
      <c r="K71" s="241"/>
      <c r="L71" s="241"/>
      <c r="M71" s="241"/>
      <c r="N71" s="241"/>
      <c r="O71" s="241" t="s">
        <v>2880</v>
      </c>
      <c r="P71" s="241"/>
      <c r="Q71" s="241"/>
      <c r="R71" s="241"/>
      <c r="S71" s="241"/>
      <c r="T71" s="241"/>
      <c r="U71" s="241"/>
      <c r="V71" s="241"/>
      <c r="W71" s="241"/>
      <c r="X71" s="241"/>
      <c r="Y71" s="241"/>
      <c r="Z71" s="241"/>
      <c r="AA71" s="241"/>
      <c r="AB71" s="241"/>
      <c r="AC71" s="241"/>
      <c r="AD71" s="241"/>
      <c r="AE71" s="241" t="s">
        <v>2700</v>
      </c>
      <c r="AF71" s="241"/>
      <c r="AG71" s="241"/>
      <c r="AH71" s="241"/>
      <c r="AI71" s="241"/>
      <c r="AJ71" s="241"/>
      <c r="AK71" s="241"/>
      <c r="AL71" s="241"/>
      <c r="AM71" s="241"/>
      <c r="AN71" s="241"/>
      <c r="AO71" s="241"/>
      <c r="AP71" s="241"/>
      <c r="AQ71" s="241"/>
      <c r="AR71" s="241"/>
      <c r="AS71" s="241"/>
      <c r="AT71" s="241" t="s">
        <v>2881</v>
      </c>
      <c r="AU71" s="241"/>
      <c r="AV71" s="241"/>
      <c r="AW71" s="241"/>
      <c r="AX71" s="241"/>
      <c r="AY71" s="241"/>
      <c r="AZ71" s="241"/>
      <c r="BA71" s="241" t="s">
        <v>2882</v>
      </c>
      <c r="BB71" s="242"/>
      <c r="BC71" s="242"/>
      <c r="BD71" s="242"/>
      <c r="BE71" s="242"/>
      <c r="BF71" s="242"/>
      <c r="BG71" s="242"/>
      <c r="BH71" s="242"/>
      <c r="BI71" s="242"/>
    </row>
    <row r="72" spans="1:61" ht="18" customHeight="1">
      <c r="A72" s="241"/>
      <c r="B72" s="241"/>
      <c r="C72" s="241"/>
      <c r="D72" s="241"/>
      <c r="E72" s="241"/>
      <c r="F72" s="241"/>
      <c r="G72" s="241"/>
      <c r="H72" s="241" t="s">
        <v>2883</v>
      </c>
      <c r="I72" s="241"/>
      <c r="J72" s="241"/>
      <c r="K72" s="241"/>
      <c r="L72" s="241"/>
      <c r="M72" s="241"/>
      <c r="N72" s="241"/>
      <c r="O72" s="241" t="s">
        <v>2884</v>
      </c>
      <c r="P72" s="241"/>
      <c r="Q72" s="241"/>
      <c r="R72" s="241"/>
      <c r="S72" s="241"/>
      <c r="T72" s="241"/>
      <c r="U72" s="241"/>
      <c r="V72" s="241"/>
      <c r="W72" s="241"/>
      <c r="X72" s="241"/>
      <c r="Y72" s="241"/>
      <c r="Z72" s="241"/>
      <c r="AA72" s="241"/>
      <c r="AB72" s="241"/>
      <c r="AC72" s="241"/>
      <c r="AD72" s="241"/>
      <c r="AE72" s="241" t="s">
        <v>2885</v>
      </c>
      <c r="AF72" s="241"/>
      <c r="AG72" s="241"/>
      <c r="AH72" s="241"/>
      <c r="AI72" s="241"/>
      <c r="AJ72" s="241"/>
      <c r="AK72" s="241"/>
      <c r="AL72" s="241"/>
      <c r="AM72" s="241"/>
      <c r="AN72" s="241"/>
      <c r="AO72" s="241"/>
      <c r="AP72" s="241"/>
      <c r="AQ72" s="241"/>
      <c r="AR72" s="241"/>
      <c r="AS72" s="241"/>
      <c r="AT72" s="241" t="s">
        <v>2740</v>
      </c>
      <c r="AU72" s="241"/>
      <c r="AV72" s="241"/>
      <c r="AW72" s="241"/>
      <c r="AX72" s="241"/>
      <c r="AY72" s="241"/>
      <c r="AZ72" s="241"/>
      <c r="BA72" s="241" t="s">
        <v>2741</v>
      </c>
      <c r="BB72" s="242"/>
      <c r="BC72" s="242"/>
      <c r="BD72" s="242"/>
      <c r="BE72" s="242"/>
      <c r="BF72" s="242"/>
      <c r="BG72" s="242"/>
      <c r="BH72" s="242"/>
      <c r="BI72" s="242"/>
    </row>
    <row r="73" spans="1:61" ht="18" customHeight="1">
      <c r="A73" s="241"/>
      <c r="B73" s="241"/>
      <c r="C73" s="241"/>
      <c r="D73" s="241"/>
      <c r="E73" s="241"/>
      <c r="F73" s="241"/>
      <c r="G73" s="241"/>
      <c r="H73" s="241" t="s">
        <v>2886</v>
      </c>
      <c r="I73" s="241"/>
      <c r="J73" s="241"/>
      <c r="K73" s="241"/>
      <c r="L73" s="241"/>
      <c r="M73" s="241"/>
      <c r="N73" s="241"/>
      <c r="O73" s="241" t="s">
        <v>2887</v>
      </c>
      <c r="P73" s="241"/>
      <c r="Q73" s="241"/>
      <c r="R73" s="241"/>
      <c r="S73" s="241"/>
      <c r="T73" s="241"/>
      <c r="U73" s="241"/>
      <c r="V73" s="241"/>
      <c r="W73" s="241"/>
      <c r="X73" s="241"/>
      <c r="Y73" s="241"/>
      <c r="Z73" s="241"/>
      <c r="AA73" s="241"/>
      <c r="AB73" s="241"/>
      <c r="AC73" s="241"/>
      <c r="AD73" s="241"/>
      <c r="AE73" s="241"/>
      <c r="AF73" s="241"/>
      <c r="AG73" s="241"/>
      <c r="AH73" s="241"/>
      <c r="AI73" s="241"/>
      <c r="AJ73" s="241"/>
      <c r="AK73" s="241"/>
      <c r="AL73" s="241"/>
      <c r="AM73" s="241"/>
      <c r="AN73" s="241"/>
      <c r="AO73" s="241"/>
      <c r="AP73" s="241"/>
      <c r="AQ73" s="241"/>
      <c r="AR73" s="241"/>
      <c r="AS73" s="241"/>
      <c r="AT73" s="241" t="s">
        <v>2743</v>
      </c>
      <c r="AU73" s="241"/>
      <c r="AV73" s="241"/>
      <c r="AW73" s="241"/>
      <c r="AX73" s="241"/>
      <c r="AY73" s="241"/>
      <c r="AZ73" s="241"/>
      <c r="BA73" s="241"/>
      <c r="BB73" s="242"/>
      <c r="BC73" s="242"/>
      <c r="BD73" s="242"/>
      <c r="BE73" s="242"/>
      <c r="BF73" s="242"/>
      <c r="BG73" s="242"/>
      <c r="BH73" s="242"/>
      <c r="BI73" s="242"/>
    </row>
    <row r="74" spans="1:61" ht="18" customHeight="1">
      <c r="A74" s="241"/>
      <c r="B74" s="241"/>
      <c r="C74" s="241"/>
      <c r="D74" s="241"/>
      <c r="E74" s="241"/>
      <c r="F74" s="241"/>
      <c r="G74" s="241"/>
      <c r="H74" s="241" t="s">
        <v>2888</v>
      </c>
      <c r="I74" s="241"/>
      <c r="J74" s="241"/>
      <c r="K74" s="241"/>
      <c r="L74" s="241"/>
      <c r="M74" s="241"/>
      <c r="N74" s="241"/>
      <c r="O74" s="241" t="s">
        <v>2889</v>
      </c>
      <c r="P74" s="241"/>
      <c r="Q74" s="241"/>
      <c r="R74" s="241"/>
      <c r="S74" s="241"/>
      <c r="T74" s="241"/>
      <c r="U74" s="241"/>
      <c r="V74" s="241"/>
      <c r="W74" s="241"/>
      <c r="X74" s="241"/>
      <c r="Y74" s="241"/>
      <c r="Z74" s="241"/>
      <c r="AA74" s="241"/>
      <c r="AB74" s="241"/>
      <c r="AC74" s="241"/>
      <c r="AD74" s="241"/>
      <c r="AE74" s="241" t="s">
        <v>2700</v>
      </c>
      <c r="AF74" s="241"/>
      <c r="AG74" s="241"/>
      <c r="AH74" s="241"/>
      <c r="AI74" s="241"/>
      <c r="AJ74" s="241"/>
      <c r="AK74" s="241"/>
      <c r="AL74" s="241"/>
      <c r="AM74" s="241"/>
      <c r="AN74" s="241"/>
      <c r="AO74" s="241"/>
      <c r="AP74" s="241"/>
      <c r="AQ74" s="241"/>
      <c r="AR74" s="241"/>
      <c r="AS74" s="241"/>
      <c r="AT74" s="241" t="s">
        <v>2713</v>
      </c>
      <c r="AU74" s="241"/>
      <c r="AV74" s="241"/>
      <c r="AW74" s="241"/>
      <c r="AX74" s="241"/>
      <c r="AY74" s="241"/>
      <c r="AZ74" s="241"/>
      <c r="BA74" s="241" t="s">
        <v>2700</v>
      </c>
      <c r="BB74" s="242"/>
      <c r="BC74" s="242"/>
      <c r="BD74" s="242"/>
      <c r="BE74" s="242"/>
      <c r="BF74" s="242"/>
      <c r="BG74" s="242"/>
      <c r="BH74" s="242"/>
      <c r="BI74" s="242"/>
    </row>
    <row r="75" spans="1:61" ht="18" customHeight="1">
      <c r="A75" s="241"/>
      <c r="B75" s="241"/>
      <c r="C75" s="241"/>
      <c r="D75" s="241"/>
      <c r="E75" s="241"/>
      <c r="F75" s="241"/>
      <c r="G75" s="241"/>
      <c r="H75" s="241" t="s">
        <v>2890</v>
      </c>
      <c r="I75" s="241"/>
      <c r="J75" s="241"/>
      <c r="K75" s="241"/>
      <c r="L75" s="241"/>
      <c r="M75" s="241"/>
      <c r="N75" s="241"/>
      <c r="O75" s="241" t="s">
        <v>2891</v>
      </c>
      <c r="P75" s="241"/>
      <c r="Q75" s="241"/>
      <c r="R75" s="241"/>
      <c r="S75" s="241"/>
      <c r="T75" s="241"/>
      <c r="U75" s="241"/>
      <c r="V75" s="241"/>
      <c r="W75" s="241"/>
      <c r="X75" s="241"/>
      <c r="Y75" s="241"/>
      <c r="Z75" s="241"/>
      <c r="AA75" s="241"/>
      <c r="AB75" s="241"/>
      <c r="AC75" s="241"/>
      <c r="AD75" s="241"/>
      <c r="AE75" s="241" t="s">
        <v>2892</v>
      </c>
      <c r="AF75" s="241"/>
      <c r="AG75" s="241"/>
      <c r="AH75" s="241"/>
      <c r="AI75" s="241"/>
      <c r="AJ75" s="241"/>
      <c r="AK75" s="241"/>
      <c r="AL75" s="241"/>
      <c r="AM75" s="241"/>
      <c r="AN75" s="241"/>
      <c r="AO75" s="241"/>
      <c r="AP75" s="241"/>
      <c r="AQ75" s="241"/>
      <c r="AR75" s="241"/>
      <c r="AS75" s="241"/>
      <c r="AT75" s="241"/>
      <c r="AU75" s="241"/>
      <c r="AV75" s="241"/>
      <c r="AW75" s="241"/>
      <c r="AX75" s="241"/>
      <c r="AY75" s="241"/>
      <c r="AZ75" s="241"/>
      <c r="BA75" s="241" t="s">
        <v>2893</v>
      </c>
      <c r="BB75" s="242"/>
      <c r="BC75" s="242"/>
      <c r="BD75" s="242"/>
      <c r="BE75" s="242"/>
      <c r="BF75" s="242"/>
      <c r="BG75" s="242"/>
      <c r="BH75" s="242"/>
      <c r="BI75" s="242"/>
    </row>
    <row r="76" spans="1:61" ht="18" customHeight="1">
      <c r="A76" s="241"/>
      <c r="B76" s="241"/>
      <c r="C76" s="241"/>
      <c r="D76" s="241"/>
      <c r="E76" s="241"/>
      <c r="F76" s="241"/>
      <c r="G76" s="241"/>
      <c r="H76" s="241"/>
      <c r="I76" s="241"/>
      <c r="J76" s="241"/>
      <c r="K76" s="241"/>
      <c r="L76" s="241"/>
      <c r="M76" s="241"/>
      <c r="N76" s="241"/>
      <c r="O76" s="241" t="s">
        <v>2894</v>
      </c>
      <c r="P76" s="241"/>
      <c r="Q76" s="241"/>
      <c r="R76" s="241"/>
      <c r="S76" s="241"/>
      <c r="T76" s="241"/>
      <c r="U76" s="241"/>
      <c r="V76" s="241"/>
      <c r="W76" s="241"/>
      <c r="X76" s="241"/>
      <c r="Y76" s="241"/>
      <c r="Z76" s="241"/>
      <c r="AA76" s="241"/>
      <c r="AB76" s="241"/>
      <c r="AC76" s="241"/>
      <c r="AD76" s="241"/>
      <c r="AE76" s="241"/>
      <c r="AF76" s="241"/>
      <c r="AG76" s="241"/>
      <c r="AH76" s="241"/>
      <c r="AI76" s="241"/>
      <c r="AJ76" s="241"/>
      <c r="AK76" s="241"/>
      <c r="AL76" s="241"/>
      <c r="AM76" s="241"/>
      <c r="AN76" s="241"/>
      <c r="AO76" s="241"/>
      <c r="AP76" s="241"/>
      <c r="AQ76" s="241"/>
      <c r="AR76" s="241"/>
      <c r="AS76" s="241"/>
      <c r="AT76" s="241" t="s">
        <v>2700</v>
      </c>
      <c r="AU76" s="241"/>
      <c r="AV76" s="241"/>
      <c r="AW76" s="241"/>
      <c r="AX76" s="241"/>
      <c r="AY76" s="241"/>
      <c r="AZ76" s="241"/>
      <c r="BA76" s="241" t="s">
        <v>2731</v>
      </c>
      <c r="BB76" s="242"/>
      <c r="BC76" s="242"/>
      <c r="BD76" s="242"/>
      <c r="BE76" s="242"/>
      <c r="BF76" s="242"/>
      <c r="BG76" s="242"/>
      <c r="BH76" s="242"/>
      <c r="BI76" s="242"/>
    </row>
    <row r="77" spans="1:61" ht="18" customHeight="1">
      <c r="A77" s="241"/>
      <c r="B77" s="241"/>
      <c r="C77" s="241"/>
      <c r="D77" s="241"/>
      <c r="E77" s="241"/>
      <c r="F77" s="241"/>
      <c r="G77" s="241"/>
      <c r="H77" s="241" t="s">
        <v>2699</v>
      </c>
      <c r="I77" s="241"/>
      <c r="J77" s="241"/>
      <c r="K77" s="241"/>
      <c r="L77" s="241"/>
      <c r="M77" s="241"/>
      <c r="N77" s="241"/>
      <c r="O77" s="241" t="s">
        <v>2895</v>
      </c>
      <c r="P77" s="241"/>
      <c r="Q77" s="241"/>
      <c r="R77" s="241"/>
      <c r="S77" s="241"/>
      <c r="T77" s="241"/>
      <c r="U77" s="241"/>
      <c r="V77" s="241"/>
      <c r="W77" s="241"/>
      <c r="X77" s="241"/>
      <c r="Y77" s="241"/>
      <c r="Z77" s="241"/>
      <c r="AA77" s="241"/>
      <c r="AB77" s="241"/>
      <c r="AC77" s="241"/>
      <c r="AD77" s="241"/>
      <c r="AE77" s="241" t="s">
        <v>2700</v>
      </c>
      <c r="AF77" s="241"/>
      <c r="AG77" s="241"/>
      <c r="AH77" s="241"/>
      <c r="AI77" s="241"/>
      <c r="AJ77" s="241"/>
      <c r="AK77" s="241"/>
      <c r="AL77" s="241"/>
      <c r="AM77" s="241"/>
      <c r="AN77" s="241"/>
      <c r="AO77" s="241"/>
      <c r="AP77" s="241"/>
      <c r="AQ77" s="241"/>
      <c r="AR77" s="241"/>
      <c r="AS77" s="241"/>
      <c r="AT77" s="241" t="s">
        <v>2896</v>
      </c>
      <c r="AU77" s="241"/>
      <c r="AV77" s="241"/>
      <c r="AW77" s="241"/>
      <c r="AX77" s="241"/>
      <c r="AY77" s="241"/>
      <c r="AZ77" s="241"/>
      <c r="BA77" s="241"/>
      <c r="BB77" s="242"/>
      <c r="BC77" s="242"/>
      <c r="BD77" s="242"/>
      <c r="BE77" s="242"/>
      <c r="BF77" s="242"/>
      <c r="BG77" s="242"/>
      <c r="BH77" s="242"/>
      <c r="BI77" s="242"/>
    </row>
    <row r="78" spans="1:61" ht="18" customHeight="1">
      <c r="A78" s="241"/>
      <c r="B78" s="241"/>
      <c r="C78" s="241"/>
      <c r="D78" s="241"/>
      <c r="E78" s="241"/>
      <c r="F78" s="241"/>
      <c r="G78" s="241"/>
      <c r="H78" s="241" t="s">
        <v>2897</v>
      </c>
      <c r="I78" s="241"/>
      <c r="J78" s="241"/>
      <c r="K78" s="241"/>
      <c r="L78" s="241"/>
      <c r="M78" s="241"/>
      <c r="N78" s="241"/>
      <c r="O78" s="241" t="s">
        <v>2898</v>
      </c>
      <c r="P78" s="241"/>
      <c r="Q78" s="241"/>
      <c r="R78" s="241"/>
      <c r="S78" s="241"/>
      <c r="T78" s="241"/>
      <c r="U78" s="241"/>
      <c r="V78" s="241"/>
      <c r="W78" s="241"/>
      <c r="X78" s="241"/>
      <c r="Y78" s="241"/>
      <c r="Z78" s="241"/>
      <c r="AA78" s="241"/>
      <c r="AB78" s="241"/>
      <c r="AC78" s="241"/>
      <c r="AD78" s="241"/>
      <c r="AE78" s="241" t="s">
        <v>2899</v>
      </c>
      <c r="AF78" s="241"/>
      <c r="AG78" s="241"/>
      <c r="AH78" s="241"/>
      <c r="AI78" s="241"/>
      <c r="AJ78" s="241"/>
      <c r="AK78" s="241"/>
      <c r="AL78" s="241"/>
      <c r="AM78" s="241"/>
      <c r="AN78" s="241"/>
      <c r="AO78" s="241"/>
      <c r="AP78" s="241"/>
      <c r="AQ78" s="241"/>
      <c r="AR78" s="241"/>
      <c r="AS78" s="241"/>
      <c r="AT78" s="241" t="s">
        <v>2760</v>
      </c>
      <c r="AU78" s="241"/>
      <c r="AV78" s="241"/>
      <c r="AW78" s="241"/>
      <c r="AX78" s="241"/>
      <c r="AY78" s="241"/>
      <c r="AZ78" s="241"/>
      <c r="BA78" s="241" t="s">
        <v>2700</v>
      </c>
      <c r="BB78" s="242"/>
      <c r="BC78" s="242"/>
      <c r="BD78" s="242"/>
      <c r="BE78" s="242"/>
      <c r="BF78" s="242"/>
      <c r="BG78" s="242"/>
      <c r="BH78" s="242"/>
      <c r="BI78" s="242"/>
    </row>
    <row r="79" spans="1:61" ht="18" customHeight="1">
      <c r="A79" s="241"/>
      <c r="B79" s="241"/>
      <c r="C79" s="241"/>
      <c r="D79" s="241"/>
      <c r="E79" s="241"/>
      <c r="F79" s="241"/>
      <c r="G79" s="241"/>
      <c r="H79" s="241" t="s">
        <v>2750</v>
      </c>
      <c r="I79" s="241"/>
      <c r="J79" s="241"/>
      <c r="K79" s="241"/>
      <c r="L79" s="241"/>
      <c r="M79" s="241"/>
      <c r="N79" s="241"/>
      <c r="O79" s="241" t="s">
        <v>2900</v>
      </c>
      <c r="P79" s="241"/>
      <c r="Q79" s="241"/>
      <c r="R79" s="241"/>
      <c r="S79" s="241"/>
      <c r="T79" s="241"/>
      <c r="U79" s="241"/>
      <c r="V79" s="241"/>
      <c r="W79" s="241"/>
      <c r="X79" s="241"/>
      <c r="Y79" s="241"/>
      <c r="Z79" s="241"/>
      <c r="AA79" s="241"/>
      <c r="AB79" s="241"/>
      <c r="AC79" s="241"/>
      <c r="AD79" s="241"/>
      <c r="AE79" s="241"/>
      <c r="AF79" s="241"/>
      <c r="AG79" s="241"/>
      <c r="AH79" s="241"/>
      <c r="AI79" s="241"/>
      <c r="AJ79" s="241"/>
      <c r="AK79" s="241"/>
      <c r="AL79" s="241"/>
      <c r="AM79" s="241"/>
      <c r="AN79" s="241"/>
      <c r="AO79" s="241"/>
      <c r="AP79" s="241"/>
      <c r="AQ79" s="241"/>
      <c r="AR79" s="241"/>
      <c r="AS79" s="241"/>
      <c r="AT79" s="241" t="s">
        <v>2743</v>
      </c>
      <c r="AU79" s="241"/>
      <c r="AV79" s="241"/>
      <c r="AW79" s="241"/>
      <c r="AX79" s="241"/>
      <c r="AY79" s="241"/>
      <c r="AZ79" s="241"/>
      <c r="BA79" s="241" t="s">
        <v>2901</v>
      </c>
      <c r="BB79" s="242"/>
      <c r="BC79" s="242"/>
      <c r="BD79" s="242"/>
      <c r="BE79" s="242"/>
      <c r="BF79" s="242"/>
      <c r="BG79" s="242"/>
      <c r="BH79" s="242"/>
      <c r="BI79" s="242"/>
    </row>
    <row r="80" spans="1:61" ht="18" customHeight="1">
      <c r="A80" s="241"/>
      <c r="B80" s="241"/>
      <c r="C80" s="241"/>
      <c r="D80" s="241"/>
      <c r="E80" s="241"/>
      <c r="F80" s="241"/>
      <c r="G80" s="241"/>
      <c r="H80" s="241" t="s">
        <v>2753</v>
      </c>
      <c r="I80" s="241"/>
      <c r="J80" s="241"/>
      <c r="K80" s="241"/>
      <c r="L80" s="241"/>
      <c r="M80" s="241"/>
      <c r="N80" s="241"/>
      <c r="O80" s="241" t="s">
        <v>2902</v>
      </c>
      <c r="P80" s="241"/>
      <c r="Q80" s="241"/>
      <c r="R80" s="241"/>
      <c r="S80" s="241"/>
      <c r="T80" s="241"/>
      <c r="U80" s="241"/>
      <c r="V80" s="241"/>
      <c r="W80" s="241"/>
      <c r="X80" s="241"/>
      <c r="Y80" s="241"/>
      <c r="Z80" s="241"/>
      <c r="AA80" s="241"/>
      <c r="AB80" s="241"/>
      <c r="AC80" s="241"/>
      <c r="AD80" s="241"/>
      <c r="AE80" s="241" t="s">
        <v>2700</v>
      </c>
      <c r="AF80" s="241"/>
      <c r="AG80" s="241"/>
      <c r="AH80" s="241"/>
      <c r="AI80" s="241"/>
      <c r="AJ80" s="241"/>
      <c r="AK80" s="241"/>
      <c r="AL80" s="241"/>
      <c r="AM80" s="241"/>
      <c r="AN80" s="241"/>
      <c r="AO80" s="241"/>
      <c r="AP80" s="241"/>
      <c r="AQ80" s="241"/>
      <c r="AR80" s="241"/>
      <c r="AS80" s="241"/>
      <c r="AT80" s="241" t="s">
        <v>2713</v>
      </c>
      <c r="AU80" s="241"/>
      <c r="AV80" s="241"/>
      <c r="AW80" s="241"/>
      <c r="AX80" s="241"/>
      <c r="AY80" s="241"/>
      <c r="AZ80" s="241"/>
      <c r="BA80" s="241" t="s">
        <v>2741</v>
      </c>
      <c r="BB80" s="242"/>
      <c r="BC80" s="242"/>
      <c r="BD80" s="242"/>
      <c r="BE80" s="242"/>
      <c r="BF80" s="242"/>
      <c r="BG80" s="242"/>
      <c r="BH80" s="242"/>
      <c r="BI80" s="242"/>
    </row>
    <row r="81" spans="1:61" ht="18" customHeight="1">
      <c r="A81" s="241"/>
      <c r="B81" s="241"/>
      <c r="C81" s="241"/>
      <c r="D81" s="241"/>
      <c r="E81" s="241"/>
      <c r="F81" s="241"/>
      <c r="G81" s="241"/>
      <c r="H81" s="241" t="s">
        <v>2757</v>
      </c>
      <c r="I81" s="241"/>
      <c r="J81" s="241"/>
      <c r="K81" s="241"/>
      <c r="L81" s="241"/>
      <c r="M81" s="241"/>
      <c r="N81" s="241"/>
      <c r="O81" s="241" t="s">
        <v>2903</v>
      </c>
      <c r="P81" s="241"/>
      <c r="Q81" s="241"/>
      <c r="R81" s="241"/>
      <c r="S81" s="241"/>
      <c r="T81" s="241"/>
      <c r="U81" s="241"/>
      <c r="V81" s="241"/>
      <c r="W81" s="241"/>
      <c r="X81" s="241"/>
      <c r="Y81" s="241"/>
      <c r="Z81" s="241"/>
      <c r="AA81" s="241"/>
      <c r="AB81" s="241"/>
      <c r="AC81" s="241"/>
      <c r="AD81" s="241"/>
      <c r="AE81" s="241" t="s">
        <v>2904</v>
      </c>
      <c r="AF81" s="241"/>
      <c r="AG81" s="241"/>
      <c r="AH81" s="241"/>
      <c r="AI81" s="241"/>
      <c r="AJ81" s="241"/>
      <c r="AK81" s="241"/>
      <c r="AL81" s="241"/>
      <c r="AM81" s="241"/>
      <c r="AN81" s="241"/>
      <c r="AO81" s="241"/>
      <c r="AP81" s="241"/>
      <c r="AQ81" s="241"/>
      <c r="AR81" s="241"/>
      <c r="AS81" s="241"/>
      <c r="AT81" s="241"/>
      <c r="AU81" s="241"/>
      <c r="AV81" s="241"/>
      <c r="AW81" s="241"/>
      <c r="AX81" s="241"/>
      <c r="AY81" s="241"/>
      <c r="AZ81" s="241"/>
      <c r="BA81" s="241"/>
      <c r="BB81" s="242"/>
      <c r="BC81" s="242"/>
      <c r="BD81" s="242"/>
      <c r="BE81" s="242"/>
      <c r="BF81" s="242"/>
      <c r="BG81" s="242"/>
      <c r="BH81" s="242"/>
      <c r="BI81" s="242"/>
    </row>
    <row r="82" spans="1:61" ht="18" customHeight="1">
      <c r="A82" s="241"/>
      <c r="B82" s="241"/>
      <c r="C82" s="241"/>
      <c r="D82" s="241"/>
      <c r="E82" s="241"/>
      <c r="F82" s="241"/>
      <c r="G82" s="241"/>
      <c r="H82" s="241" t="s">
        <v>2879</v>
      </c>
      <c r="I82" s="241"/>
      <c r="J82" s="241"/>
      <c r="K82" s="241"/>
      <c r="L82" s="241"/>
      <c r="M82" s="241"/>
      <c r="N82" s="241"/>
      <c r="O82" s="241" t="s">
        <v>2905</v>
      </c>
      <c r="P82" s="241"/>
      <c r="Q82" s="241"/>
      <c r="R82" s="241"/>
      <c r="S82" s="241"/>
      <c r="T82" s="241"/>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t="s">
        <v>2700</v>
      </c>
      <c r="AU82" s="241"/>
      <c r="AV82" s="241"/>
      <c r="AW82" s="241"/>
      <c r="AX82" s="241"/>
      <c r="AY82" s="241"/>
      <c r="AZ82" s="241"/>
      <c r="BA82" s="241" t="s">
        <v>2700</v>
      </c>
      <c r="BB82" s="242"/>
      <c r="BC82" s="242"/>
      <c r="BD82" s="242"/>
      <c r="BE82" s="242"/>
      <c r="BF82" s="242"/>
      <c r="BG82" s="242"/>
      <c r="BH82" s="242"/>
      <c r="BI82" s="242"/>
    </row>
    <row r="83" spans="1:61" ht="18" customHeight="1">
      <c r="A83" s="241"/>
      <c r="B83" s="241"/>
      <c r="C83" s="241"/>
      <c r="D83" s="241"/>
      <c r="E83" s="241"/>
      <c r="F83" s="241"/>
      <c r="G83" s="241"/>
      <c r="H83" s="241" t="s">
        <v>2883</v>
      </c>
      <c r="I83" s="241"/>
      <c r="J83" s="241"/>
      <c r="K83" s="241"/>
      <c r="L83" s="241"/>
      <c r="M83" s="241"/>
      <c r="N83" s="241"/>
      <c r="O83" s="241" t="s">
        <v>2906</v>
      </c>
      <c r="P83" s="241"/>
      <c r="Q83" s="241"/>
      <c r="R83" s="241"/>
      <c r="S83" s="241"/>
      <c r="T83" s="241"/>
      <c r="U83" s="241"/>
      <c r="V83" s="241"/>
      <c r="W83" s="241"/>
      <c r="X83" s="241"/>
      <c r="Y83" s="241"/>
      <c r="Z83" s="241"/>
      <c r="AA83" s="241"/>
      <c r="AB83" s="241"/>
      <c r="AC83" s="241"/>
      <c r="AD83" s="241"/>
      <c r="AE83" s="241" t="s">
        <v>2700</v>
      </c>
      <c r="AF83" s="241"/>
      <c r="AG83" s="241"/>
      <c r="AH83" s="241"/>
      <c r="AI83" s="241"/>
      <c r="AJ83" s="241"/>
      <c r="AK83" s="241"/>
      <c r="AL83" s="241"/>
      <c r="AM83" s="241"/>
      <c r="AN83" s="241"/>
      <c r="AO83" s="241"/>
      <c r="AP83" s="241"/>
      <c r="AQ83" s="241"/>
      <c r="AR83" s="241"/>
      <c r="AS83" s="241"/>
      <c r="AT83" s="241" t="s">
        <v>2907</v>
      </c>
      <c r="AU83" s="241"/>
      <c r="AV83" s="241"/>
      <c r="AW83" s="241"/>
      <c r="AX83" s="241"/>
      <c r="AY83" s="241"/>
      <c r="AZ83" s="241"/>
      <c r="BA83" s="241" t="s">
        <v>2908</v>
      </c>
      <c r="BB83" s="242"/>
      <c r="BC83" s="242"/>
      <c r="BD83" s="242"/>
      <c r="BE83" s="242"/>
      <c r="BF83" s="242"/>
      <c r="BG83" s="242"/>
      <c r="BH83" s="242"/>
      <c r="BI83" s="242"/>
    </row>
    <row r="84" spans="1:61" ht="18" customHeight="1">
      <c r="A84" s="241"/>
      <c r="B84" s="241"/>
      <c r="C84" s="241"/>
      <c r="D84" s="241"/>
      <c r="E84" s="241"/>
      <c r="F84" s="241"/>
      <c r="G84" s="241"/>
      <c r="H84" s="241" t="s">
        <v>2886</v>
      </c>
      <c r="I84" s="241"/>
      <c r="J84" s="241"/>
      <c r="K84" s="241"/>
      <c r="L84" s="241"/>
      <c r="M84" s="241"/>
      <c r="N84" s="241"/>
      <c r="O84" s="241" t="s">
        <v>2909</v>
      </c>
      <c r="P84" s="241"/>
      <c r="Q84" s="241"/>
      <c r="R84" s="241"/>
      <c r="S84" s="241"/>
      <c r="T84" s="241"/>
      <c r="U84" s="241"/>
      <c r="V84" s="241"/>
      <c r="W84" s="241"/>
      <c r="X84" s="241"/>
      <c r="Y84" s="241"/>
      <c r="Z84" s="241"/>
      <c r="AA84" s="241"/>
      <c r="AB84" s="241"/>
      <c r="AC84" s="241"/>
      <c r="AD84" s="241"/>
      <c r="AE84" s="241" t="s">
        <v>2910</v>
      </c>
      <c r="AF84" s="241"/>
      <c r="AG84" s="241"/>
      <c r="AH84" s="241"/>
      <c r="AI84" s="241"/>
      <c r="AJ84" s="241"/>
      <c r="AK84" s="241"/>
      <c r="AL84" s="241"/>
      <c r="AM84" s="241"/>
      <c r="AN84" s="241"/>
      <c r="AO84" s="241"/>
      <c r="AP84" s="241"/>
      <c r="AQ84" s="241"/>
      <c r="AR84" s="241"/>
      <c r="AS84" s="241"/>
      <c r="AT84" s="241" t="s">
        <v>2740</v>
      </c>
      <c r="AU84" s="241"/>
      <c r="AV84" s="241"/>
      <c r="AW84" s="241"/>
      <c r="AX84" s="241"/>
      <c r="AY84" s="241"/>
      <c r="AZ84" s="241"/>
      <c r="BA84" s="241" t="s">
        <v>2731</v>
      </c>
      <c r="BB84" s="242"/>
      <c r="BC84" s="242"/>
      <c r="BD84" s="242"/>
      <c r="BE84" s="242"/>
      <c r="BF84" s="242"/>
      <c r="BG84" s="242"/>
      <c r="BH84" s="242"/>
      <c r="BI84" s="242"/>
    </row>
    <row r="85" spans="1:61" ht="18" customHeight="1">
      <c r="A85" s="241"/>
      <c r="B85" s="241"/>
      <c r="C85" s="241"/>
      <c r="D85" s="241"/>
      <c r="E85" s="241"/>
      <c r="F85" s="241"/>
      <c r="G85" s="241"/>
      <c r="H85" s="241" t="s">
        <v>2888</v>
      </c>
      <c r="I85" s="241"/>
      <c r="J85" s="241"/>
      <c r="K85" s="241"/>
      <c r="L85" s="241"/>
      <c r="M85" s="241"/>
      <c r="N85" s="241"/>
      <c r="O85" s="241" t="s">
        <v>2911</v>
      </c>
      <c r="P85" s="241"/>
      <c r="Q85" s="241"/>
      <c r="R85" s="241"/>
      <c r="S85" s="241"/>
      <c r="T85" s="241"/>
      <c r="U85" s="241"/>
      <c r="V85" s="241"/>
      <c r="W85" s="241"/>
      <c r="X85" s="241"/>
      <c r="Y85" s="241"/>
      <c r="Z85" s="241"/>
      <c r="AA85" s="241"/>
      <c r="AB85" s="241"/>
      <c r="AC85" s="241"/>
      <c r="AD85" s="241"/>
      <c r="AE85" s="241"/>
      <c r="AF85" s="241"/>
      <c r="AG85" s="241"/>
      <c r="AH85" s="241"/>
      <c r="AI85" s="241"/>
      <c r="AJ85" s="241"/>
      <c r="AK85" s="241"/>
      <c r="AL85" s="241"/>
      <c r="AM85" s="241"/>
      <c r="AN85" s="241"/>
      <c r="AO85" s="241"/>
      <c r="AP85" s="241"/>
      <c r="AQ85" s="241"/>
      <c r="AR85" s="241"/>
      <c r="AS85" s="241"/>
      <c r="AT85" s="241" t="s">
        <v>2743</v>
      </c>
      <c r="AU85" s="241"/>
      <c r="AV85" s="241"/>
      <c r="AW85" s="241"/>
      <c r="AX85" s="241"/>
      <c r="AY85" s="241"/>
      <c r="AZ85" s="241"/>
      <c r="BA85" s="241"/>
      <c r="BB85" s="242"/>
      <c r="BC85" s="242"/>
      <c r="BD85" s="242"/>
      <c r="BE85" s="242"/>
      <c r="BF85" s="242"/>
      <c r="BG85" s="242"/>
      <c r="BH85" s="242"/>
      <c r="BI85" s="242"/>
    </row>
    <row r="86" spans="1:61" ht="18" customHeight="1">
      <c r="A86" s="241"/>
      <c r="B86" s="241"/>
      <c r="C86" s="241"/>
      <c r="D86" s="241"/>
      <c r="E86" s="241"/>
      <c r="F86" s="241"/>
      <c r="G86" s="241"/>
      <c r="H86" s="241" t="s">
        <v>2890</v>
      </c>
      <c r="I86" s="241"/>
      <c r="J86" s="241"/>
      <c r="K86" s="241"/>
      <c r="L86" s="241"/>
      <c r="M86" s="241"/>
      <c r="N86" s="241"/>
      <c r="O86" s="241" t="s">
        <v>2912</v>
      </c>
      <c r="P86" s="241"/>
      <c r="Q86" s="241"/>
      <c r="R86" s="241"/>
      <c r="S86" s="241"/>
      <c r="T86" s="241"/>
      <c r="U86" s="241"/>
      <c r="V86" s="241"/>
      <c r="W86" s="241"/>
      <c r="X86" s="241"/>
      <c r="Y86" s="241"/>
      <c r="Z86" s="241"/>
      <c r="AA86" s="241"/>
      <c r="AB86" s="241"/>
      <c r="AC86" s="241"/>
      <c r="AD86" s="241"/>
      <c r="AE86" s="241" t="s">
        <v>2700</v>
      </c>
      <c r="AF86" s="241"/>
      <c r="AG86" s="241"/>
      <c r="AH86" s="241"/>
      <c r="AI86" s="241"/>
      <c r="AJ86" s="241"/>
      <c r="AK86" s="241"/>
      <c r="AL86" s="241"/>
      <c r="AM86" s="241"/>
      <c r="AN86" s="241"/>
      <c r="AO86" s="241"/>
      <c r="AP86" s="241"/>
      <c r="AQ86" s="241"/>
      <c r="AR86" s="241"/>
      <c r="AS86" s="241"/>
      <c r="AT86" s="241" t="s">
        <v>2713</v>
      </c>
      <c r="AU86" s="241"/>
      <c r="AV86" s="241"/>
      <c r="AW86" s="241"/>
      <c r="AX86" s="241"/>
      <c r="AY86" s="241"/>
      <c r="AZ86" s="241"/>
      <c r="BA86" s="241" t="s">
        <v>2700</v>
      </c>
      <c r="BB86" s="242"/>
      <c r="BC86" s="242"/>
      <c r="BD86" s="242"/>
      <c r="BE86" s="242"/>
      <c r="BF86" s="242"/>
      <c r="BG86" s="242"/>
      <c r="BH86" s="242"/>
      <c r="BI86" s="242"/>
    </row>
    <row r="87" spans="1:61" ht="18" customHeight="1">
      <c r="A87" s="241"/>
      <c r="B87" s="241"/>
      <c r="C87" s="241"/>
      <c r="D87" s="241"/>
      <c r="E87" s="241"/>
      <c r="F87" s="241"/>
      <c r="G87" s="241"/>
      <c r="H87" s="241"/>
      <c r="I87" s="241"/>
      <c r="J87" s="241"/>
      <c r="K87" s="241"/>
      <c r="L87" s="241"/>
      <c r="M87" s="241"/>
      <c r="N87" s="241"/>
      <c r="O87" s="241" t="s">
        <v>2913</v>
      </c>
      <c r="P87" s="241"/>
      <c r="Q87" s="241"/>
      <c r="R87" s="241"/>
      <c r="S87" s="241"/>
      <c r="T87" s="241"/>
      <c r="U87" s="241"/>
      <c r="V87" s="241"/>
      <c r="W87" s="241"/>
      <c r="X87" s="241"/>
      <c r="Y87" s="241"/>
      <c r="Z87" s="241"/>
      <c r="AA87" s="241"/>
      <c r="AB87" s="241"/>
      <c r="AC87" s="241"/>
      <c r="AD87" s="241"/>
      <c r="AE87" s="241" t="s">
        <v>2914</v>
      </c>
      <c r="AF87" s="241"/>
      <c r="AG87" s="241"/>
      <c r="AH87" s="241"/>
      <c r="AI87" s="241"/>
      <c r="AJ87" s="241"/>
      <c r="AK87" s="241"/>
      <c r="AL87" s="241"/>
      <c r="AM87" s="241"/>
      <c r="AN87" s="241"/>
      <c r="AO87" s="241"/>
      <c r="AP87" s="241"/>
      <c r="AQ87" s="241"/>
      <c r="AR87" s="241"/>
      <c r="AS87" s="241"/>
      <c r="AT87" s="241"/>
      <c r="AU87" s="241"/>
      <c r="AV87" s="241"/>
      <c r="AW87" s="241"/>
      <c r="AX87" s="241"/>
      <c r="AY87" s="241"/>
      <c r="AZ87" s="241"/>
      <c r="BA87" s="241" t="s">
        <v>2915</v>
      </c>
      <c r="BB87" s="242"/>
      <c r="BC87" s="242"/>
      <c r="BD87" s="242"/>
      <c r="BE87" s="242"/>
      <c r="BF87" s="242"/>
      <c r="BG87" s="242"/>
      <c r="BH87" s="242"/>
      <c r="BI87" s="242"/>
    </row>
    <row r="88" spans="1:61" ht="18" customHeight="1">
      <c r="A88" s="241"/>
      <c r="B88" s="241"/>
      <c r="C88" s="241"/>
      <c r="D88" s="241"/>
      <c r="E88" s="241"/>
      <c r="F88" s="241"/>
      <c r="G88" s="241"/>
      <c r="H88" s="241" t="s">
        <v>2699</v>
      </c>
      <c r="I88" s="241"/>
      <c r="J88" s="241"/>
      <c r="K88" s="241"/>
      <c r="L88" s="241"/>
      <c r="M88" s="241"/>
      <c r="N88" s="241"/>
      <c r="O88" s="241" t="s">
        <v>2916</v>
      </c>
      <c r="P88" s="241"/>
      <c r="Q88" s="241"/>
      <c r="R88" s="241"/>
      <c r="S88" s="241"/>
      <c r="T88" s="241"/>
      <c r="U88" s="241"/>
      <c r="V88" s="241"/>
      <c r="W88" s="241"/>
      <c r="X88" s="241"/>
      <c r="Y88" s="241"/>
      <c r="Z88" s="241"/>
      <c r="AA88" s="241"/>
      <c r="AB88" s="241"/>
      <c r="AC88" s="241"/>
      <c r="AD88" s="241"/>
      <c r="AE88" s="241"/>
      <c r="AF88" s="241"/>
      <c r="AG88" s="241"/>
      <c r="AH88" s="241"/>
      <c r="AI88" s="241"/>
      <c r="AJ88" s="241"/>
      <c r="AK88" s="241"/>
      <c r="AL88" s="241"/>
      <c r="AM88" s="241"/>
      <c r="AN88" s="241"/>
      <c r="AO88" s="241"/>
      <c r="AP88" s="241"/>
      <c r="AQ88" s="241"/>
      <c r="AR88" s="241"/>
      <c r="AS88" s="241"/>
      <c r="AT88" s="241" t="s">
        <v>2700</v>
      </c>
      <c r="AU88" s="241"/>
      <c r="AV88" s="241"/>
      <c r="AW88" s="241"/>
      <c r="AX88" s="241"/>
      <c r="AY88" s="241"/>
      <c r="AZ88" s="241"/>
      <c r="BA88" s="241" t="s">
        <v>2741</v>
      </c>
      <c r="BB88" s="242"/>
      <c r="BC88" s="242"/>
      <c r="BD88" s="242"/>
      <c r="BE88" s="242"/>
      <c r="BF88" s="242"/>
      <c r="BG88" s="242"/>
      <c r="BH88" s="242"/>
      <c r="BI88" s="242"/>
    </row>
    <row r="89" spans="1:61" ht="18" customHeight="1">
      <c r="A89" s="241"/>
      <c r="B89" s="241"/>
      <c r="C89" s="241"/>
      <c r="D89" s="241"/>
      <c r="E89" s="241"/>
      <c r="F89" s="241"/>
      <c r="G89" s="241"/>
      <c r="H89" s="241" t="s">
        <v>2917</v>
      </c>
      <c r="I89" s="241"/>
      <c r="J89" s="241"/>
      <c r="K89" s="241"/>
      <c r="L89" s="241"/>
      <c r="M89" s="241"/>
      <c r="N89" s="241"/>
      <c r="O89" s="241" t="s">
        <v>2918</v>
      </c>
      <c r="P89" s="241"/>
      <c r="Q89" s="241"/>
      <c r="R89" s="241"/>
      <c r="S89" s="241"/>
      <c r="T89" s="241"/>
      <c r="U89" s="241"/>
      <c r="V89" s="241"/>
      <c r="W89" s="241"/>
      <c r="X89" s="241"/>
      <c r="Y89" s="241"/>
      <c r="Z89" s="241"/>
      <c r="AA89" s="241"/>
      <c r="AB89" s="241"/>
      <c r="AC89" s="241"/>
      <c r="AD89" s="241"/>
      <c r="AE89" s="241" t="s">
        <v>2700</v>
      </c>
      <c r="AF89" s="241"/>
      <c r="AG89" s="241"/>
      <c r="AH89" s="241"/>
      <c r="AI89" s="241"/>
      <c r="AJ89" s="241"/>
      <c r="AK89" s="241"/>
      <c r="AL89" s="241"/>
      <c r="AM89" s="241"/>
      <c r="AN89" s="241"/>
      <c r="AO89" s="241"/>
      <c r="AP89" s="241"/>
      <c r="AQ89" s="241"/>
      <c r="AR89" s="241"/>
      <c r="AS89" s="241"/>
      <c r="AT89" s="241" t="s">
        <v>2919</v>
      </c>
      <c r="AU89" s="241"/>
      <c r="AV89" s="241"/>
      <c r="AW89" s="241"/>
      <c r="AX89" s="241"/>
      <c r="AY89" s="241"/>
      <c r="AZ89" s="241"/>
      <c r="BA89" s="241"/>
      <c r="BB89" s="242"/>
      <c r="BC89" s="242"/>
      <c r="BD89" s="242"/>
      <c r="BE89" s="242"/>
      <c r="BF89" s="242"/>
      <c r="BG89" s="242"/>
      <c r="BH89" s="242"/>
      <c r="BI89" s="242"/>
    </row>
    <row r="90" spans="1:61" ht="18" customHeight="1">
      <c r="A90" s="241"/>
      <c r="B90" s="241"/>
      <c r="C90" s="241"/>
      <c r="D90" s="241"/>
      <c r="E90" s="241"/>
      <c r="F90" s="241"/>
      <c r="G90" s="241"/>
      <c r="H90" s="241" t="s">
        <v>2750</v>
      </c>
      <c r="I90" s="241"/>
      <c r="J90" s="241"/>
      <c r="K90" s="241"/>
      <c r="L90" s="241"/>
      <c r="M90" s="241"/>
      <c r="N90" s="241"/>
      <c r="O90" s="241" t="s">
        <v>2920</v>
      </c>
      <c r="P90" s="241"/>
      <c r="Q90" s="241"/>
      <c r="R90" s="241"/>
      <c r="S90" s="241"/>
      <c r="T90" s="241"/>
      <c r="U90" s="241"/>
      <c r="V90" s="241"/>
      <c r="W90" s="241"/>
      <c r="X90" s="241"/>
      <c r="Y90" s="241"/>
      <c r="Z90" s="241"/>
      <c r="AA90" s="241"/>
      <c r="AB90" s="241"/>
      <c r="AC90" s="241"/>
      <c r="AD90" s="241"/>
      <c r="AE90" s="241" t="s">
        <v>2921</v>
      </c>
      <c r="AF90" s="241"/>
      <c r="AG90" s="241"/>
      <c r="AH90" s="241"/>
      <c r="AI90" s="241"/>
      <c r="AJ90" s="241"/>
      <c r="AK90" s="241"/>
      <c r="AL90" s="241"/>
      <c r="AM90" s="241"/>
      <c r="AN90" s="241"/>
      <c r="AO90" s="241"/>
      <c r="AP90" s="241"/>
      <c r="AQ90" s="241"/>
      <c r="AR90" s="241"/>
      <c r="AS90" s="241"/>
      <c r="AT90" s="241" t="s">
        <v>2760</v>
      </c>
      <c r="AU90" s="241"/>
      <c r="AV90" s="241"/>
      <c r="AW90" s="241"/>
      <c r="AX90" s="241"/>
      <c r="AY90" s="241"/>
      <c r="AZ90" s="241"/>
      <c r="BA90" s="241" t="s">
        <v>2700</v>
      </c>
      <c r="BB90" s="242"/>
      <c r="BC90" s="242"/>
      <c r="BD90" s="242"/>
      <c r="BE90" s="242"/>
      <c r="BF90" s="242"/>
      <c r="BG90" s="242"/>
      <c r="BH90" s="242"/>
      <c r="BI90" s="242"/>
    </row>
    <row r="91" spans="1:61" ht="18" customHeight="1">
      <c r="A91" s="241"/>
      <c r="B91" s="241"/>
      <c r="C91" s="241"/>
      <c r="D91" s="241"/>
      <c r="E91" s="241"/>
      <c r="F91" s="241"/>
      <c r="G91" s="241"/>
      <c r="H91" s="241" t="s">
        <v>2753</v>
      </c>
      <c r="I91" s="241"/>
      <c r="J91" s="241"/>
      <c r="K91" s="241"/>
      <c r="L91" s="241"/>
      <c r="M91" s="241"/>
      <c r="N91" s="241"/>
      <c r="O91" s="241" t="s">
        <v>2922</v>
      </c>
      <c r="P91" s="241"/>
      <c r="Q91" s="241"/>
      <c r="R91" s="241"/>
      <c r="S91" s="241"/>
      <c r="T91" s="241"/>
      <c r="U91" s="241"/>
      <c r="V91" s="241"/>
      <c r="W91" s="241"/>
      <c r="X91" s="241"/>
      <c r="Y91" s="241"/>
      <c r="Z91" s="241"/>
      <c r="AA91" s="241"/>
      <c r="AB91" s="241"/>
      <c r="AC91" s="241"/>
      <c r="AD91" s="241"/>
      <c r="AE91" s="241"/>
      <c r="AF91" s="241"/>
      <c r="AG91" s="241"/>
      <c r="AH91" s="241"/>
      <c r="AI91" s="241"/>
      <c r="AJ91" s="241"/>
      <c r="AK91" s="241"/>
      <c r="AL91" s="241"/>
      <c r="AM91" s="241"/>
      <c r="AN91" s="241"/>
      <c r="AO91" s="241"/>
      <c r="AP91" s="241"/>
      <c r="AQ91" s="241"/>
      <c r="AR91" s="241"/>
      <c r="AS91" s="241"/>
      <c r="AT91" s="241" t="s">
        <v>2743</v>
      </c>
      <c r="AU91" s="241"/>
      <c r="AV91" s="241"/>
      <c r="AW91" s="241"/>
      <c r="AX91" s="241"/>
      <c r="AY91" s="241"/>
      <c r="AZ91" s="241"/>
      <c r="BA91" s="241" t="s">
        <v>2923</v>
      </c>
      <c r="BB91" s="242"/>
      <c r="BC91" s="242"/>
      <c r="BD91" s="242"/>
      <c r="BE91" s="242"/>
      <c r="BF91" s="242"/>
      <c r="BG91" s="242"/>
      <c r="BH91" s="242"/>
      <c r="BI91" s="242"/>
    </row>
    <row r="92" spans="1:61" ht="18" customHeight="1">
      <c r="A92" s="241"/>
      <c r="B92" s="241"/>
      <c r="C92" s="241"/>
      <c r="D92" s="241"/>
      <c r="E92" s="241"/>
      <c r="F92" s="241"/>
      <c r="G92" s="241"/>
      <c r="H92" s="241" t="s">
        <v>2757</v>
      </c>
      <c r="I92" s="241"/>
      <c r="J92" s="241"/>
      <c r="K92" s="241"/>
      <c r="L92" s="241"/>
      <c r="M92" s="241"/>
      <c r="N92" s="241"/>
      <c r="O92" s="241" t="s">
        <v>2924</v>
      </c>
      <c r="P92" s="241"/>
      <c r="Q92" s="241"/>
      <c r="R92" s="241"/>
      <c r="S92" s="241"/>
      <c r="T92" s="241"/>
      <c r="U92" s="241"/>
      <c r="V92" s="241"/>
      <c r="W92" s="241"/>
      <c r="X92" s="241"/>
      <c r="Y92" s="241"/>
      <c r="Z92" s="241"/>
      <c r="AA92" s="241"/>
      <c r="AB92" s="241"/>
      <c r="AC92" s="241"/>
      <c r="AD92" s="241"/>
      <c r="AE92" s="241" t="s">
        <v>2700</v>
      </c>
      <c r="AF92" s="241"/>
      <c r="AG92" s="241"/>
      <c r="AH92" s="241"/>
      <c r="AI92" s="241"/>
      <c r="AJ92" s="241"/>
      <c r="AK92" s="241"/>
      <c r="AL92" s="241"/>
      <c r="AM92" s="241"/>
      <c r="AN92" s="241"/>
      <c r="AO92" s="241"/>
      <c r="AP92" s="241"/>
      <c r="AQ92" s="241"/>
      <c r="AR92" s="241"/>
      <c r="AS92" s="241"/>
      <c r="AT92" s="241" t="s">
        <v>2713</v>
      </c>
      <c r="AU92" s="241"/>
      <c r="AV92" s="241"/>
      <c r="AW92" s="241"/>
      <c r="AX92" s="241"/>
      <c r="AY92" s="241"/>
      <c r="AZ92" s="241"/>
      <c r="BA92" s="241" t="s">
        <v>2741</v>
      </c>
      <c r="BB92" s="242"/>
      <c r="BC92" s="242"/>
      <c r="BD92" s="242"/>
      <c r="BE92" s="242"/>
      <c r="BF92" s="242"/>
      <c r="BG92" s="242"/>
      <c r="BH92" s="242"/>
      <c r="BI92" s="242"/>
    </row>
    <row r="93" spans="1:61" ht="18" customHeight="1">
      <c r="A93" s="241"/>
      <c r="B93" s="241"/>
      <c r="C93" s="241"/>
      <c r="D93" s="241"/>
      <c r="E93" s="241"/>
      <c r="F93" s="241"/>
      <c r="G93" s="241"/>
      <c r="H93" s="241" t="s">
        <v>2762</v>
      </c>
      <c r="I93" s="241"/>
      <c r="J93" s="241"/>
      <c r="K93" s="241"/>
      <c r="L93" s="241"/>
      <c r="M93" s="241"/>
      <c r="N93" s="241"/>
      <c r="O93" s="241" t="s">
        <v>2925</v>
      </c>
      <c r="P93" s="241"/>
      <c r="Q93" s="241"/>
      <c r="R93" s="241"/>
      <c r="S93" s="241"/>
      <c r="T93" s="241"/>
      <c r="U93" s="241"/>
      <c r="V93" s="241"/>
      <c r="W93" s="241"/>
      <c r="X93" s="241"/>
      <c r="Y93" s="241"/>
      <c r="Z93" s="241"/>
      <c r="AA93" s="241"/>
      <c r="AB93" s="241"/>
      <c r="AC93" s="241"/>
      <c r="AD93" s="241"/>
      <c r="AE93" s="241" t="s">
        <v>2926</v>
      </c>
      <c r="AF93" s="241"/>
      <c r="AG93" s="241"/>
      <c r="AH93" s="241"/>
      <c r="AI93" s="241"/>
      <c r="AJ93" s="241"/>
      <c r="AK93" s="241"/>
      <c r="AL93" s="241"/>
      <c r="AM93" s="241"/>
      <c r="AN93" s="241"/>
      <c r="AO93" s="241"/>
      <c r="AP93" s="241"/>
      <c r="AQ93" s="241"/>
      <c r="AR93" s="241"/>
      <c r="AS93" s="241"/>
      <c r="AT93" s="241"/>
      <c r="AU93" s="241"/>
      <c r="AV93" s="241"/>
      <c r="AW93" s="241"/>
      <c r="AX93" s="241"/>
      <c r="AY93" s="241"/>
      <c r="AZ93" s="241"/>
      <c r="BA93" s="241"/>
      <c r="BB93" s="242"/>
      <c r="BC93" s="242"/>
      <c r="BD93" s="242"/>
      <c r="BE93" s="242"/>
      <c r="BF93" s="242"/>
      <c r="BG93" s="242"/>
      <c r="BH93" s="242"/>
      <c r="BI93" s="242"/>
    </row>
    <row r="94" spans="1:61" ht="18" customHeight="1">
      <c r="A94" s="241"/>
      <c r="B94" s="241"/>
      <c r="C94" s="241"/>
      <c r="D94" s="241"/>
      <c r="E94" s="241"/>
      <c r="F94" s="241"/>
      <c r="G94" s="241"/>
      <c r="H94" s="241" t="s">
        <v>2766</v>
      </c>
      <c r="I94" s="241"/>
      <c r="J94" s="241"/>
      <c r="K94" s="241"/>
      <c r="L94" s="241"/>
      <c r="M94" s="241"/>
      <c r="N94" s="241"/>
      <c r="O94" s="241" t="s">
        <v>2927</v>
      </c>
      <c r="P94" s="241"/>
      <c r="Q94" s="241"/>
      <c r="R94" s="241"/>
      <c r="S94" s="241"/>
      <c r="T94" s="241"/>
      <c r="U94" s="241"/>
      <c r="V94" s="241"/>
      <c r="W94" s="241"/>
      <c r="X94" s="241"/>
      <c r="Y94" s="241"/>
      <c r="Z94" s="241"/>
      <c r="AA94" s="241"/>
      <c r="AB94" s="241"/>
      <c r="AC94" s="241"/>
      <c r="AD94" s="241"/>
      <c r="AE94" s="241"/>
      <c r="AF94" s="241"/>
      <c r="AG94" s="241"/>
      <c r="AH94" s="241"/>
      <c r="AI94" s="241"/>
      <c r="AJ94" s="241"/>
      <c r="AK94" s="241"/>
      <c r="AL94" s="241"/>
      <c r="AM94" s="241"/>
      <c r="AN94" s="241"/>
      <c r="AO94" s="241"/>
      <c r="AP94" s="241"/>
      <c r="AQ94" s="241"/>
      <c r="AR94" s="241"/>
      <c r="AS94" s="241"/>
      <c r="AT94" s="241" t="s">
        <v>2700</v>
      </c>
      <c r="AU94" s="241"/>
      <c r="AV94" s="241"/>
      <c r="AW94" s="241"/>
      <c r="AX94" s="241"/>
      <c r="AY94" s="241"/>
      <c r="AZ94" s="241"/>
      <c r="BA94" s="241" t="s">
        <v>2700</v>
      </c>
      <c r="BB94" s="242"/>
      <c r="BC94" s="242"/>
      <c r="BD94" s="242"/>
      <c r="BE94" s="242"/>
      <c r="BF94" s="242"/>
      <c r="BG94" s="242"/>
      <c r="BH94" s="242"/>
      <c r="BI94" s="242"/>
    </row>
    <row r="95" spans="1:61" ht="18" customHeight="1">
      <c r="A95" s="241"/>
      <c r="B95" s="241"/>
      <c r="C95" s="241"/>
      <c r="D95" s="241"/>
      <c r="E95" s="241"/>
      <c r="F95" s="241"/>
      <c r="G95" s="241"/>
      <c r="H95" s="241" t="s">
        <v>2769</v>
      </c>
      <c r="I95" s="241"/>
      <c r="J95" s="241"/>
      <c r="K95" s="241"/>
      <c r="L95" s="241"/>
      <c r="M95" s="241"/>
      <c r="N95" s="241"/>
      <c r="O95" s="241" t="s">
        <v>2928</v>
      </c>
      <c r="P95" s="241"/>
      <c r="Q95" s="241"/>
      <c r="R95" s="241"/>
      <c r="S95" s="241"/>
      <c r="T95" s="241"/>
      <c r="U95" s="241"/>
      <c r="V95" s="241"/>
      <c r="W95" s="241"/>
      <c r="X95" s="241"/>
      <c r="Y95" s="241"/>
      <c r="Z95" s="241"/>
      <c r="AA95" s="241"/>
      <c r="AB95" s="241"/>
      <c r="AC95" s="241"/>
      <c r="AD95" s="241"/>
      <c r="AE95" s="241" t="s">
        <v>2700</v>
      </c>
      <c r="AF95" s="241"/>
      <c r="AG95" s="241"/>
      <c r="AH95" s="241"/>
      <c r="AI95" s="241"/>
      <c r="AJ95" s="241"/>
      <c r="AK95" s="241"/>
      <c r="AL95" s="241"/>
      <c r="AM95" s="241"/>
      <c r="AN95" s="241"/>
      <c r="AO95" s="241"/>
      <c r="AP95" s="241"/>
      <c r="AQ95" s="241"/>
      <c r="AR95" s="241"/>
      <c r="AS95" s="241"/>
      <c r="AT95" s="241" t="s">
        <v>2929</v>
      </c>
      <c r="AU95" s="241"/>
      <c r="AV95" s="241"/>
      <c r="AW95" s="241"/>
      <c r="AX95" s="241"/>
      <c r="AY95" s="241"/>
      <c r="AZ95" s="241"/>
      <c r="BA95" s="241" t="s">
        <v>2930</v>
      </c>
      <c r="BB95" s="242"/>
      <c r="BC95" s="242"/>
      <c r="BD95" s="242"/>
      <c r="BE95" s="242"/>
      <c r="BF95" s="242"/>
      <c r="BG95" s="242"/>
      <c r="BH95" s="242"/>
      <c r="BI95" s="242"/>
    </row>
    <row r="96" spans="1:61" ht="18" customHeight="1">
      <c r="A96" s="241"/>
      <c r="B96" s="241"/>
      <c r="C96" s="241"/>
      <c r="D96" s="241"/>
      <c r="E96" s="241"/>
      <c r="F96" s="241"/>
      <c r="G96" s="241"/>
      <c r="H96" s="241" t="s">
        <v>2773</v>
      </c>
      <c r="I96" s="241"/>
      <c r="J96" s="241"/>
      <c r="K96" s="241"/>
      <c r="L96" s="241"/>
      <c r="M96" s="241"/>
      <c r="N96" s="241"/>
      <c r="O96" s="241" t="s">
        <v>2931</v>
      </c>
      <c r="P96" s="241"/>
      <c r="Q96" s="241"/>
      <c r="R96" s="241"/>
      <c r="S96" s="241"/>
      <c r="T96" s="241"/>
      <c r="U96" s="241"/>
      <c r="V96" s="241"/>
      <c r="W96" s="241"/>
      <c r="X96" s="241"/>
      <c r="Y96" s="241"/>
      <c r="Z96" s="241"/>
      <c r="AA96" s="241"/>
      <c r="AB96" s="241"/>
      <c r="AC96" s="241"/>
      <c r="AD96" s="241"/>
      <c r="AE96" s="241" t="s">
        <v>2932</v>
      </c>
      <c r="AF96" s="241"/>
      <c r="AG96" s="241"/>
      <c r="AH96" s="241"/>
      <c r="AI96" s="241"/>
      <c r="AJ96" s="241"/>
      <c r="AK96" s="241"/>
      <c r="AL96" s="241"/>
      <c r="AM96" s="241"/>
      <c r="AN96" s="241"/>
      <c r="AO96" s="241"/>
      <c r="AP96" s="241"/>
      <c r="AQ96" s="241"/>
      <c r="AR96" s="241"/>
      <c r="AS96" s="241"/>
      <c r="AT96" s="241" t="s">
        <v>2740</v>
      </c>
      <c r="AU96" s="241"/>
      <c r="AV96" s="241"/>
      <c r="AW96" s="241"/>
      <c r="AX96" s="241"/>
      <c r="AY96" s="241"/>
      <c r="AZ96" s="241"/>
      <c r="BA96" s="241" t="s">
        <v>2741</v>
      </c>
      <c r="BB96" s="242"/>
      <c r="BC96" s="242"/>
      <c r="BD96" s="242"/>
      <c r="BE96" s="242"/>
      <c r="BF96" s="242"/>
      <c r="BG96" s="242"/>
      <c r="BH96" s="242"/>
      <c r="BI96" s="242"/>
    </row>
    <row r="97" spans="1:61" ht="18" customHeight="1">
      <c r="A97" s="241"/>
      <c r="B97" s="241"/>
      <c r="C97" s="241"/>
      <c r="D97" s="241"/>
      <c r="E97" s="241"/>
      <c r="F97" s="241"/>
      <c r="G97" s="241"/>
      <c r="H97" s="241"/>
      <c r="I97" s="241"/>
      <c r="J97" s="241"/>
      <c r="K97" s="241"/>
      <c r="L97" s="241"/>
      <c r="M97" s="241"/>
      <c r="N97" s="241"/>
      <c r="O97" s="241" t="s">
        <v>2933</v>
      </c>
      <c r="P97" s="241"/>
      <c r="Q97" s="241"/>
      <c r="R97" s="241"/>
      <c r="S97" s="241"/>
      <c r="T97" s="241"/>
      <c r="U97" s="241"/>
      <c r="V97" s="241"/>
      <c r="W97" s="241"/>
      <c r="X97" s="241"/>
      <c r="Y97" s="241"/>
      <c r="Z97" s="241"/>
      <c r="AA97" s="241"/>
      <c r="AB97" s="241"/>
      <c r="AC97" s="241"/>
      <c r="AD97" s="241"/>
      <c r="AE97" s="241"/>
      <c r="AF97" s="241"/>
      <c r="AG97" s="241"/>
      <c r="AH97" s="241"/>
      <c r="AI97" s="241"/>
      <c r="AJ97" s="241"/>
      <c r="AK97" s="241"/>
      <c r="AL97" s="241"/>
      <c r="AM97" s="241"/>
      <c r="AN97" s="241"/>
      <c r="AO97" s="241"/>
      <c r="AP97" s="241"/>
      <c r="AQ97" s="241"/>
      <c r="AR97" s="241"/>
      <c r="AS97" s="241"/>
      <c r="AT97" s="241" t="s">
        <v>2743</v>
      </c>
      <c r="AU97" s="241"/>
      <c r="AV97" s="241"/>
      <c r="AW97" s="241"/>
      <c r="AX97" s="241"/>
      <c r="AY97" s="241"/>
      <c r="AZ97" s="241"/>
      <c r="BA97" s="241"/>
      <c r="BB97" s="242"/>
      <c r="BC97" s="242"/>
      <c r="BD97" s="242"/>
      <c r="BE97" s="242"/>
      <c r="BF97" s="242"/>
      <c r="BG97" s="242"/>
      <c r="BH97" s="242"/>
      <c r="BI97" s="242"/>
    </row>
    <row r="98" spans="1:61" ht="18" customHeight="1">
      <c r="A98" s="241"/>
      <c r="B98" s="241"/>
      <c r="C98" s="241"/>
      <c r="D98" s="241"/>
      <c r="E98" s="241"/>
      <c r="F98" s="241"/>
      <c r="G98" s="241"/>
      <c r="H98" s="241" t="s">
        <v>2699</v>
      </c>
      <c r="I98" s="241"/>
      <c r="J98" s="241"/>
      <c r="K98" s="241"/>
      <c r="L98" s="241"/>
      <c r="M98" s="241"/>
      <c r="N98" s="241"/>
      <c r="O98" s="241" t="s">
        <v>2934</v>
      </c>
      <c r="P98" s="241"/>
      <c r="Q98" s="241"/>
      <c r="R98" s="241"/>
      <c r="S98" s="241"/>
      <c r="T98" s="241"/>
      <c r="U98" s="241"/>
      <c r="V98" s="241"/>
      <c r="W98" s="241"/>
      <c r="X98" s="241"/>
      <c r="Y98" s="241"/>
      <c r="Z98" s="241"/>
      <c r="AA98" s="241"/>
      <c r="AB98" s="241"/>
      <c r="AC98" s="241"/>
      <c r="AD98" s="241"/>
      <c r="AE98" s="241" t="s">
        <v>2700</v>
      </c>
      <c r="AF98" s="241"/>
      <c r="AG98" s="241"/>
      <c r="AH98" s="241"/>
      <c r="AI98" s="241"/>
      <c r="AJ98" s="241"/>
      <c r="AK98" s="241"/>
      <c r="AL98" s="241"/>
      <c r="AM98" s="241"/>
      <c r="AN98" s="241"/>
      <c r="AO98" s="241"/>
      <c r="AP98" s="241"/>
      <c r="AQ98" s="241"/>
      <c r="AR98" s="241"/>
      <c r="AS98" s="241"/>
      <c r="AT98" s="241" t="s">
        <v>2713</v>
      </c>
      <c r="AU98" s="241"/>
      <c r="AV98" s="241"/>
      <c r="AW98" s="241"/>
      <c r="AX98" s="241"/>
      <c r="AY98" s="241"/>
      <c r="AZ98" s="241"/>
      <c r="BA98" s="241" t="s">
        <v>2700</v>
      </c>
      <c r="BB98" s="242"/>
      <c r="BC98" s="242"/>
      <c r="BD98" s="242"/>
      <c r="BE98" s="242"/>
      <c r="BF98" s="242"/>
      <c r="BG98" s="242"/>
      <c r="BH98" s="242"/>
      <c r="BI98" s="242"/>
    </row>
    <row r="99" spans="1:61" ht="18" customHeight="1">
      <c r="A99" s="241"/>
      <c r="B99" s="241"/>
      <c r="C99" s="241"/>
      <c r="D99" s="241"/>
      <c r="E99" s="241"/>
      <c r="F99" s="241"/>
      <c r="G99" s="241"/>
      <c r="H99" s="241" t="s">
        <v>2935</v>
      </c>
      <c r="I99" s="241"/>
      <c r="J99" s="241"/>
      <c r="K99" s="241"/>
      <c r="L99" s="241"/>
      <c r="M99" s="241"/>
      <c r="N99" s="241"/>
      <c r="O99" s="241" t="s">
        <v>2936</v>
      </c>
      <c r="P99" s="241"/>
      <c r="Q99" s="241"/>
      <c r="R99" s="241"/>
      <c r="S99" s="241"/>
      <c r="T99" s="241"/>
      <c r="U99" s="241"/>
      <c r="V99" s="241"/>
      <c r="W99" s="241"/>
      <c r="X99" s="241"/>
      <c r="Y99" s="241"/>
      <c r="Z99" s="241"/>
      <c r="AA99" s="241"/>
      <c r="AB99" s="241"/>
      <c r="AC99" s="241"/>
      <c r="AD99" s="241"/>
      <c r="AE99" s="241" t="s">
        <v>2937</v>
      </c>
      <c r="AF99" s="241"/>
      <c r="AG99" s="241"/>
      <c r="AH99" s="241"/>
      <c r="AI99" s="241"/>
      <c r="AJ99" s="241"/>
      <c r="AK99" s="241"/>
      <c r="AL99" s="241"/>
      <c r="AM99" s="241"/>
      <c r="AN99" s="241"/>
      <c r="AO99" s="241"/>
      <c r="AP99" s="241"/>
      <c r="AQ99" s="241"/>
      <c r="AR99" s="241"/>
      <c r="AS99" s="241"/>
      <c r="AT99" s="241"/>
      <c r="AU99" s="241"/>
      <c r="AV99" s="241"/>
      <c r="AW99" s="241"/>
      <c r="AX99" s="241"/>
      <c r="AY99" s="241"/>
      <c r="AZ99" s="241"/>
      <c r="BA99" s="241" t="s">
        <v>2938</v>
      </c>
      <c r="BB99" s="242"/>
      <c r="BC99" s="242"/>
      <c r="BD99" s="242"/>
      <c r="BE99" s="242"/>
      <c r="BF99" s="242"/>
      <c r="BG99" s="242"/>
      <c r="BH99" s="242"/>
      <c r="BI99" s="242"/>
    </row>
    <row r="100" spans="1:61" ht="18" customHeight="1">
      <c r="A100" s="241"/>
      <c r="B100" s="241"/>
      <c r="C100" s="241"/>
      <c r="D100" s="241"/>
      <c r="E100" s="241"/>
      <c r="F100" s="241"/>
      <c r="G100" s="241"/>
      <c r="H100" s="241" t="s">
        <v>2750</v>
      </c>
      <c r="I100" s="241"/>
      <c r="J100" s="241"/>
      <c r="K100" s="241"/>
      <c r="L100" s="241"/>
      <c r="M100" s="241"/>
      <c r="N100" s="241"/>
      <c r="O100" s="241" t="s">
        <v>2939</v>
      </c>
      <c r="P100" s="241"/>
      <c r="Q100" s="241"/>
      <c r="R100" s="241"/>
      <c r="S100" s="241"/>
      <c r="T100" s="241"/>
      <c r="U100" s="241"/>
      <c r="V100" s="241"/>
      <c r="W100" s="241"/>
      <c r="X100" s="241"/>
      <c r="Y100" s="241"/>
      <c r="Z100" s="241"/>
      <c r="AA100" s="241"/>
      <c r="AB100" s="241"/>
      <c r="AC100" s="241"/>
      <c r="AD100" s="241"/>
      <c r="AE100" s="241"/>
      <c r="AF100" s="241"/>
      <c r="AG100" s="241"/>
      <c r="AH100" s="241"/>
      <c r="AI100" s="241"/>
      <c r="AJ100" s="241"/>
      <c r="AK100" s="241"/>
      <c r="AL100" s="241"/>
      <c r="AM100" s="241"/>
      <c r="AN100" s="241"/>
      <c r="AO100" s="241"/>
      <c r="AP100" s="241"/>
      <c r="AQ100" s="241"/>
      <c r="AR100" s="241"/>
      <c r="AS100" s="241"/>
      <c r="AT100" s="241" t="s">
        <v>2700</v>
      </c>
      <c r="AU100" s="241"/>
      <c r="AV100" s="241"/>
      <c r="AW100" s="241"/>
      <c r="AX100" s="241"/>
      <c r="AY100" s="241"/>
      <c r="AZ100" s="241"/>
      <c r="BA100" s="241" t="s">
        <v>2741</v>
      </c>
      <c r="BB100" s="242"/>
      <c r="BC100" s="242"/>
      <c r="BD100" s="242"/>
      <c r="BE100" s="242"/>
      <c r="BF100" s="242"/>
      <c r="BG100" s="242"/>
      <c r="BH100" s="242"/>
      <c r="BI100" s="242"/>
    </row>
    <row r="101" spans="1:61" ht="18" customHeight="1">
      <c r="A101" s="241"/>
      <c r="B101" s="241"/>
      <c r="C101" s="241"/>
      <c r="D101" s="241"/>
      <c r="E101" s="241"/>
      <c r="F101" s="241"/>
      <c r="G101" s="241"/>
      <c r="H101" s="241" t="s">
        <v>2753</v>
      </c>
      <c r="I101" s="241"/>
      <c r="J101" s="241"/>
      <c r="K101" s="241"/>
      <c r="L101" s="241"/>
      <c r="M101" s="241"/>
      <c r="N101" s="241"/>
      <c r="O101" s="241" t="s">
        <v>2940</v>
      </c>
      <c r="P101" s="241"/>
      <c r="Q101" s="241"/>
      <c r="R101" s="241"/>
      <c r="S101" s="241"/>
      <c r="T101" s="241"/>
      <c r="U101" s="241"/>
      <c r="V101" s="241"/>
      <c r="W101" s="241"/>
      <c r="X101" s="241"/>
      <c r="Y101" s="241"/>
      <c r="Z101" s="241"/>
      <c r="AA101" s="241"/>
      <c r="AB101" s="241"/>
      <c r="AC101" s="241"/>
      <c r="AD101" s="241"/>
      <c r="AE101" s="241" t="s">
        <v>2700</v>
      </c>
      <c r="AF101" s="241"/>
      <c r="AG101" s="241"/>
      <c r="AH101" s="241"/>
      <c r="AI101" s="241"/>
      <c r="AJ101" s="241"/>
      <c r="AK101" s="241"/>
      <c r="AL101" s="241"/>
      <c r="AM101" s="241"/>
      <c r="AN101" s="241"/>
      <c r="AO101" s="241"/>
      <c r="AP101" s="241"/>
      <c r="AQ101" s="241"/>
      <c r="AR101" s="241"/>
      <c r="AS101" s="241"/>
      <c r="AT101" s="241" t="s">
        <v>2941</v>
      </c>
      <c r="AU101" s="241"/>
      <c r="AV101" s="241"/>
      <c r="AW101" s="241"/>
      <c r="AX101" s="241"/>
      <c r="AY101" s="241"/>
      <c r="AZ101" s="241"/>
      <c r="BA101" s="241"/>
      <c r="BB101" s="242"/>
      <c r="BC101" s="242"/>
      <c r="BD101" s="242"/>
      <c r="BE101" s="242"/>
      <c r="BF101" s="242"/>
      <c r="BG101" s="242"/>
      <c r="BH101" s="242"/>
      <c r="BI101" s="242"/>
    </row>
    <row r="102" spans="1:61" ht="18" customHeight="1">
      <c r="A102" s="241"/>
      <c r="B102" s="241"/>
      <c r="C102" s="241"/>
      <c r="D102" s="241"/>
      <c r="E102" s="241"/>
      <c r="F102" s="241"/>
      <c r="G102" s="241"/>
      <c r="H102" s="241" t="s">
        <v>2757</v>
      </c>
      <c r="I102" s="241"/>
      <c r="J102" s="241"/>
      <c r="K102" s="241"/>
      <c r="L102" s="241"/>
      <c r="M102" s="241"/>
      <c r="N102" s="241"/>
      <c r="O102" s="241" t="s">
        <v>2942</v>
      </c>
      <c r="P102" s="241"/>
      <c r="Q102" s="241"/>
      <c r="R102" s="241"/>
      <c r="S102" s="241"/>
      <c r="T102" s="241"/>
      <c r="U102" s="241"/>
      <c r="V102" s="241"/>
      <c r="W102" s="241"/>
      <c r="X102" s="241"/>
      <c r="Y102" s="241"/>
      <c r="Z102" s="241"/>
      <c r="AA102" s="241"/>
      <c r="AB102" s="241"/>
      <c r="AC102" s="241"/>
      <c r="AD102" s="241"/>
      <c r="AE102" s="241" t="s">
        <v>2943</v>
      </c>
      <c r="AF102" s="241"/>
      <c r="AG102" s="241"/>
      <c r="AH102" s="241"/>
      <c r="AI102" s="241"/>
      <c r="AJ102" s="241"/>
      <c r="AK102" s="241"/>
      <c r="AL102" s="241"/>
      <c r="AM102" s="241"/>
      <c r="AN102" s="241"/>
      <c r="AO102" s="241"/>
      <c r="AP102" s="241"/>
      <c r="AQ102" s="241"/>
      <c r="AR102" s="241"/>
      <c r="AS102" s="241"/>
      <c r="AT102" s="241" t="s">
        <v>2760</v>
      </c>
      <c r="AU102" s="241"/>
      <c r="AV102" s="241"/>
      <c r="AW102" s="241"/>
      <c r="AX102" s="241"/>
      <c r="AY102" s="241"/>
      <c r="AZ102" s="241"/>
      <c r="BA102" s="241" t="s">
        <v>2700</v>
      </c>
      <c r="BB102" s="242"/>
      <c r="BC102" s="242"/>
      <c r="BD102" s="242"/>
      <c r="BE102" s="242"/>
      <c r="BF102" s="242"/>
      <c r="BG102" s="242"/>
      <c r="BH102" s="242"/>
      <c r="BI102" s="242"/>
    </row>
    <row r="103" spans="1:61" ht="18" customHeight="1">
      <c r="A103" s="241"/>
      <c r="B103" s="241"/>
      <c r="C103" s="241"/>
      <c r="D103" s="241"/>
      <c r="E103" s="241"/>
      <c r="F103" s="241"/>
      <c r="G103" s="241"/>
      <c r="H103" s="241" t="s">
        <v>2762</v>
      </c>
      <c r="I103" s="241"/>
      <c r="J103" s="241"/>
      <c r="K103" s="241"/>
      <c r="L103" s="241"/>
      <c r="M103" s="241"/>
      <c r="N103" s="241"/>
      <c r="O103" s="241" t="s">
        <v>2944</v>
      </c>
      <c r="P103" s="241"/>
      <c r="Q103" s="241"/>
      <c r="R103" s="241"/>
      <c r="S103" s="241"/>
      <c r="T103" s="241"/>
      <c r="U103" s="241"/>
      <c r="V103" s="241"/>
      <c r="W103" s="241"/>
      <c r="X103" s="241"/>
      <c r="Y103" s="241"/>
      <c r="Z103" s="241"/>
      <c r="AA103" s="241"/>
      <c r="AB103" s="241"/>
      <c r="AC103" s="241"/>
      <c r="AD103" s="241"/>
      <c r="AE103" s="241"/>
      <c r="AF103" s="241"/>
      <c r="AG103" s="241"/>
      <c r="AH103" s="241"/>
      <c r="AI103" s="241"/>
      <c r="AJ103" s="241"/>
      <c r="AK103" s="241"/>
      <c r="AL103" s="241"/>
      <c r="AM103" s="241"/>
      <c r="AN103" s="241"/>
      <c r="AO103" s="241"/>
      <c r="AP103" s="241"/>
      <c r="AQ103" s="241"/>
      <c r="AR103" s="241"/>
      <c r="AS103" s="241"/>
      <c r="AT103" s="241" t="s">
        <v>2743</v>
      </c>
      <c r="AU103" s="241"/>
      <c r="AV103" s="241"/>
      <c r="AW103" s="241"/>
      <c r="AX103" s="241"/>
      <c r="AY103" s="241"/>
      <c r="AZ103" s="241"/>
      <c r="BA103" s="241" t="s">
        <v>2945</v>
      </c>
      <c r="BB103" s="242"/>
      <c r="BC103" s="242"/>
      <c r="BD103" s="242"/>
      <c r="BE103" s="242"/>
      <c r="BF103" s="242"/>
      <c r="BG103" s="242"/>
      <c r="BH103" s="242"/>
      <c r="BI103" s="242"/>
    </row>
    <row r="104" spans="1:61" ht="18" customHeight="1">
      <c r="A104" s="241"/>
      <c r="B104" s="241"/>
      <c r="C104" s="241"/>
      <c r="D104" s="241"/>
      <c r="E104" s="241"/>
      <c r="F104" s="241"/>
      <c r="G104" s="241"/>
      <c r="H104" s="241" t="s">
        <v>2766</v>
      </c>
      <c r="I104" s="241"/>
      <c r="J104" s="241"/>
      <c r="K104" s="241"/>
      <c r="L104" s="241"/>
      <c r="M104" s="241"/>
      <c r="N104" s="241"/>
      <c r="O104" s="241" t="s">
        <v>2946</v>
      </c>
      <c r="P104" s="241"/>
      <c r="Q104" s="241"/>
      <c r="R104" s="241"/>
      <c r="S104" s="241"/>
      <c r="T104" s="241"/>
      <c r="U104" s="241"/>
      <c r="V104" s="241"/>
      <c r="W104" s="241"/>
      <c r="X104" s="241"/>
      <c r="Y104" s="241"/>
      <c r="Z104" s="241"/>
      <c r="AA104" s="241"/>
      <c r="AB104" s="241"/>
      <c r="AC104" s="241"/>
      <c r="AD104" s="241"/>
      <c r="AE104" s="241" t="s">
        <v>2700</v>
      </c>
      <c r="AF104" s="241"/>
      <c r="AG104" s="241"/>
      <c r="AH104" s="241"/>
      <c r="AI104" s="241"/>
      <c r="AJ104" s="241"/>
      <c r="AK104" s="241"/>
      <c r="AL104" s="241"/>
      <c r="AM104" s="241"/>
      <c r="AN104" s="241"/>
      <c r="AO104" s="241"/>
      <c r="AP104" s="241"/>
      <c r="AQ104" s="241"/>
      <c r="AR104" s="241"/>
      <c r="AS104" s="241"/>
      <c r="AT104" s="241" t="s">
        <v>2713</v>
      </c>
      <c r="AU104" s="241"/>
      <c r="AV104" s="241"/>
      <c r="AW104" s="241"/>
      <c r="AX104" s="241"/>
      <c r="AY104" s="241"/>
      <c r="AZ104" s="241"/>
      <c r="BA104" s="241" t="s">
        <v>2741</v>
      </c>
      <c r="BB104" s="242"/>
      <c r="BC104" s="242"/>
      <c r="BD104" s="242"/>
      <c r="BE104" s="242"/>
      <c r="BF104" s="242"/>
      <c r="BG104" s="242"/>
      <c r="BH104" s="242"/>
      <c r="BI104" s="242"/>
    </row>
    <row r="105" spans="1:61" ht="18" customHeight="1">
      <c r="A105" s="241"/>
      <c r="B105" s="241"/>
      <c r="C105" s="241"/>
      <c r="D105" s="241"/>
      <c r="E105" s="241"/>
      <c r="F105" s="241"/>
      <c r="G105" s="241"/>
      <c r="H105" s="241" t="s">
        <v>2769</v>
      </c>
      <c r="I105" s="241"/>
      <c r="J105" s="241"/>
      <c r="K105" s="241"/>
      <c r="L105" s="241"/>
      <c r="M105" s="241"/>
      <c r="N105" s="241"/>
      <c r="O105" s="241" t="s">
        <v>2947</v>
      </c>
      <c r="P105" s="241"/>
      <c r="Q105" s="241"/>
      <c r="R105" s="241"/>
      <c r="S105" s="241"/>
      <c r="T105" s="241"/>
      <c r="U105" s="241"/>
      <c r="V105" s="241"/>
      <c r="W105" s="241"/>
      <c r="X105" s="241"/>
      <c r="Y105" s="241"/>
      <c r="Z105" s="241"/>
      <c r="AA105" s="241"/>
      <c r="AB105" s="241"/>
      <c r="AC105" s="241"/>
      <c r="AD105" s="241"/>
      <c r="AE105" s="241" t="s">
        <v>2948</v>
      </c>
      <c r="AF105" s="241"/>
      <c r="AG105" s="241"/>
      <c r="AH105" s="241"/>
      <c r="AI105" s="241"/>
      <c r="AJ105" s="241"/>
      <c r="AK105" s="241"/>
      <c r="AL105" s="241"/>
      <c r="AM105" s="241"/>
      <c r="AN105" s="241"/>
      <c r="AO105" s="241"/>
      <c r="AP105" s="241"/>
      <c r="AQ105" s="241"/>
      <c r="AR105" s="241"/>
      <c r="AS105" s="241"/>
      <c r="AT105" s="241"/>
      <c r="AU105" s="241"/>
      <c r="AV105" s="241"/>
      <c r="AW105" s="241"/>
      <c r="AX105" s="241"/>
      <c r="AY105" s="241"/>
      <c r="AZ105" s="241"/>
      <c r="BA105" s="241"/>
      <c r="BB105" s="242"/>
      <c r="BC105" s="242"/>
      <c r="BD105" s="242"/>
      <c r="BE105" s="242"/>
      <c r="BF105" s="242"/>
      <c r="BG105" s="242"/>
      <c r="BH105" s="242"/>
      <c r="BI105" s="242"/>
    </row>
    <row r="106" spans="1:61" ht="18" customHeight="1">
      <c r="A106" s="241"/>
      <c r="B106" s="241"/>
      <c r="C106" s="241"/>
      <c r="D106" s="241"/>
      <c r="E106" s="241"/>
      <c r="F106" s="241"/>
      <c r="G106" s="241"/>
      <c r="H106" s="241" t="s">
        <v>2773</v>
      </c>
      <c r="I106" s="241"/>
      <c r="J106" s="241"/>
      <c r="K106" s="241"/>
      <c r="L106" s="241"/>
      <c r="M106" s="241"/>
      <c r="N106" s="241"/>
      <c r="O106" s="241" t="s">
        <v>2949</v>
      </c>
      <c r="P106" s="241"/>
      <c r="Q106" s="241"/>
      <c r="R106" s="241"/>
      <c r="S106" s="241"/>
      <c r="T106" s="241"/>
      <c r="U106" s="241"/>
      <c r="V106" s="241"/>
      <c r="W106" s="241"/>
      <c r="X106" s="241"/>
      <c r="Y106" s="241"/>
      <c r="Z106" s="241"/>
      <c r="AA106" s="241"/>
      <c r="AB106" s="241"/>
      <c r="AC106" s="241"/>
      <c r="AD106" s="241"/>
      <c r="AE106" s="241" t="s">
        <v>2950</v>
      </c>
      <c r="AF106" s="241"/>
      <c r="AG106" s="241"/>
      <c r="AH106" s="241"/>
      <c r="AI106" s="241"/>
      <c r="AJ106" s="241"/>
      <c r="AK106" s="241"/>
      <c r="AL106" s="241"/>
      <c r="AM106" s="241"/>
      <c r="AN106" s="241"/>
      <c r="AO106" s="241"/>
      <c r="AP106" s="241"/>
      <c r="AQ106" s="241"/>
      <c r="AR106" s="241"/>
      <c r="AS106" s="241"/>
      <c r="AT106" s="241" t="s">
        <v>2700</v>
      </c>
      <c r="AU106" s="241"/>
      <c r="AV106" s="241"/>
      <c r="AW106" s="241"/>
      <c r="AX106" s="241"/>
      <c r="AY106" s="241"/>
      <c r="AZ106" s="241"/>
      <c r="BA106" s="241" t="s">
        <v>2700</v>
      </c>
      <c r="BB106" s="242"/>
      <c r="BC106" s="242"/>
      <c r="BD106" s="242"/>
      <c r="BE106" s="242"/>
      <c r="BF106" s="242"/>
      <c r="BG106" s="242"/>
      <c r="BH106" s="242"/>
      <c r="BI106" s="242"/>
    </row>
    <row r="107" spans="1:61" ht="18" customHeight="1">
      <c r="A107" s="241"/>
      <c r="B107" s="241"/>
      <c r="C107" s="241"/>
      <c r="D107" s="241"/>
      <c r="E107" s="241"/>
      <c r="F107" s="241"/>
      <c r="G107" s="241"/>
      <c r="H107" s="241"/>
      <c r="I107" s="241"/>
      <c r="J107" s="241"/>
      <c r="K107" s="241"/>
      <c r="L107" s="241"/>
      <c r="M107" s="241"/>
      <c r="N107" s="241"/>
      <c r="O107" s="241" t="s">
        <v>2951</v>
      </c>
      <c r="P107" s="241"/>
      <c r="Q107" s="241"/>
      <c r="R107" s="241"/>
      <c r="S107" s="241"/>
      <c r="T107" s="241"/>
      <c r="U107" s="241"/>
      <c r="V107" s="241"/>
      <c r="W107" s="241"/>
      <c r="X107" s="241"/>
      <c r="Y107" s="241"/>
      <c r="Z107" s="241"/>
      <c r="AA107" s="241"/>
      <c r="AB107" s="241"/>
      <c r="AC107" s="241"/>
      <c r="AD107" s="241"/>
      <c r="AE107" s="241"/>
      <c r="AF107" s="241"/>
      <c r="AG107" s="241"/>
      <c r="AH107" s="241"/>
      <c r="AI107" s="241"/>
      <c r="AJ107" s="241"/>
      <c r="AK107" s="241"/>
      <c r="AL107" s="241"/>
      <c r="AM107" s="241"/>
      <c r="AN107" s="241"/>
      <c r="AO107" s="241"/>
      <c r="AP107" s="241"/>
      <c r="AQ107" s="241"/>
      <c r="AR107" s="241"/>
      <c r="AS107" s="241"/>
      <c r="AT107" s="241" t="s">
        <v>2952</v>
      </c>
      <c r="AU107" s="241"/>
      <c r="AV107" s="241"/>
      <c r="AW107" s="241"/>
      <c r="AX107" s="241"/>
      <c r="AY107" s="241"/>
      <c r="AZ107" s="241"/>
      <c r="BA107" s="241" t="s">
        <v>2953</v>
      </c>
      <c r="BB107" s="242"/>
      <c r="BC107" s="242"/>
      <c r="BD107" s="242"/>
      <c r="BE107" s="242"/>
      <c r="BF107" s="242"/>
      <c r="BG107" s="242"/>
      <c r="BH107" s="242"/>
      <c r="BI107" s="242"/>
    </row>
    <row r="108" spans="1:61" ht="18" customHeight="1">
      <c r="A108" s="241"/>
      <c r="B108" s="241"/>
      <c r="C108" s="241"/>
      <c r="D108" s="241"/>
      <c r="E108" s="241"/>
      <c r="F108" s="241"/>
      <c r="G108" s="241"/>
      <c r="H108" s="241" t="s">
        <v>2699</v>
      </c>
      <c r="I108" s="241"/>
      <c r="J108" s="241"/>
      <c r="K108" s="241"/>
      <c r="L108" s="241"/>
      <c r="M108" s="241"/>
      <c r="N108" s="241"/>
      <c r="O108" s="241" t="s">
        <v>2954</v>
      </c>
      <c r="P108" s="241"/>
      <c r="Q108" s="241"/>
      <c r="R108" s="241"/>
      <c r="S108" s="241"/>
      <c r="T108" s="241"/>
      <c r="U108" s="241"/>
      <c r="V108" s="241"/>
      <c r="W108" s="241"/>
      <c r="X108" s="241"/>
      <c r="Y108" s="241"/>
      <c r="Z108" s="241"/>
      <c r="AA108" s="241"/>
      <c r="AB108" s="241"/>
      <c r="AC108" s="241"/>
      <c r="AD108" s="241"/>
      <c r="AE108" s="241" t="s">
        <v>2955</v>
      </c>
      <c r="AF108" s="241"/>
      <c r="AG108" s="241"/>
      <c r="AH108" s="241"/>
      <c r="AI108" s="241"/>
      <c r="AJ108" s="241"/>
      <c r="AK108" s="241"/>
      <c r="AL108" s="241"/>
      <c r="AM108" s="241"/>
      <c r="AN108" s="241"/>
      <c r="AO108" s="241"/>
      <c r="AP108" s="241"/>
      <c r="AQ108" s="241"/>
      <c r="AR108" s="241"/>
      <c r="AS108" s="241"/>
      <c r="AT108" s="241" t="s">
        <v>2740</v>
      </c>
      <c r="AU108" s="241"/>
      <c r="AV108" s="241"/>
      <c r="AW108" s="241"/>
      <c r="AX108" s="241"/>
      <c r="AY108" s="241"/>
      <c r="AZ108" s="241"/>
      <c r="BA108" s="241" t="s">
        <v>2741</v>
      </c>
      <c r="BB108" s="242"/>
      <c r="BC108" s="242"/>
      <c r="BD108" s="242"/>
      <c r="BE108" s="242"/>
      <c r="BF108" s="242"/>
      <c r="BG108" s="242"/>
      <c r="BH108" s="242"/>
      <c r="BI108" s="242"/>
    </row>
    <row r="109" spans="1:61" ht="18" customHeight="1">
      <c r="A109" s="241"/>
      <c r="B109" s="241"/>
      <c r="C109" s="241"/>
      <c r="D109" s="241"/>
      <c r="E109" s="241"/>
      <c r="F109" s="241"/>
      <c r="G109" s="241"/>
      <c r="H109" s="241" t="s">
        <v>2956</v>
      </c>
      <c r="I109" s="241"/>
      <c r="J109" s="241"/>
      <c r="K109" s="241"/>
      <c r="L109" s="241"/>
      <c r="M109" s="241"/>
      <c r="N109" s="241"/>
      <c r="O109" s="241" t="s">
        <v>2957</v>
      </c>
      <c r="P109" s="241"/>
      <c r="Q109" s="241"/>
      <c r="R109" s="241"/>
      <c r="S109" s="241"/>
      <c r="T109" s="241"/>
      <c r="U109" s="241"/>
      <c r="V109" s="241"/>
      <c r="W109" s="241"/>
      <c r="X109" s="241"/>
      <c r="Y109" s="241"/>
      <c r="Z109" s="241"/>
      <c r="AA109" s="241"/>
      <c r="AB109" s="241"/>
      <c r="AC109" s="241"/>
      <c r="AD109" s="241"/>
      <c r="AE109" s="241"/>
      <c r="AF109" s="241"/>
      <c r="AG109" s="241"/>
      <c r="AH109" s="241"/>
      <c r="AI109" s="241"/>
      <c r="AJ109" s="241"/>
      <c r="AK109" s="241"/>
      <c r="AL109" s="241"/>
      <c r="AM109" s="241"/>
      <c r="AN109" s="241"/>
      <c r="AO109" s="241"/>
      <c r="AP109" s="241"/>
      <c r="AQ109" s="241"/>
      <c r="AR109" s="241"/>
      <c r="AS109" s="241"/>
      <c r="AT109" s="241" t="s">
        <v>2743</v>
      </c>
      <c r="AU109" s="241"/>
      <c r="AV109" s="241"/>
      <c r="AW109" s="241"/>
      <c r="AX109" s="241"/>
      <c r="AY109" s="241"/>
      <c r="AZ109" s="241"/>
      <c r="BA109" s="241"/>
      <c r="BB109" s="242"/>
      <c r="BC109" s="242"/>
      <c r="BD109" s="242"/>
      <c r="BE109" s="242"/>
      <c r="BF109" s="242"/>
      <c r="BG109" s="242"/>
      <c r="BH109" s="242"/>
      <c r="BI109" s="242"/>
    </row>
    <row r="110" spans="1:61" ht="18" customHeight="1">
      <c r="A110" s="241"/>
      <c r="B110" s="241"/>
      <c r="C110" s="241"/>
      <c r="D110" s="241"/>
      <c r="E110" s="241"/>
      <c r="F110" s="241"/>
      <c r="G110" s="241"/>
      <c r="H110" s="241" t="s">
        <v>2750</v>
      </c>
      <c r="I110" s="241"/>
      <c r="J110" s="241"/>
      <c r="K110" s="241"/>
      <c r="L110" s="241"/>
      <c r="M110" s="241"/>
      <c r="N110" s="241"/>
      <c r="O110" s="241" t="s">
        <v>2958</v>
      </c>
      <c r="P110" s="241"/>
      <c r="Q110" s="241"/>
      <c r="R110" s="241"/>
      <c r="S110" s="241"/>
      <c r="T110" s="241"/>
      <c r="U110" s="241"/>
      <c r="V110" s="241"/>
      <c r="W110" s="241"/>
      <c r="X110" s="241"/>
      <c r="Y110" s="241"/>
      <c r="Z110" s="241"/>
      <c r="AA110" s="241"/>
      <c r="AB110" s="241"/>
      <c r="AC110" s="241"/>
      <c r="AD110" s="241"/>
      <c r="AE110" s="241" t="s">
        <v>2710</v>
      </c>
      <c r="AF110" s="241"/>
      <c r="AG110" s="241"/>
      <c r="AH110" s="241"/>
      <c r="AI110" s="241"/>
      <c r="AJ110" s="241"/>
      <c r="AK110" s="241"/>
      <c r="AL110" s="241"/>
      <c r="AM110" s="241"/>
      <c r="AN110" s="241"/>
      <c r="AO110" s="241"/>
      <c r="AP110" s="241"/>
      <c r="AQ110" s="241"/>
      <c r="AR110" s="241"/>
      <c r="AS110" s="241"/>
      <c r="AT110" s="241" t="s">
        <v>2713</v>
      </c>
      <c r="AU110" s="241"/>
      <c r="AV110" s="241"/>
      <c r="AW110" s="241"/>
      <c r="AX110" s="241"/>
      <c r="AY110" s="241"/>
      <c r="AZ110" s="241"/>
      <c r="BA110" s="241" t="s">
        <v>2700</v>
      </c>
      <c r="BB110" s="242"/>
      <c r="BC110" s="242"/>
      <c r="BD110" s="242"/>
      <c r="BE110" s="242"/>
      <c r="BF110" s="242"/>
      <c r="BG110" s="242"/>
      <c r="BH110" s="242"/>
      <c r="BI110" s="242"/>
    </row>
    <row r="111" spans="1:61" ht="18" customHeight="1">
      <c r="A111" s="241"/>
      <c r="B111" s="241"/>
      <c r="C111" s="241"/>
      <c r="D111" s="241"/>
      <c r="E111" s="241"/>
      <c r="F111" s="241"/>
      <c r="G111" s="241"/>
      <c r="H111" s="241" t="s">
        <v>2753</v>
      </c>
      <c r="I111" s="241"/>
      <c r="J111" s="241"/>
      <c r="K111" s="241"/>
      <c r="L111" s="241"/>
      <c r="M111" s="241"/>
      <c r="N111" s="241"/>
      <c r="O111" s="241" t="s">
        <v>2959</v>
      </c>
      <c r="P111" s="241"/>
      <c r="Q111" s="241"/>
      <c r="R111" s="241"/>
      <c r="S111" s="241"/>
      <c r="T111" s="241"/>
      <c r="U111" s="241"/>
      <c r="V111" s="241"/>
      <c r="W111" s="241"/>
      <c r="X111" s="241"/>
      <c r="Y111" s="241"/>
      <c r="Z111" s="241"/>
      <c r="AA111" s="241"/>
      <c r="AB111" s="241"/>
      <c r="AC111" s="241"/>
      <c r="AD111" s="241"/>
      <c r="AE111" s="241"/>
      <c r="AF111" s="241"/>
      <c r="AG111" s="241"/>
      <c r="AH111" s="241"/>
      <c r="AI111" s="241"/>
      <c r="AJ111" s="241"/>
      <c r="AK111" s="241"/>
      <c r="AL111" s="241"/>
      <c r="AM111" s="241"/>
      <c r="AN111" s="241"/>
      <c r="AO111" s="241"/>
      <c r="AP111" s="241"/>
      <c r="AQ111" s="241"/>
      <c r="AR111" s="241"/>
      <c r="AS111" s="241"/>
      <c r="AT111" s="241"/>
      <c r="AU111" s="241"/>
      <c r="AV111" s="241"/>
      <c r="AW111" s="241"/>
      <c r="AX111" s="241"/>
      <c r="AY111" s="241"/>
      <c r="AZ111" s="241"/>
      <c r="BA111" s="241" t="s">
        <v>2960</v>
      </c>
      <c r="BB111" s="242"/>
      <c r="BC111" s="242"/>
      <c r="BD111" s="242"/>
      <c r="BE111" s="242"/>
      <c r="BF111" s="242"/>
      <c r="BG111" s="242"/>
      <c r="BH111" s="242"/>
      <c r="BI111" s="242"/>
    </row>
    <row r="112" spans="1:61" ht="18" customHeight="1">
      <c r="A112" s="241"/>
      <c r="B112" s="241"/>
      <c r="C112" s="241"/>
      <c r="D112" s="241"/>
      <c r="E112" s="241"/>
      <c r="F112" s="241"/>
      <c r="G112" s="241"/>
      <c r="H112" s="241" t="s">
        <v>2757</v>
      </c>
      <c r="I112" s="241"/>
      <c r="J112" s="241"/>
      <c r="K112" s="241"/>
      <c r="L112" s="241"/>
      <c r="M112" s="241"/>
      <c r="N112" s="241"/>
      <c r="O112" s="241" t="s">
        <v>2961</v>
      </c>
      <c r="P112" s="241"/>
      <c r="Q112" s="241"/>
      <c r="R112" s="241"/>
      <c r="S112" s="241"/>
      <c r="T112" s="241"/>
      <c r="U112" s="241"/>
      <c r="V112" s="241"/>
      <c r="W112" s="241"/>
      <c r="X112" s="241"/>
      <c r="Y112" s="241"/>
      <c r="Z112" s="241"/>
      <c r="AA112" s="241"/>
      <c r="AB112" s="241"/>
      <c r="AC112" s="241"/>
      <c r="AD112" s="241"/>
      <c r="AE112" s="241" t="s">
        <v>2715</v>
      </c>
      <c r="AF112" s="241"/>
      <c r="AG112" s="241"/>
      <c r="AH112" s="241"/>
      <c r="AI112" s="241"/>
      <c r="AJ112" s="241"/>
      <c r="AK112" s="241"/>
      <c r="AL112" s="241"/>
      <c r="AM112" s="241"/>
      <c r="AN112" s="241"/>
      <c r="AO112" s="241"/>
      <c r="AP112" s="241"/>
      <c r="AQ112" s="241"/>
      <c r="AR112" s="241"/>
      <c r="AS112" s="241"/>
      <c r="AT112" s="241" t="s">
        <v>2700</v>
      </c>
      <c r="AU112" s="241"/>
      <c r="AV112" s="241"/>
      <c r="AW112" s="241"/>
      <c r="AX112" s="241"/>
      <c r="AY112" s="241"/>
      <c r="AZ112" s="241"/>
      <c r="BA112" s="241" t="s">
        <v>2741</v>
      </c>
      <c r="BB112" s="242"/>
      <c r="BC112" s="242"/>
      <c r="BD112" s="242"/>
      <c r="BE112" s="242"/>
      <c r="BF112" s="242"/>
      <c r="BG112" s="242"/>
      <c r="BH112" s="242"/>
      <c r="BI112" s="242"/>
    </row>
    <row r="113" spans="1:61" ht="18" customHeight="1">
      <c r="A113" s="241"/>
      <c r="B113" s="241"/>
      <c r="C113" s="241"/>
      <c r="D113" s="241"/>
      <c r="E113" s="241"/>
      <c r="F113" s="241"/>
      <c r="G113" s="241"/>
      <c r="H113" s="241" t="s">
        <v>2762</v>
      </c>
      <c r="I113" s="241"/>
      <c r="J113" s="241"/>
      <c r="K113" s="241"/>
      <c r="L113" s="241"/>
      <c r="M113" s="241"/>
      <c r="N113" s="241"/>
      <c r="O113" s="241" t="s">
        <v>2962</v>
      </c>
      <c r="P113" s="241"/>
      <c r="Q113" s="241"/>
      <c r="R113" s="241"/>
      <c r="S113" s="241"/>
      <c r="T113" s="241"/>
      <c r="U113" s="241"/>
      <c r="V113" s="241"/>
      <c r="W113" s="241"/>
      <c r="X113" s="241"/>
      <c r="Y113" s="241"/>
      <c r="Z113" s="241"/>
      <c r="AA113" s="241"/>
      <c r="AB113" s="241"/>
      <c r="AC113" s="241"/>
      <c r="AD113" s="241"/>
      <c r="AE113" s="241" t="s">
        <v>2963</v>
      </c>
      <c r="AF113" s="241"/>
      <c r="AG113" s="241"/>
      <c r="AH113" s="241"/>
      <c r="AI113" s="241"/>
      <c r="AJ113" s="241"/>
      <c r="AK113" s="241"/>
      <c r="AL113" s="241"/>
      <c r="AM113" s="241"/>
      <c r="AN113" s="241"/>
      <c r="AO113" s="241"/>
      <c r="AP113" s="241"/>
      <c r="AQ113" s="241"/>
      <c r="AR113" s="241"/>
      <c r="AS113" s="241"/>
      <c r="AT113" s="241" t="s">
        <v>2964</v>
      </c>
      <c r="AU113" s="241"/>
      <c r="AV113" s="241"/>
      <c r="AW113" s="241"/>
      <c r="AX113" s="241"/>
      <c r="AY113" s="241"/>
      <c r="AZ113" s="241"/>
      <c r="BA113" s="241"/>
      <c r="BB113" s="242"/>
      <c r="BC113" s="242"/>
      <c r="BD113" s="242"/>
      <c r="BE113" s="242"/>
      <c r="BF113" s="242"/>
      <c r="BG113" s="242"/>
      <c r="BH113" s="242"/>
      <c r="BI113" s="242"/>
    </row>
    <row r="114" spans="1:61" ht="18" customHeight="1">
      <c r="A114" s="241"/>
      <c r="B114" s="241"/>
      <c r="C114" s="241"/>
      <c r="D114" s="241"/>
      <c r="E114" s="241"/>
      <c r="F114" s="241"/>
      <c r="G114" s="241"/>
      <c r="H114" s="241" t="s">
        <v>2766</v>
      </c>
      <c r="I114" s="241"/>
      <c r="J114" s="241"/>
      <c r="K114" s="241"/>
      <c r="L114" s="241"/>
      <c r="M114" s="241"/>
      <c r="N114" s="241"/>
      <c r="O114" s="241" t="s">
        <v>2965</v>
      </c>
      <c r="P114" s="241"/>
      <c r="Q114" s="241"/>
      <c r="R114" s="241"/>
      <c r="S114" s="241"/>
      <c r="T114" s="241"/>
      <c r="U114" s="241"/>
      <c r="V114" s="241"/>
      <c r="W114" s="241"/>
      <c r="X114" s="241"/>
      <c r="Y114" s="241"/>
      <c r="Z114" s="241"/>
      <c r="AA114" s="241"/>
      <c r="AB114" s="241"/>
      <c r="AC114" s="241"/>
      <c r="AD114" s="241"/>
      <c r="AE114" s="241" t="s">
        <v>2966</v>
      </c>
      <c r="AF114" s="241"/>
      <c r="AG114" s="241"/>
      <c r="AH114" s="241"/>
      <c r="AI114" s="241"/>
      <c r="AJ114" s="241"/>
      <c r="AK114" s="241"/>
      <c r="AL114" s="241"/>
      <c r="AM114" s="241"/>
      <c r="AN114" s="241"/>
      <c r="AO114" s="241"/>
      <c r="AP114" s="241"/>
      <c r="AQ114" s="241"/>
      <c r="AR114" s="241"/>
      <c r="AS114" s="241"/>
      <c r="AT114" s="241" t="s">
        <v>2760</v>
      </c>
      <c r="AU114" s="241"/>
      <c r="AV114" s="241"/>
      <c r="AW114" s="241"/>
      <c r="AX114" s="241"/>
      <c r="AY114" s="241"/>
      <c r="AZ114" s="241"/>
      <c r="BA114" s="241" t="s">
        <v>2700</v>
      </c>
      <c r="BB114" s="242"/>
      <c r="BC114" s="242"/>
      <c r="BD114" s="242"/>
      <c r="BE114" s="242"/>
      <c r="BF114" s="242"/>
      <c r="BG114" s="242"/>
      <c r="BH114" s="242"/>
      <c r="BI114" s="242"/>
    </row>
    <row r="115" spans="1:61" ht="18" customHeight="1">
      <c r="A115" s="241"/>
      <c r="B115" s="241"/>
      <c r="C115" s="241"/>
      <c r="D115" s="241"/>
      <c r="E115" s="241"/>
      <c r="F115" s="241"/>
      <c r="G115" s="241"/>
      <c r="H115" s="241" t="s">
        <v>2769</v>
      </c>
      <c r="I115" s="241"/>
      <c r="J115" s="241"/>
      <c r="K115" s="241"/>
      <c r="L115" s="241"/>
      <c r="M115" s="241"/>
      <c r="N115" s="241"/>
      <c r="O115" s="241" t="s">
        <v>2967</v>
      </c>
      <c r="P115" s="241"/>
      <c r="Q115" s="241"/>
      <c r="R115" s="241"/>
      <c r="S115" s="241"/>
      <c r="T115" s="241"/>
      <c r="U115" s="241"/>
      <c r="V115" s="241"/>
      <c r="W115" s="241"/>
      <c r="X115" s="241"/>
      <c r="Y115" s="241"/>
      <c r="Z115" s="241"/>
      <c r="AA115" s="241"/>
      <c r="AB115" s="241"/>
      <c r="AC115" s="241"/>
      <c r="AD115" s="241"/>
      <c r="AE115" s="241" t="s">
        <v>2968</v>
      </c>
      <c r="AF115" s="241"/>
      <c r="AG115" s="241"/>
      <c r="AH115" s="241"/>
      <c r="AI115" s="241"/>
      <c r="AJ115" s="241"/>
      <c r="AK115" s="241"/>
      <c r="AL115" s="241"/>
      <c r="AM115" s="241"/>
      <c r="AN115" s="241"/>
      <c r="AO115" s="241"/>
      <c r="AP115" s="241"/>
      <c r="AQ115" s="241"/>
      <c r="AR115" s="241"/>
      <c r="AS115" s="241"/>
      <c r="AT115" s="241" t="s">
        <v>2743</v>
      </c>
      <c r="AU115" s="241"/>
      <c r="AV115" s="241"/>
      <c r="AW115" s="241"/>
      <c r="AX115" s="241"/>
      <c r="AY115" s="241"/>
      <c r="AZ115" s="241"/>
      <c r="BA115" s="241" t="s">
        <v>2969</v>
      </c>
      <c r="BB115" s="242"/>
      <c r="BC115" s="242"/>
      <c r="BD115" s="242"/>
      <c r="BE115" s="242"/>
      <c r="BF115" s="242"/>
      <c r="BG115" s="242"/>
      <c r="BH115" s="242"/>
      <c r="BI115" s="242"/>
    </row>
    <row r="116" spans="1:61" ht="18" customHeight="1">
      <c r="A116" s="241"/>
      <c r="B116" s="241"/>
      <c r="C116" s="241"/>
      <c r="D116" s="241"/>
      <c r="E116" s="241"/>
      <c r="F116" s="241"/>
      <c r="G116" s="241"/>
      <c r="H116" s="241" t="s">
        <v>2773</v>
      </c>
      <c r="I116" s="241"/>
      <c r="J116" s="241"/>
      <c r="K116" s="241"/>
      <c r="L116" s="241"/>
      <c r="M116" s="241"/>
      <c r="N116" s="241"/>
      <c r="O116" s="241" t="s">
        <v>2970</v>
      </c>
      <c r="P116" s="241"/>
      <c r="Q116" s="241"/>
      <c r="R116" s="241"/>
      <c r="S116" s="241"/>
      <c r="T116" s="241"/>
      <c r="U116" s="241"/>
      <c r="V116" s="241"/>
      <c r="W116" s="241"/>
      <c r="X116" s="241"/>
      <c r="Y116" s="241"/>
      <c r="Z116" s="241"/>
      <c r="AA116" s="241"/>
      <c r="AB116" s="241"/>
      <c r="AC116" s="241"/>
      <c r="AD116" s="241"/>
      <c r="AE116" s="241" t="s">
        <v>2971</v>
      </c>
      <c r="AF116" s="241"/>
      <c r="AG116" s="241"/>
      <c r="AH116" s="241"/>
      <c r="AI116" s="241"/>
      <c r="AJ116" s="241"/>
      <c r="AK116" s="241"/>
      <c r="AL116" s="241"/>
      <c r="AM116" s="241"/>
      <c r="AN116" s="241"/>
      <c r="AO116" s="241"/>
      <c r="AP116" s="241"/>
      <c r="AQ116" s="241"/>
      <c r="AR116" s="241"/>
      <c r="AS116" s="241"/>
      <c r="AT116" s="241" t="s">
        <v>2713</v>
      </c>
      <c r="AU116" s="241"/>
      <c r="AV116" s="241"/>
      <c r="AW116" s="241"/>
      <c r="AX116" s="241"/>
      <c r="AY116" s="241"/>
      <c r="AZ116" s="241"/>
      <c r="BA116" s="241" t="s">
        <v>2741</v>
      </c>
      <c r="BB116" s="242"/>
      <c r="BC116" s="242"/>
      <c r="BD116" s="242"/>
      <c r="BE116" s="242"/>
      <c r="BF116" s="242"/>
      <c r="BG116" s="242"/>
      <c r="BH116" s="242"/>
      <c r="BI116" s="242"/>
    </row>
    <row r="117" spans="1:61" ht="18" customHeight="1">
      <c r="A117" s="241"/>
      <c r="B117" s="241"/>
      <c r="C117" s="241"/>
      <c r="D117" s="241"/>
      <c r="E117" s="241"/>
      <c r="F117" s="241"/>
      <c r="G117" s="241"/>
      <c r="H117" s="241" t="s">
        <v>2972</v>
      </c>
      <c r="I117" s="241"/>
      <c r="J117" s="241"/>
      <c r="K117" s="241"/>
      <c r="L117" s="241"/>
      <c r="M117" s="241"/>
      <c r="N117" s="241"/>
      <c r="O117" s="241" t="s">
        <v>2973</v>
      </c>
      <c r="P117" s="241"/>
      <c r="Q117" s="241"/>
      <c r="R117" s="241"/>
      <c r="S117" s="241"/>
      <c r="T117" s="241"/>
      <c r="U117" s="241"/>
      <c r="V117" s="241"/>
      <c r="W117" s="241"/>
      <c r="X117" s="241"/>
      <c r="Y117" s="241"/>
      <c r="Z117" s="241"/>
      <c r="AA117" s="241"/>
      <c r="AB117" s="241"/>
      <c r="AC117" s="241"/>
      <c r="AD117" s="241"/>
      <c r="AE117" s="241" t="s">
        <v>2974</v>
      </c>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c r="BA117" s="241"/>
      <c r="BB117" s="242"/>
      <c r="BC117" s="242"/>
      <c r="BD117" s="242"/>
      <c r="BE117" s="242"/>
      <c r="BF117" s="242"/>
      <c r="BG117" s="242"/>
      <c r="BH117" s="242"/>
      <c r="BI117" s="242"/>
    </row>
    <row r="118" spans="1:61" ht="18" customHeight="1">
      <c r="A118" s="241"/>
      <c r="B118" s="241"/>
      <c r="C118" s="241"/>
      <c r="D118" s="241"/>
      <c r="E118" s="241"/>
      <c r="F118" s="241"/>
      <c r="G118" s="241"/>
      <c r="H118" s="241"/>
      <c r="I118" s="241"/>
      <c r="J118" s="241"/>
      <c r="K118" s="241"/>
      <c r="L118" s="241"/>
      <c r="M118" s="241"/>
      <c r="N118" s="241"/>
      <c r="O118" s="241" t="s">
        <v>2975</v>
      </c>
      <c r="P118" s="241"/>
      <c r="Q118" s="241"/>
      <c r="R118" s="241"/>
      <c r="S118" s="241"/>
      <c r="T118" s="241"/>
      <c r="U118" s="241"/>
      <c r="V118" s="241"/>
      <c r="W118" s="241"/>
      <c r="X118" s="241"/>
      <c r="Y118" s="241"/>
      <c r="Z118" s="241"/>
      <c r="AA118" s="241"/>
      <c r="AB118" s="241"/>
      <c r="AC118" s="241"/>
      <c r="AD118" s="241"/>
      <c r="AE118" s="241" t="s">
        <v>2976</v>
      </c>
      <c r="AF118" s="241"/>
      <c r="AG118" s="241"/>
      <c r="AH118" s="241"/>
      <c r="AI118" s="241"/>
      <c r="AJ118" s="241"/>
      <c r="AK118" s="241"/>
      <c r="AL118" s="241"/>
      <c r="AM118" s="241"/>
      <c r="AN118" s="241"/>
      <c r="AO118" s="241"/>
      <c r="AP118" s="241"/>
      <c r="AQ118" s="241"/>
      <c r="AR118" s="241"/>
      <c r="AS118" s="241"/>
      <c r="AT118" s="241" t="s">
        <v>2700</v>
      </c>
      <c r="AU118" s="241"/>
      <c r="AV118" s="241"/>
      <c r="AW118" s="241"/>
      <c r="AX118" s="241"/>
      <c r="AY118" s="241"/>
      <c r="AZ118" s="241"/>
      <c r="BA118" s="241" t="s">
        <v>2700</v>
      </c>
      <c r="BB118" s="242"/>
      <c r="BC118" s="242"/>
      <c r="BD118" s="242"/>
      <c r="BE118" s="242"/>
      <c r="BF118" s="242"/>
      <c r="BG118" s="242"/>
      <c r="BH118" s="242"/>
      <c r="BI118" s="242"/>
    </row>
    <row r="119" spans="1:61" ht="18" customHeight="1">
      <c r="A119" s="241"/>
      <c r="B119" s="241"/>
      <c r="C119" s="241"/>
      <c r="D119" s="241"/>
      <c r="E119" s="241"/>
      <c r="F119" s="241"/>
      <c r="G119" s="241"/>
      <c r="H119" s="241" t="s">
        <v>2699</v>
      </c>
      <c r="I119" s="241"/>
      <c r="J119" s="241"/>
      <c r="K119" s="241"/>
      <c r="L119" s="241"/>
      <c r="M119" s="241"/>
      <c r="N119" s="241"/>
      <c r="O119" s="241" t="s">
        <v>2977</v>
      </c>
      <c r="P119" s="241"/>
      <c r="Q119" s="241"/>
      <c r="R119" s="241"/>
      <c r="S119" s="241"/>
      <c r="T119" s="241"/>
      <c r="U119" s="241"/>
      <c r="V119" s="241"/>
      <c r="W119" s="241"/>
      <c r="X119" s="241"/>
      <c r="Y119" s="241"/>
      <c r="Z119" s="241"/>
      <c r="AA119" s="241"/>
      <c r="AB119" s="241"/>
      <c r="AC119" s="241"/>
      <c r="AD119" s="241"/>
      <c r="AE119" s="241"/>
      <c r="AF119" s="241"/>
      <c r="AG119" s="241"/>
      <c r="AH119" s="241"/>
      <c r="AI119" s="241"/>
      <c r="AJ119" s="241"/>
      <c r="AK119" s="241"/>
      <c r="AL119" s="241"/>
      <c r="AM119" s="241"/>
      <c r="AN119" s="241"/>
      <c r="AO119" s="241"/>
      <c r="AP119" s="241"/>
      <c r="AQ119" s="241"/>
      <c r="AR119" s="241"/>
      <c r="AS119" s="241"/>
      <c r="AT119" s="241" t="s">
        <v>2978</v>
      </c>
      <c r="AU119" s="241"/>
      <c r="AV119" s="241"/>
      <c r="AW119" s="241"/>
      <c r="AX119" s="241"/>
      <c r="AY119" s="241"/>
      <c r="AZ119" s="241"/>
      <c r="BA119" s="241" t="s">
        <v>2979</v>
      </c>
      <c r="BB119" s="242"/>
      <c r="BC119" s="242"/>
      <c r="BD119" s="242"/>
      <c r="BE119" s="242"/>
      <c r="BF119" s="242"/>
      <c r="BG119" s="242"/>
      <c r="BH119" s="242"/>
      <c r="BI119" s="242"/>
    </row>
    <row r="120" spans="1:61" ht="18" customHeight="1">
      <c r="A120" s="241"/>
      <c r="B120" s="241"/>
      <c r="C120" s="241"/>
      <c r="D120" s="241"/>
      <c r="E120" s="241"/>
      <c r="F120" s="241"/>
      <c r="G120" s="241"/>
      <c r="H120" s="241" t="s">
        <v>2980</v>
      </c>
      <c r="I120" s="241"/>
      <c r="J120" s="241"/>
      <c r="K120" s="241"/>
      <c r="L120" s="241"/>
      <c r="M120" s="241"/>
      <c r="N120" s="241"/>
      <c r="O120" s="241" t="s">
        <v>2981</v>
      </c>
      <c r="P120" s="241"/>
      <c r="Q120" s="241"/>
      <c r="R120" s="241"/>
      <c r="S120" s="241"/>
      <c r="T120" s="241"/>
      <c r="U120" s="241"/>
      <c r="V120" s="241"/>
      <c r="W120" s="241"/>
      <c r="X120" s="241"/>
      <c r="Y120" s="241"/>
      <c r="Z120" s="241"/>
      <c r="AA120" s="241"/>
      <c r="AB120" s="241"/>
      <c r="AC120" s="241"/>
      <c r="AD120" s="241"/>
      <c r="AE120" s="241" t="s">
        <v>2982</v>
      </c>
      <c r="AF120" s="241"/>
      <c r="AG120" s="241"/>
      <c r="AH120" s="241"/>
      <c r="AI120" s="241"/>
      <c r="AJ120" s="241"/>
      <c r="AK120" s="241"/>
      <c r="AL120" s="241"/>
      <c r="AM120" s="241"/>
      <c r="AN120" s="241"/>
      <c r="AO120" s="241"/>
      <c r="AP120" s="241"/>
      <c r="AQ120" s="241"/>
      <c r="AR120" s="241"/>
      <c r="AS120" s="241"/>
      <c r="AT120" s="241" t="s">
        <v>2740</v>
      </c>
      <c r="AU120" s="241"/>
      <c r="AV120" s="241"/>
      <c r="AW120" s="241"/>
      <c r="AX120" s="241"/>
      <c r="AY120" s="241"/>
      <c r="AZ120" s="241"/>
      <c r="BA120" s="241" t="s">
        <v>2741</v>
      </c>
      <c r="BB120" s="242"/>
      <c r="BC120" s="242"/>
      <c r="BD120" s="242"/>
      <c r="BE120" s="242"/>
      <c r="BF120" s="242"/>
      <c r="BG120" s="242"/>
      <c r="BH120" s="242"/>
      <c r="BI120" s="242"/>
    </row>
    <row r="121" spans="1:61" ht="18" customHeight="1">
      <c r="A121" s="241"/>
      <c r="B121" s="241"/>
      <c r="C121" s="241"/>
      <c r="D121" s="241"/>
      <c r="E121" s="241"/>
      <c r="F121" s="241"/>
      <c r="G121" s="241"/>
      <c r="H121" s="241" t="s">
        <v>2750</v>
      </c>
      <c r="I121" s="241"/>
      <c r="J121" s="241"/>
      <c r="K121" s="241"/>
      <c r="L121" s="241"/>
      <c r="M121" s="241"/>
      <c r="N121" s="241"/>
      <c r="O121" s="241" t="s">
        <v>2983</v>
      </c>
      <c r="P121" s="241"/>
      <c r="Q121" s="241"/>
      <c r="R121" s="241"/>
      <c r="S121" s="241"/>
      <c r="T121" s="241"/>
      <c r="U121" s="241"/>
      <c r="V121" s="241"/>
      <c r="W121" s="241"/>
      <c r="X121" s="241"/>
      <c r="Y121" s="241"/>
      <c r="Z121" s="241"/>
      <c r="AA121" s="241"/>
      <c r="AB121" s="241"/>
      <c r="AC121" s="241"/>
      <c r="AD121" s="241"/>
      <c r="AE121" s="241"/>
      <c r="AF121" s="241"/>
      <c r="AG121" s="241"/>
      <c r="AH121" s="241"/>
      <c r="AI121" s="241"/>
      <c r="AJ121" s="241"/>
      <c r="AK121" s="241"/>
      <c r="AL121" s="241"/>
      <c r="AM121" s="241"/>
      <c r="AN121" s="241"/>
      <c r="AO121" s="241"/>
      <c r="AP121" s="241"/>
      <c r="AQ121" s="241"/>
      <c r="AR121" s="241"/>
      <c r="AS121" s="241"/>
      <c r="AT121" s="241" t="s">
        <v>2743</v>
      </c>
      <c r="AU121" s="241"/>
      <c r="AV121" s="241"/>
      <c r="AW121" s="241"/>
      <c r="AX121" s="241"/>
      <c r="AY121" s="241"/>
      <c r="AZ121" s="241"/>
      <c r="BA121" s="241"/>
      <c r="BB121" s="242"/>
      <c r="BC121" s="242"/>
      <c r="BD121" s="242"/>
      <c r="BE121" s="242"/>
      <c r="BF121" s="242"/>
      <c r="BG121" s="242"/>
      <c r="BH121" s="242"/>
      <c r="BI121" s="242"/>
    </row>
    <row r="122" spans="1:61" ht="18" customHeight="1">
      <c r="A122" s="241"/>
      <c r="B122" s="241"/>
      <c r="C122" s="241"/>
      <c r="D122" s="241"/>
      <c r="E122" s="241"/>
      <c r="F122" s="241"/>
      <c r="G122" s="241"/>
      <c r="H122" s="241" t="s">
        <v>2753</v>
      </c>
      <c r="I122" s="241"/>
      <c r="J122" s="241"/>
      <c r="K122" s="241"/>
      <c r="L122" s="241"/>
      <c r="M122" s="241"/>
      <c r="N122" s="241"/>
      <c r="O122" s="241" t="s">
        <v>2984</v>
      </c>
      <c r="P122" s="241"/>
      <c r="Q122" s="241"/>
      <c r="R122" s="241"/>
      <c r="S122" s="241"/>
      <c r="T122" s="241"/>
      <c r="U122" s="241"/>
      <c r="V122" s="241"/>
      <c r="W122" s="241"/>
      <c r="X122" s="241"/>
      <c r="Y122" s="241"/>
      <c r="Z122" s="241"/>
      <c r="AA122" s="241"/>
      <c r="AB122" s="241"/>
      <c r="AC122" s="241"/>
      <c r="AD122" s="241"/>
      <c r="AE122" s="241" t="s">
        <v>2742</v>
      </c>
      <c r="AF122" s="241"/>
      <c r="AG122" s="241"/>
      <c r="AH122" s="241"/>
      <c r="AI122" s="241"/>
      <c r="AJ122" s="241"/>
      <c r="AK122" s="241"/>
      <c r="AL122" s="241"/>
      <c r="AM122" s="241"/>
      <c r="AN122" s="241"/>
      <c r="AO122" s="241"/>
      <c r="AP122" s="241"/>
      <c r="AQ122" s="241"/>
      <c r="AR122" s="241"/>
      <c r="AS122" s="241"/>
      <c r="AT122" s="241" t="s">
        <v>2713</v>
      </c>
      <c r="AU122" s="241"/>
      <c r="AV122" s="241"/>
      <c r="AW122" s="241"/>
      <c r="AX122" s="241"/>
      <c r="AY122" s="241"/>
      <c r="AZ122" s="241"/>
      <c r="BA122" s="241" t="s">
        <v>2700</v>
      </c>
      <c r="BB122" s="242"/>
      <c r="BC122" s="242"/>
      <c r="BD122" s="242"/>
      <c r="BE122" s="242"/>
      <c r="BF122" s="242"/>
      <c r="BG122" s="242"/>
      <c r="BH122" s="242"/>
      <c r="BI122" s="242"/>
    </row>
    <row r="123" spans="1:61" ht="18" customHeight="1">
      <c r="A123" s="241"/>
      <c r="B123" s="241"/>
      <c r="C123" s="241"/>
      <c r="D123" s="241"/>
      <c r="E123" s="241"/>
      <c r="F123" s="241"/>
      <c r="G123" s="241"/>
      <c r="H123" s="241" t="s">
        <v>2757</v>
      </c>
      <c r="I123" s="241"/>
      <c r="J123" s="241"/>
      <c r="K123" s="241"/>
      <c r="L123" s="241"/>
      <c r="M123" s="241"/>
      <c r="N123" s="241"/>
      <c r="O123" s="241" t="s">
        <v>2985</v>
      </c>
      <c r="P123" s="241"/>
      <c r="Q123" s="241"/>
      <c r="R123" s="241"/>
      <c r="S123" s="241"/>
      <c r="T123" s="241"/>
      <c r="U123" s="241"/>
      <c r="V123" s="241"/>
      <c r="W123" s="241"/>
      <c r="X123" s="241"/>
      <c r="Y123" s="241"/>
      <c r="Z123" s="241"/>
      <c r="AA123" s="241"/>
      <c r="AB123" s="241"/>
      <c r="AC123" s="241"/>
      <c r="AD123" s="241"/>
      <c r="AE123" s="241" t="s">
        <v>2744</v>
      </c>
      <c r="AF123" s="241"/>
      <c r="AG123" s="241"/>
      <c r="AH123" s="241"/>
      <c r="AI123" s="241"/>
      <c r="AJ123" s="241"/>
      <c r="AK123" s="241"/>
      <c r="AL123" s="241"/>
      <c r="AM123" s="241"/>
      <c r="AN123" s="241"/>
      <c r="AO123" s="241"/>
      <c r="AP123" s="241"/>
      <c r="AQ123" s="241"/>
      <c r="AR123" s="241"/>
      <c r="AS123" s="241"/>
      <c r="AT123" s="241"/>
      <c r="AU123" s="241"/>
      <c r="AV123" s="241"/>
      <c r="AW123" s="241"/>
      <c r="AX123" s="241"/>
      <c r="AY123" s="241"/>
      <c r="AZ123" s="241"/>
      <c r="BA123" s="241" t="s">
        <v>2986</v>
      </c>
      <c r="BB123" s="242"/>
      <c r="BC123" s="242"/>
      <c r="BD123" s="242"/>
      <c r="BE123" s="242"/>
      <c r="BF123" s="242"/>
      <c r="BG123" s="242"/>
      <c r="BH123" s="242"/>
      <c r="BI123" s="242"/>
    </row>
    <row r="124" spans="1:61" ht="18" customHeight="1">
      <c r="A124" s="241"/>
      <c r="B124" s="241"/>
      <c r="C124" s="241"/>
      <c r="D124" s="241"/>
      <c r="E124" s="241"/>
      <c r="F124" s="241"/>
      <c r="G124" s="241"/>
      <c r="H124" s="241" t="s">
        <v>2762</v>
      </c>
      <c r="I124" s="241"/>
      <c r="J124" s="241"/>
      <c r="K124" s="241"/>
      <c r="L124" s="241"/>
      <c r="M124" s="241"/>
      <c r="N124" s="241"/>
      <c r="O124" s="241" t="s">
        <v>2987</v>
      </c>
      <c r="P124" s="241"/>
      <c r="Q124" s="241"/>
      <c r="R124" s="241"/>
      <c r="S124" s="241"/>
      <c r="T124" s="241"/>
      <c r="U124" s="241"/>
      <c r="V124" s="241"/>
      <c r="W124" s="241"/>
      <c r="X124" s="241"/>
      <c r="Y124" s="241"/>
      <c r="Z124" s="241"/>
      <c r="AA124" s="241"/>
      <c r="AB124" s="241"/>
      <c r="AC124" s="241"/>
      <c r="AD124" s="241"/>
      <c r="AE124" s="241" t="s">
        <v>2747</v>
      </c>
      <c r="AF124" s="241"/>
      <c r="AG124" s="241"/>
      <c r="AH124" s="241"/>
      <c r="AI124" s="241"/>
      <c r="AJ124" s="241"/>
      <c r="AK124" s="241"/>
      <c r="AL124" s="241"/>
      <c r="AM124" s="241"/>
      <c r="AN124" s="241"/>
      <c r="AO124" s="241"/>
      <c r="AP124" s="241"/>
      <c r="AQ124" s="241"/>
      <c r="AR124" s="241"/>
      <c r="AS124" s="241"/>
      <c r="AT124" s="241" t="s">
        <v>2700</v>
      </c>
      <c r="AU124" s="241"/>
      <c r="AV124" s="241"/>
      <c r="AW124" s="241"/>
      <c r="AX124" s="241"/>
      <c r="AY124" s="241"/>
      <c r="AZ124" s="241"/>
      <c r="BA124" s="241" t="s">
        <v>2741</v>
      </c>
      <c r="BB124" s="242"/>
      <c r="BC124" s="242"/>
      <c r="BD124" s="242"/>
      <c r="BE124" s="242"/>
      <c r="BF124" s="242"/>
      <c r="BG124" s="242"/>
      <c r="BH124" s="242"/>
      <c r="BI124" s="242"/>
    </row>
    <row r="125" spans="1:61" ht="18" customHeight="1">
      <c r="A125" s="241"/>
      <c r="B125" s="241"/>
      <c r="C125" s="241"/>
      <c r="D125" s="241"/>
      <c r="E125" s="241"/>
      <c r="F125" s="241"/>
      <c r="G125" s="241"/>
      <c r="H125" s="241" t="s">
        <v>2766</v>
      </c>
      <c r="I125" s="241"/>
      <c r="J125" s="241"/>
      <c r="K125" s="241"/>
      <c r="L125" s="241"/>
      <c r="M125" s="241"/>
      <c r="N125" s="241"/>
      <c r="O125" s="241" t="s">
        <v>2988</v>
      </c>
      <c r="P125" s="241"/>
      <c r="Q125" s="241"/>
      <c r="R125" s="241"/>
      <c r="S125" s="241"/>
      <c r="T125" s="241"/>
      <c r="U125" s="241"/>
      <c r="V125" s="241"/>
      <c r="W125" s="241"/>
      <c r="X125" s="241"/>
      <c r="Y125" s="241"/>
      <c r="Z125" s="241"/>
      <c r="AA125" s="241"/>
      <c r="AB125" s="241"/>
      <c r="AC125" s="241"/>
      <c r="AD125" s="241"/>
      <c r="AE125" s="241" t="s">
        <v>2751</v>
      </c>
      <c r="AF125" s="241"/>
      <c r="AG125" s="241"/>
      <c r="AH125" s="241"/>
      <c r="AI125" s="241"/>
      <c r="AJ125" s="241"/>
      <c r="AK125" s="241"/>
      <c r="AL125" s="241"/>
      <c r="AM125" s="241"/>
      <c r="AN125" s="241"/>
      <c r="AO125" s="241"/>
      <c r="AP125" s="241"/>
      <c r="AQ125" s="241"/>
      <c r="AR125" s="241"/>
      <c r="AS125" s="241"/>
      <c r="AT125" s="241" t="s">
        <v>2989</v>
      </c>
      <c r="AU125" s="241"/>
      <c r="AV125" s="241"/>
      <c r="AW125" s="241"/>
      <c r="AX125" s="241"/>
      <c r="AY125" s="241"/>
      <c r="AZ125" s="241"/>
      <c r="BA125" s="241"/>
      <c r="BB125" s="242"/>
      <c r="BC125" s="242"/>
      <c r="BD125" s="242"/>
      <c r="BE125" s="242"/>
      <c r="BF125" s="242"/>
      <c r="BG125" s="242"/>
      <c r="BH125" s="242"/>
      <c r="BI125" s="242"/>
    </row>
    <row r="126" spans="1:61" ht="18" customHeight="1">
      <c r="A126" s="241"/>
      <c r="B126" s="241"/>
      <c r="C126" s="241"/>
      <c r="D126" s="241"/>
      <c r="E126" s="241"/>
      <c r="F126" s="241"/>
      <c r="G126" s="241"/>
      <c r="H126" s="241" t="s">
        <v>2769</v>
      </c>
      <c r="I126" s="241"/>
      <c r="J126" s="241"/>
      <c r="K126" s="241"/>
      <c r="L126" s="241"/>
      <c r="M126" s="241"/>
      <c r="N126" s="241"/>
      <c r="O126" s="241" t="s">
        <v>2990</v>
      </c>
      <c r="P126" s="241"/>
      <c r="Q126" s="241"/>
      <c r="R126" s="241"/>
      <c r="S126" s="241"/>
      <c r="T126" s="241"/>
      <c r="U126" s="241"/>
      <c r="V126" s="241"/>
      <c r="W126" s="241"/>
      <c r="X126" s="241"/>
      <c r="Y126" s="241"/>
      <c r="Z126" s="241"/>
      <c r="AA126" s="241"/>
      <c r="AB126" s="241"/>
      <c r="AC126" s="241"/>
      <c r="AD126" s="241"/>
      <c r="AE126" s="241" t="s">
        <v>2991</v>
      </c>
      <c r="AF126" s="241"/>
      <c r="AG126" s="241"/>
      <c r="AH126" s="241"/>
      <c r="AI126" s="241"/>
      <c r="AJ126" s="241"/>
      <c r="AK126" s="241"/>
      <c r="AL126" s="241"/>
      <c r="AM126" s="241"/>
      <c r="AN126" s="241"/>
      <c r="AO126" s="241"/>
      <c r="AP126" s="241"/>
      <c r="AQ126" s="241"/>
      <c r="AR126" s="241"/>
      <c r="AS126" s="241"/>
      <c r="AT126" s="241" t="s">
        <v>2760</v>
      </c>
      <c r="AU126" s="241"/>
      <c r="AV126" s="241"/>
      <c r="AW126" s="241"/>
      <c r="AX126" s="241"/>
      <c r="AY126" s="241"/>
      <c r="AZ126" s="241"/>
      <c r="BA126" s="241" t="s">
        <v>2700</v>
      </c>
      <c r="BB126" s="242"/>
      <c r="BC126" s="242"/>
      <c r="BD126" s="242"/>
      <c r="BE126" s="242"/>
      <c r="BF126" s="242"/>
      <c r="BG126" s="242"/>
      <c r="BH126" s="242"/>
      <c r="BI126" s="242"/>
    </row>
    <row r="127" spans="1:61" ht="18" customHeight="1">
      <c r="A127" s="241"/>
      <c r="B127" s="241"/>
      <c r="C127" s="241"/>
      <c r="D127" s="241"/>
      <c r="E127" s="241"/>
      <c r="F127" s="241"/>
      <c r="G127" s="241"/>
      <c r="H127" s="241" t="s">
        <v>2773</v>
      </c>
      <c r="I127" s="241"/>
      <c r="J127" s="241"/>
      <c r="K127" s="241"/>
      <c r="L127" s="241"/>
      <c r="M127" s="241"/>
      <c r="N127" s="241"/>
      <c r="O127" s="241" t="s">
        <v>2992</v>
      </c>
      <c r="P127" s="241"/>
      <c r="Q127" s="241"/>
      <c r="R127" s="241"/>
      <c r="S127" s="241"/>
      <c r="T127" s="241"/>
      <c r="U127" s="241"/>
      <c r="V127" s="241"/>
      <c r="W127" s="241"/>
      <c r="X127" s="241"/>
      <c r="Y127" s="241"/>
      <c r="Z127" s="241"/>
      <c r="AA127" s="241"/>
      <c r="AB127" s="241"/>
      <c r="AC127" s="241"/>
      <c r="AD127" s="241"/>
      <c r="AE127" s="241" t="s">
        <v>2993</v>
      </c>
      <c r="AF127" s="241"/>
      <c r="AG127" s="241"/>
      <c r="AH127" s="241"/>
      <c r="AI127" s="241"/>
      <c r="AJ127" s="241"/>
      <c r="AK127" s="241"/>
      <c r="AL127" s="241"/>
      <c r="AM127" s="241"/>
      <c r="AN127" s="241"/>
      <c r="AO127" s="241"/>
      <c r="AP127" s="241"/>
      <c r="AQ127" s="241"/>
      <c r="AR127" s="241"/>
      <c r="AS127" s="241"/>
      <c r="AT127" s="241" t="s">
        <v>2743</v>
      </c>
      <c r="AU127" s="241"/>
      <c r="AV127" s="241"/>
      <c r="AW127" s="241"/>
      <c r="AX127" s="241"/>
      <c r="AY127" s="241"/>
      <c r="AZ127" s="241"/>
      <c r="BA127" s="241" t="s">
        <v>2994</v>
      </c>
      <c r="BB127" s="242"/>
      <c r="BC127" s="242"/>
      <c r="BD127" s="242"/>
      <c r="BE127" s="242"/>
      <c r="BF127" s="242"/>
      <c r="BG127" s="242"/>
      <c r="BH127" s="242"/>
      <c r="BI127" s="242"/>
    </row>
    <row r="128" spans="1:61" ht="18" customHeight="1">
      <c r="A128" s="241"/>
      <c r="B128" s="241"/>
      <c r="C128" s="241"/>
      <c r="D128" s="241"/>
      <c r="E128" s="241"/>
      <c r="F128" s="241"/>
      <c r="G128" s="241"/>
      <c r="H128" s="241" t="s">
        <v>2972</v>
      </c>
      <c r="I128" s="241"/>
      <c r="J128" s="241"/>
      <c r="K128" s="241"/>
      <c r="L128" s="241"/>
      <c r="M128" s="241"/>
      <c r="N128" s="241"/>
      <c r="O128" s="241" t="s">
        <v>2995</v>
      </c>
      <c r="P128" s="241"/>
      <c r="Q128" s="241"/>
      <c r="R128" s="241"/>
      <c r="S128" s="241"/>
      <c r="T128" s="241"/>
      <c r="U128" s="241"/>
      <c r="V128" s="241"/>
      <c r="W128" s="241"/>
      <c r="X128" s="241"/>
      <c r="Y128" s="241"/>
      <c r="Z128" s="241"/>
      <c r="AA128" s="241"/>
      <c r="AB128" s="241"/>
      <c r="AC128" s="241"/>
      <c r="AD128" s="241"/>
      <c r="AE128" s="241" t="s">
        <v>2996</v>
      </c>
      <c r="AF128" s="241"/>
      <c r="AG128" s="241"/>
      <c r="AH128" s="241"/>
      <c r="AI128" s="241"/>
      <c r="AJ128" s="241"/>
      <c r="AK128" s="241"/>
      <c r="AL128" s="241"/>
      <c r="AM128" s="241"/>
      <c r="AN128" s="241"/>
      <c r="AO128" s="241"/>
      <c r="AP128" s="241"/>
      <c r="AQ128" s="241"/>
      <c r="AR128" s="241"/>
      <c r="AS128" s="241"/>
      <c r="AT128" s="241" t="s">
        <v>2713</v>
      </c>
      <c r="AU128" s="241"/>
      <c r="AV128" s="241"/>
      <c r="AW128" s="241"/>
      <c r="AX128" s="241"/>
      <c r="AY128" s="241"/>
      <c r="AZ128" s="241"/>
      <c r="BA128" s="241" t="s">
        <v>2741</v>
      </c>
      <c r="BB128" s="242"/>
      <c r="BC128" s="242"/>
      <c r="BD128" s="242"/>
      <c r="BE128" s="242"/>
      <c r="BF128" s="242"/>
      <c r="BG128" s="242"/>
      <c r="BH128" s="242"/>
      <c r="BI128" s="242"/>
    </row>
    <row r="129" spans="1:61" ht="18" customHeight="1">
      <c r="A129" s="241"/>
      <c r="B129" s="241"/>
      <c r="C129" s="241"/>
      <c r="D129" s="241"/>
      <c r="E129" s="241"/>
      <c r="F129" s="241"/>
      <c r="G129" s="241"/>
      <c r="H129" s="241"/>
      <c r="I129" s="241"/>
      <c r="J129" s="241"/>
      <c r="K129" s="241"/>
      <c r="L129" s="241"/>
      <c r="M129" s="241"/>
      <c r="N129" s="241"/>
      <c r="O129" s="241" t="s">
        <v>2997</v>
      </c>
      <c r="P129" s="241"/>
      <c r="Q129" s="241"/>
      <c r="R129" s="241"/>
      <c r="S129" s="241"/>
      <c r="T129" s="241"/>
      <c r="U129" s="241"/>
      <c r="V129" s="241"/>
      <c r="W129" s="241"/>
      <c r="X129" s="241"/>
      <c r="Y129" s="241"/>
      <c r="Z129" s="241"/>
      <c r="AA129" s="241"/>
      <c r="AB129" s="241"/>
      <c r="AC129" s="241"/>
      <c r="AD129" s="241"/>
      <c r="AE129" s="241" t="s">
        <v>2767</v>
      </c>
      <c r="AF129" s="241"/>
      <c r="AG129" s="241"/>
      <c r="AH129" s="241"/>
      <c r="AI129" s="241"/>
      <c r="AJ129" s="241"/>
      <c r="AK129" s="241"/>
      <c r="AL129" s="241"/>
      <c r="AM129" s="241"/>
      <c r="AN129" s="241"/>
      <c r="AO129" s="241"/>
      <c r="AP129" s="241"/>
      <c r="AQ129" s="241"/>
      <c r="AR129" s="241"/>
      <c r="AS129" s="241"/>
      <c r="AT129" s="241"/>
      <c r="AU129" s="241"/>
      <c r="AV129" s="241"/>
      <c r="AW129" s="241"/>
      <c r="AX129" s="241"/>
      <c r="AY129" s="241"/>
      <c r="AZ129" s="241"/>
      <c r="BA129" s="241"/>
      <c r="BB129" s="242"/>
      <c r="BC129" s="242"/>
      <c r="BD129" s="242"/>
      <c r="BE129" s="242"/>
      <c r="BF129" s="242"/>
      <c r="BG129" s="242"/>
      <c r="BH129" s="242"/>
      <c r="BI129" s="242"/>
    </row>
    <row r="130" spans="1:61" ht="18" customHeight="1">
      <c r="A130" s="241"/>
      <c r="B130" s="241"/>
      <c r="C130" s="241"/>
      <c r="D130" s="241"/>
      <c r="E130" s="241"/>
      <c r="F130" s="241"/>
      <c r="G130" s="241"/>
      <c r="H130" s="241" t="s">
        <v>2699</v>
      </c>
      <c r="I130" s="241"/>
      <c r="J130" s="241"/>
      <c r="K130" s="241"/>
      <c r="L130" s="241"/>
      <c r="M130" s="241"/>
      <c r="N130" s="241"/>
      <c r="O130" s="241" t="s">
        <v>2998</v>
      </c>
      <c r="P130" s="241"/>
      <c r="Q130" s="241"/>
      <c r="R130" s="241"/>
      <c r="S130" s="241"/>
      <c r="T130" s="241"/>
      <c r="U130" s="241"/>
      <c r="V130" s="241"/>
      <c r="W130" s="241"/>
      <c r="X130" s="241"/>
      <c r="Y130" s="241"/>
      <c r="Z130" s="241"/>
      <c r="AA130" s="241"/>
      <c r="AB130" s="241"/>
      <c r="AC130" s="241"/>
      <c r="AD130" s="241"/>
      <c r="AE130" s="241" t="s">
        <v>2770</v>
      </c>
      <c r="AF130" s="241"/>
      <c r="AG130" s="241"/>
      <c r="AH130" s="241"/>
      <c r="AI130" s="241"/>
      <c r="AJ130" s="241"/>
      <c r="AK130" s="241"/>
      <c r="AL130" s="241"/>
      <c r="AM130" s="241"/>
      <c r="AN130" s="241"/>
      <c r="AO130" s="241"/>
      <c r="AP130" s="241"/>
      <c r="AQ130" s="241"/>
      <c r="AR130" s="241"/>
      <c r="AS130" s="241"/>
      <c r="AT130" s="241" t="s">
        <v>2700</v>
      </c>
      <c r="AU130" s="241"/>
      <c r="AV130" s="241"/>
      <c r="AW130" s="241"/>
      <c r="AX130" s="241"/>
      <c r="AY130" s="241"/>
      <c r="AZ130" s="241"/>
      <c r="BA130" s="241" t="s">
        <v>2700</v>
      </c>
      <c r="BB130" s="242"/>
      <c r="BC130" s="242"/>
      <c r="BD130" s="242"/>
      <c r="BE130" s="242"/>
      <c r="BF130" s="242"/>
      <c r="BG130" s="242"/>
      <c r="BH130" s="242"/>
      <c r="BI130" s="242"/>
    </row>
    <row r="131" spans="1:61" ht="18" customHeight="1">
      <c r="A131" s="241"/>
      <c r="B131" s="241"/>
      <c r="C131" s="241"/>
      <c r="D131" s="241"/>
      <c r="E131" s="241"/>
      <c r="F131" s="241"/>
      <c r="G131" s="241"/>
      <c r="H131" s="241" t="s">
        <v>2999</v>
      </c>
      <c r="I131" s="241"/>
      <c r="J131" s="241"/>
      <c r="K131" s="241"/>
      <c r="L131" s="241"/>
      <c r="M131" s="241"/>
      <c r="N131" s="241"/>
      <c r="O131" s="241" t="s">
        <v>3000</v>
      </c>
      <c r="P131" s="241"/>
      <c r="Q131" s="241"/>
      <c r="R131" s="241"/>
      <c r="S131" s="241"/>
      <c r="T131" s="241"/>
      <c r="U131" s="241"/>
      <c r="V131" s="241"/>
      <c r="W131" s="241"/>
      <c r="X131" s="241"/>
      <c r="Y131" s="241"/>
      <c r="Z131" s="241"/>
      <c r="AA131" s="241"/>
      <c r="AB131" s="241"/>
      <c r="AC131" s="241"/>
      <c r="AD131" s="241"/>
      <c r="AE131" s="241" t="s">
        <v>3001</v>
      </c>
      <c r="AF131" s="241"/>
      <c r="AG131" s="241"/>
      <c r="AH131" s="241"/>
      <c r="AI131" s="241"/>
      <c r="AJ131" s="241"/>
      <c r="AK131" s="241"/>
      <c r="AL131" s="241"/>
      <c r="AM131" s="241"/>
      <c r="AN131" s="241"/>
      <c r="AO131" s="241"/>
      <c r="AP131" s="241"/>
      <c r="AQ131" s="241"/>
      <c r="AR131" s="241"/>
      <c r="AS131" s="241"/>
      <c r="AT131" s="241" t="s">
        <v>3002</v>
      </c>
      <c r="AU131" s="241"/>
      <c r="AV131" s="241"/>
      <c r="AW131" s="241"/>
      <c r="AX131" s="241"/>
      <c r="AY131" s="241"/>
      <c r="AZ131" s="241"/>
      <c r="BA131" s="241" t="s">
        <v>3003</v>
      </c>
      <c r="BB131" s="242"/>
      <c r="BC131" s="242"/>
      <c r="BD131" s="242"/>
      <c r="BE131" s="242"/>
      <c r="BF131" s="242"/>
      <c r="BG131" s="242"/>
      <c r="BH131" s="242"/>
      <c r="BI131" s="242"/>
    </row>
    <row r="132" spans="1:61" ht="18" customHeight="1">
      <c r="A132" s="241"/>
      <c r="B132" s="241"/>
      <c r="C132" s="241"/>
      <c r="D132" s="241"/>
      <c r="E132" s="241"/>
      <c r="F132" s="241"/>
      <c r="G132" s="241"/>
      <c r="H132" s="241" t="s">
        <v>2750</v>
      </c>
      <c r="I132" s="241"/>
      <c r="J132" s="241"/>
      <c r="K132" s="241"/>
      <c r="L132" s="241"/>
      <c r="M132" s="241"/>
      <c r="N132" s="241"/>
      <c r="O132" s="241" t="s">
        <v>3004</v>
      </c>
      <c r="P132" s="241"/>
      <c r="Q132" s="241"/>
      <c r="R132" s="241"/>
      <c r="S132" s="241"/>
      <c r="T132" s="241"/>
      <c r="U132" s="241"/>
      <c r="V132" s="241"/>
      <c r="W132" s="241"/>
      <c r="X132" s="241"/>
      <c r="Y132" s="241"/>
      <c r="Z132" s="241"/>
      <c r="AA132" s="241"/>
      <c r="AB132" s="241"/>
      <c r="AC132" s="241"/>
      <c r="AD132" s="241"/>
      <c r="AE132" s="241" t="s">
        <v>3005</v>
      </c>
      <c r="AF132" s="241"/>
      <c r="AG132" s="241"/>
      <c r="AH132" s="241"/>
      <c r="AI132" s="241"/>
      <c r="AJ132" s="241"/>
      <c r="AK132" s="241"/>
      <c r="AL132" s="241"/>
      <c r="AM132" s="241"/>
      <c r="AN132" s="241"/>
      <c r="AO132" s="241"/>
      <c r="AP132" s="241"/>
      <c r="AQ132" s="241"/>
      <c r="AR132" s="241"/>
      <c r="AS132" s="241"/>
      <c r="AT132" s="241" t="s">
        <v>2760</v>
      </c>
      <c r="AU132" s="241"/>
      <c r="AV132" s="241"/>
      <c r="AW132" s="241"/>
      <c r="AX132" s="241"/>
      <c r="AY132" s="241"/>
      <c r="AZ132" s="241"/>
      <c r="BA132" s="241" t="s">
        <v>2741</v>
      </c>
      <c r="BB132" s="242"/>
      <c r="BC132" s="242"/>
      <c r="BD132" s="242"/>
      <c r="BE132" s="242"/>
      <c r="BF132" s="242"/>
      <c r="BG132" s="242"/>
      <c r="BH132" s="242"/>
      <c r="BI132" s="242"/>
    </row>
    <row r="133" spans="1:61" ht="18" customHeight="1">
      <c r="A133" s="241"/>
      <c r="B133" s="241"/>
      <c r="C133" s="241"/>
      <c r="D133" s="241"/>
      <c r="E133" s="241"/>
      <c r="F133" s="241"/>
      <c r="G133" s="241"/>
      <c r="H133" s="241" t="s">
        <v>2753</v>
      </c>
      <c r="I133" s="241"/>
      <c r="J133" s="241"/>
      <c r="K133" s="241"/>
      <c r="L133" s="241"/>
      <c r="M133" s="241"/>
      <c r="N133" s="241"/>
      <c r="O133" s="241" t="s">
        <v>3006</v>
      </c>
      <c r="P133" s="241"/>
      <c r="Q133" s="241"/>
      <c r="R133" s="241"/>
      <c r="S133" s="241"/>
      <c r="T133" s="241"/>
      <c r="U133" s="241"/>
      <c r="V133" s="241"/>
      <c r="W133" s="241"/>
      <c r="X133" s="241"/>
      <c r="Y133" s="241"/>
      <c r="Z133" s="241"/>
      <c r="AA133" s="241"/>
      <c r="AB133" s="241"/>
      <c r="AC133" s="241"/>
      <c r="AD133" s="241"/>
      <c r="AE133" s="241" t="s">
        <v>3007</v>
      </c>
      <c r="AF133" s="241"/>
      <c r="AG133" s="241"/>
      <c r="AH133" s="241"/>
      <c r="AI133" s="241"/>
      <c r="AJ133" s="241"/>
      <c r="AK133" s="241"/>
      <c r="AL133" s="241"/>
      <c r="AM133" s="241"/>
      <c r="AN133" s="241"/>
      <c r="AO133" s="241"/>
      <c r="AP133" s="241"/>
      <c r="AQ133" s="241"/>
      <c r="AR133" s="241"/>
      <c r="AS133" s="241"/>
      <c r="AT133" s="241" t="s">
        <v>2743</v>
      </c>
      <c r="AU133" s="241"/>
      <c r="AV133" s="241"/>
      <c r="AW133" s="241"/>
      <c r="AX133" s="241"/>
      <c r="AY133" s="241"/>
      <c r="AZ133" s="241"/>
      <c r="BA133" s="241"/>
      <c r="BB133" s="242"/>
      <c r="BC133" s="242"/>
      <c r="BD133" s="242"/>
      <c r="BE133" s="242"/>
      <c r="BF133" s="242"/>
      <c r="BG133" s="242"/>
      <c r="BH133" s="242"/>
      <c r="BI133" s="242"/>
    </row>
    <row r="134" spans="1:61" ht="18" customHeight="1">
      <c r="A134" s="241"/>
      <c r="B134" s="241"/>
      <c r="C134" s="241"/>
      <c r="D134" s="241"/>
      <c r="E134" s="241"/>
      <c r="F134" s="241"/>
      <c r="G134" s="241"/>
      <c r="H134" s="241" t="s">
        <v>2757</v>
      </c>
      <c r="I134" s="241"/>
      <c r="J134" s="241"/>
      <c r="K134" s="241"/>
      <c r="L134" s="241"/>
      <c r="M134" s="241"/>
      <c r="N134" s="241"/>
      <c r="O134" s="241" t="s">
        <v>3008</v>
      </c>
      <c r="P134" s="241"/>
      <c r="Q134" s="241"/>
      <c r="R134" s="241"/>
      <c r="S134" s="241"/>
      <c r="T134" s="241"/>
      <c r="U134" s="241"/>
      <c r="V134" s="241"/>
      <c r="W134" s="241"/>
      <c r="X134" s="241"/>
      <c r="Y134" s="241"/>
      <c r="Z134" s="241"/>
      <c r="AA134" s="241"/>
      <c r="AB134" s="241"/>
      <c r="AC134" s="241"/>
      <c r="AD134" s="241"/>
      <c r="AE134" s="241" t="s">
        <v>3009</v>
      </c>
      <c r="AF134" s="241"/>
      <c r="AG134" s="241"/>
      <c r="AH134" s="241"/>
      <c r="AI134" s="241"/>
      <c r="AJ134" s="241"/>
      <c r="AK134" s="241"/>
      <c r="AL134" s="241"/>
      <c r="AM134" s="241"/>
      <c r="AN134" s="241"/>
      <c r="AO134" s="241"/>
      <c r="AP134" s="241"/>
      <c r="AQ134" s="241"/>
      <c r="AR134" s="241"/>
      <c r="AS134" s="241"/>
      <c r="AT134" s="241" t="s">
        <v>2713</v>
      </c>
      <c r="AU134" s="241"/>
      <c r="AV134" s="241"/>
      <c r="AW134" s="241"/>
      <c r="AX134" s="241"/>
      <c r="AY134" s="241"/>
      <c r="AZ134" s="241"/>
      <c r="BA134" s="241" t="s">
        <v>2700</v>
      </c>
      <c r="BB134" s="242"/>
      <c r="BC134" s="242"/>
      <c r="BD134" s="242"/>
      <c r="BE134" s="242"/>
      <c r="BF134" s="242"/>
      <c r="BG134" s="242"/>
      <c r="BH134" s="242"/>
      <c r="BI134" s="242"/>
    </row>
    <row r="135" spans="1:61" ht="18" customHeight="1">
      <c r="A135" s="241"/>
      <c r="B135" s="241"/>
      <c r="C135" s="241"/>
      <c r="D135" s="241"/>
      <c r="E135" s="241"/>
      <c r="F135" s="241"/>
      <c r="G135" s="241"/>
      <c r="H135" s="241" t="s">
        <v>2762</v>
      </c>
      <c r="I135" s="241"/>
      <c r="J135" s="241"/>
      <c r="K135" s="241"/>
      <c r="L135" s="241"/>
      <c r="M135" s="241"/>
      <c r="N135" s="241"/>
      <c r="O135" s="241" t="s">
        <v>3010</v>
      </c>
      <c r="P135" s="241"/>
      <c r="Q135" s="241"/>
      <c r="R135" s="241"/>
      <c r="S135" s="241"/>
      <c r="T135" s="241"/>
      <c r="U135" s="241"/>
      <c r="V135" s="241"/>
      <c r="W135" s="241"/>
      <c r="X135" s="241"/>
      <c r="Y135" s="241"/>
      <c r="Z135" s="241"/>
      <c r="AA135" s="241"/>
      <c r="AB135" s="241"/>
      <c r="AC135" s="241"/>
      <c r="AD135" s="241"/>
      <c r="AE135" s="241" t="s">
        <v>3011</v>
      </c>
      <c r="AF135" s="241"/>
      <c r="AG135" s="241"/>
      <c r="AH135" s="241"/>
      <c r="AI135" s="241"/>
      <c r="AJ135" s="241"/>
      <c r="AK135" s="241"/>
      <c r="AL135" s="241"/>
      <c r="AM135" s="241"/>
      <c r="AN135" s="241"/>
      <c r="AO135" s="241"/>
      <c r="AP135" s="241"/>
      <c r="AQ135" s="241"/>
      <c r="AR135" s="241"/>
      <c r="AS135" s="241"/>
      <c r="AT135" s="241"/>
      <c r="AU135" s="241"/>
      <c r="AV135" s="241"/>
      <c r="AW135" s="241"/>
      <c r="AX135" s="241"/>
      <c r="AY135" s="241"/>
      <c r="AZ135" s="241"/>
      <c r="BA135" s="241" t="s">
        <v>3012</v>
      </c>
      <c r="BB135" s="242"/>
      <c r="BC135" s="242"/>
      <c r="BD135" s="242"/>
      <c r="BE135" s="242"/>
      <c r="BF135" s="242"/>
      <c r="BG135" s="242"/>
      <c r="BH135" s="242"/>
      <c r="BI135" s="242"/>
    </row>
    <row r="136" spans="1:61" ht="18" customHeight="1">
      <c r="A136" s="241"/>
      <c r="B136" s="241"/>
      <c r="C136" s="241"/>
      <c r="D136" s="241"/>
      <c r="E136" s="241"/>
      <c r="F136" s="241"/>
      <c r="G136" s="241"/>
      <c r="H136" s="241" t="s">
        <v>2766</v>
      </c>
      <c r="I136" s="241"/>
      <c r="J136" s="241"/>
      <c r="K136" s="241"/>
      <c r="L136" s="241"/>
      <c r="M136" s="241"/>
      <c r="N136" s="241"/>
      <c r="O136" s="241" t="s">
        <v>3013</v>
      </c>
      <c r="P136" s="241"/>
      <c r="Q136" s="241"/>
      <c r="R136" s="241"/>
      <c r="S136" s="241"/>
      <c r="T136" s="241"/>
      <c r="U136" s="241"/>
      <c r="V136" s="241"/>
      <c r="W136" s="241"/>
      <c r="X136" s="241"/>
      <c r="Y136" s="241"/>
      <c r="Z136" s="241"/>
      <c r="AA136" s="241"/>
      <c r="AB136" s="241"/>
      <c r="AC136" s="241"/>
      <c r="AD136" s="241"/>
      <c r="AE136" s="241" t="s">
        <v>3014</v>
      </c>
      <c r="AF136" s="241"/>
      <c r="AG136" s="241"/>
      <c r="AH136" s="241"/>
      <c r="AI136" s="241"/>
      <c r="AJ136" s="241"/>
      <c r="AK136" s="241"/>
      <c r="AL136" s="241"/>
      <c r="AM136" s="241"/>
      <c r="AN136" s="241"/>
      <c r="AO136" s="241"/>
      <c r="AP136" s="241"/>
      <c r="AQ136" s="241"/>
      <c r="AR136" s="241"/>
      <c r="AS136" s="241"/>
      <c r="AT136" s="241" t="s">
        <v>2700</v>
      </c>
      <c r="AU136" s="241"/>
      <c r="AV136" s="241"/>
      <c r="AW136" s="241"/>
      <c r="AX136" s="241"/>
      <c r="AY136" s="241"/>
      <c r="AZ136" s="241"/>
      <c r="BA136" s="241" t="s">
        <v>2741</v>
      </c>
      <c r="BB136" s="242"/>
      <c r="BC136" s="242"/>
      <c r="BD136" s="242"/>
      <c r="BE136" s="242"/>
      <c r="BF136" s="242"/>
      <c r="BG136" s="242"/>
      <c r="BH136" s="242"/>
      <c r="BI136" s="242"/>
    </row>
    <row r="137" spans="1:61" ht="18" customHeight="1">
      <c r="A137" s="241"/>
      <c r="B137" s="241"/>
      <c r="C137" s="241"/>
      <c r="D137" s="241"/>
      <c r="E137" s="241"/>
      <c r="F137" s="241"/>
      <c r="G137" s="241"/>
      <c r="H137" s="241" t="s">
        <v>2769</v>
      </c>
      <c r="I137" s="241"/>
      <c r="J137" s="241"/>
      <c r="K137" s="241"/>
      <c r="L137" s="241"/>
      <c r="M137" s="241"/>
      <c r="N137" s="241"/>
      <c r="O137" s="241" t="s">
        <v>3015</v>
      </c>
      <c r="P137" s="241"/>
      <c r="Q137" s="241"/>
      <c r="R137" s="241"/>
      <c r="S137" s="241"/>
      <c r="T137" s="241"/>
      <c r="U137" s="241"/>
      <c r="V137" s="241"/>
      <c r="W137" s="241"/>
      <c r="X137" s="241"/>
      <c r="Y137" s="241"/>
      <c r="Z137" s="241"/>
      <c r="AA137" s="241"/>
      <c r="AB137" s="241"/>
      <c r="AC137" s="241"/>
      <c r="AD137" s="241"/>
      <c r="AE137" s="241" t="s">
        <v>3016</v>
      </c>
      <c r="AF137" s="241"/>
      <c r="AG137" s="241"/>
      <c r="AH137" s="241"/>
      <c r="AI137" s="241"/>
      <c r="AJ137" s="241"/>
      <c r="AK137" s="241"/>
      <c r="AL137" s="241"/>
      <c r="AM137" s="241"/>
      <c r="AN137" s="241"/>
      <c r="AO137" s="241"/>
      <c r="AP137" s="241"/>
      <c r="AQ137" s="241"/>
      <c r="AR137" s="241"/>
      <c r="AS137" s="241"/>
      <c r="AT137" s="241" t="s">
        <v>3017</v>
      </c>
      <c r="AU137" s="241"/>
      <c r="AV137" s="241"/>
      <c r="AW137" s="241"/>
      <c r="AX137" s="241"/>
      <c r="AY137" s="241"/>
      <c r="AZ137" s="241"/>
      <c r="BA137" s="241"/>
      <c r="BB137" s="242"/>
      <c r="BC137" s="242"/>
      <c r="BD137" s="242"/>
      <c r="BE137" s="242"/>
      <c r="BF137" s="242"/>
      <c r="BG137" s="242"/>
      <c r="BH137" s="242"/>
      <c r="BI137" s="242"/>
    </row>
    <row r="138" spans="1:61" ht="18" customHeight="1">
      <c r="A138" s="241"/>
      <c r="B138" s="241"/>
      <c r="C138" s="241"/>
      <c r="D138" s="241"/>
      <c r="E138" s="241"/>
      <c r="F138" s="241"/>
      <c r="G138" s="241"/>
      <c r="H138" s="241" t="s">
        <v>2773</v>
      </c>
      <c r="I138" s="241"/>
      <c r="J138" s="241"/>
      <c r="K138" s="241"/>
      <c r="L138" s="241"/>
      <c r="M138" s="241"/>
      <c r="N138" s="241"/>
      <c r="O138" s="241" t="s">
        <v>3018</v>
      </c>
      <c r="P138" s="241"/>
      <c r="Q138" s="241"/>
      <c r="R138" s="241"/>
      <c r="S138" s="241"/>
      <c r="T138" s="241"/>
      <c r="U138" s="241"/>
      <c r="V138" s="241"/>
      <c r="W138" s="241"/>
      <c r="X138" s="241"/>
      <c r="Y138" s="241"/>
      <c r="Z138" s="241"/>
      <c r="AA138" s="241"/>
      <c r="AB138" s="241"/>
      <c r="AC138" s="241"/>
      <c r="AD138" s="241"/>
      <c r="AE138" s="241" t="s">
        <v>3019</v>
      </c>
      <c r="AF138" s="241"/>
      <c r="AG138" s="241"/>
      <c r="AH138" s="241"/>
      <c r="AI138" s="241"/>
      <c r="AJ138" s="241"/>
      <c r="AK138" s="241"/>
      <c r="AL138" s="241"/>
      <c r="AM138" s="241"/>
      <c r="AN138" s="241"/>
      <c r="AO138" s="241"/>
      <c r="AP138" s="241"/>
      <c r="AQ138" s="241"/>
      <c r="AR138" s="241"/>
      <c r="AS138" s="241"/>
      <c r="AT138" s="241" t="s">
        <v>2760</v>
      </c>
      <c r="AU138" s="241"/>
      <c r="AV138" s="241"/>
      <c r="AW138" s="241"/>
      <c r="AX138" s="241"/>
      <c r="AY138" s="241"/>
      <c r="AZ138" s="241"/>
      <c r="BA138" s="241" t="s">
        <v>2450</v>
      </c>
      <c r="BB138" s="242"/>
      <c r="BC138" s="242"/>
      <c r="BD138" s="242"/>
      <c r="BE138" s="242"/>
      <c r="BF138" s="242"/>
      <c r="BG138" s="242"/>
      <c r="BH138" s="242"/>
      <c r="BI138" s="242"/>
    </row>
    <row r="139" spans="1:61" ht="18" customHeight="1">
      <c r="A139" s="241"/>
      <c r="B139" s="241"/>
      <c r="C139" s="241"/>
      <c r="D139" s="241"/>
      <c r="E139" s="241"/>
      <c r="F139" s="241"/>
      <c r="G139" s="241"/>
      <c r="H139" s="241" t="s">
        <v>2972</v>
      </c>
      <c r="I139" s="241"/>
      <c r="J139" s="241"/>
      <c r="K139" s="241"/>
      <c r="L139" s="241"/>
      <c r="M139" s="241"/>
      <c r="N139" s="241"/>
      <c r="O139" s="241" t="s">
        <v>3020</v>
      </c>
      <c r="P139" s="241"/>
      <c r="Q139" s="241"/>
      <c r="R139" s="241"/>
      <c r="S139" s="241"/>
      <c r="T139" s="241"/>
      <c r="U139" s="241"/>
      <c r="V139" s="241"/>
      <c r="W139" s="241"/>
      <c r="X139" s="241"/>
      <c r="Y139" s="241"/>
      <c r="Z139" s="241"/>
      <c r="AA139" s="241"/>
      <c r="AB139" s="241"/>
      <c r="AC139" s="241"/>
      <c r="AD139" s="241"/>
      <c r="AE139" s="241" t="s">
        <v>3021</v>
      </c>
      <c r="AF139" s="241"/>
      <c r="AG139" s="241"/>
      <c r="AH139" s="241"/>
      <c r="AI139" s="241"/>
      <c r="AJ139" s="241"/>
      <c r="AK139" s="241"/>
      <c r="AL139" s="241"/>
      <c r="AM139" s="241"/>
      <c r="AN139" s="241"/>
      <c r="AO139" s="241"/>
      <c r="AP139" s="241"/>
      <c r="AQ139" s="241"/>
      <c r="AR139" s="241"/>
      <c r="AS139" s="241"/>
      <c r="AT139" s="241" t="s">
        <v>2743</v>
      </c>
      <c r="AU139" s="241"/>
      <c r="AV139" s="241"/>
      <c r="AW139" s="241"/>
      <c r="AX139" s="241"/>
      <c r="AY139" s="241"/>
      <c r="AZ139" s="241"/>
      <c r="BA139" s="241" t="s">
        <v>3022</v>
      </c>
      <c r="BB139" s="242"/>
      <c r="BC139" s="242"/>
      <c r="BD139" s="242"/>
      <c r="BE139" s="242"/>
      <c r="BF139" s="242"/>
      <c r="BG139" s="242"/>
      <c r="BH139" s="242"/>
      <c r="BI139" s="242"/>
    </row>
    <row r="140" spans="1:61" ht="18" customHeight="1">
      <c r="A140" s="241"/>
      <c r="B140" s="241"/>
      <c r="C140" s="241"/>
      <c r="D140" s="241"/>
      <c r="E140" s="241"/>
      <c r="F140" s="241"/>
      <c r="G140" s="241"/>
      <c r="H140" s="241"/>
      <c r="I140" s="241"/>
      <c r="J140" s="241"/>
      <c r="K140" s="241"/>
      <c r="L140" s="241"/>
      <c r="M140" s="241"/>
      <c r="N140" s="241"/>
      <c r="O140" s="241" t="s">
        <v>3023</v>
      </c>
      <c r="P140" s="241"/>
      <c r="Q140" s="241"/>
      <c r="R140" s="241"/>
      <c r="S140" s="241"/>
      <c r="T140" s="241"/>
      <c r="U140" s="241"/>
      <c r="V140" s="241"/>
      <c r="W140" s="241"/>
      <c r="X140" s="241"/>
      <c r="Y140" s="241"/>
      <c r="Z140" s="241"/>
      <c r="AA140" s="241"/>
      <c r="AB140" s="241"/>
      <c r="AC140" s="241"/>
      <c r="AD140" s="241"/>
      <c r="AE140" s="241" t="s">
        <v>3024</v>
      </c>
      <c r="AF140" s="241"/>
      <c r="AG140" s="241"/>
      <c r="AH140" s="241"/>
      <c r="AI140" s="241"/>
      <c r="AJ140" s="241"/>
      <c r="AK140" s="241"/>
      <c r="AL140" s="241"/>
      <c r="AM140" s="241"/>
      <c r="AN140" s="241"/>
      <c r="AO140" s="241"/>
      <c r="AP140" s="241"/>
      <c r="AQ140" s="241"/>
      <c r="AR140" s="241"/>
      <c r="AS140" s="241"/>
      <c r="AT140" s="241" t="s">
        <v>2713</v>
      </c>
      <c r="AU140" s="241"/>
      <c r="AV140" s="241"/>
      <c r="AW140" s="241"/>
      <c r="AX140" s="241"/>
      <c r="AY140" s="241"/>
      <c r="AZ140" s="241"/>
      <c r="BA140" s="241" t="s">
        <v>2450</v>
      </c>
      <c r="BB140" s="242"/>
      <c r="BC140" s="242"/>
      <c r="BD140" s="242"/>
      <c r="BE140" s="242"/>
      <c r="BF140" s="242"/>
      <c r="BG140" s="242"/>
      <c r="BH140" s="242"/>
      <c r="BI140" s="242"/>
    </row>
    <row r="141" spans="1:61" ht="18" customHeight="1">
      <c r="A141" s="241"/>
      <c r="B141" s="241"/>
      <c r="C141" s="241"/>
      <c r="D141" s="241"/>
      <c r="E141" s="241"/>
      <c r="F141" s="241"/>
      <c r="G141" s="241"/>
      <c r="H141" s="241" t="s">
        <v>2699</v>
      </c>
      <c r="I141" s="241"/>
      <c r="J141" s="241"/>
      <c r="K141" s="241"/>
      <c r="L141" s="241"/>
      <c r="M141" s="241"/>
      <c r="N141" s="241"/>
      <c r="O141" s="241" t="s">
        <v>3025</v>
      </c>
      <c r="P141" s="241"/>
      <c r="Q141" s="241"/>
      <c r="R141" s="241"/>
      <c r="S141" s="241"/>
      <c r="T141" s="241"/>
      <c r="U141" s="241"/>
      <c r="V141" s="241"/>
      <c r="W141" s="241"/>
      <c r="X141" s="241"/>
      <c r="Y141" s="241"/>
      <c r="Z141" s="241"/>
      <c r="AA141" s="241"/>
      <c r="AB141" s="241"/>
      <c r="AC141" s="241"/>
      <c r="AD141" s="241"/>
      <c r="AE141" s="241" t="s">
        <v>3026</v>
      </c>
      <c r="AF141" s="241"/>
      <c r="AG141" s="241"/>
      <c r="AH141" s="241"/>
      <c r="AI141" s="241"/>
      <c r="AJ141" s="241"/>
      <c r="AK141" s="241"/>
      <c r="AL141" s="241"/>
      <c r="AM141" s="241"/>
      <c r="AN141" s="241"/>
      <c r="AO141" s="241"/>
      <c r="AP141" s="241"/>
      <c r="AQ141" s="241"/>
      <c r="AR141" s="241"/>
      <c r="AS141" s="241"/>
      <c r="AT141" s="241"/>
      <c r="AU141" s="241"/>
      <c r="AV141" s="241"/>
      <c r="AW141" s="241"/>
      <c r="AX141" s="241"/>
      <c r="AY141" s="241"/>
      <c r="AZ141" s="241"/>
      <c r="BA141" s="241" t="s">
        <v>3027</v>
      </c>
      <c r="BB141" s="242"/>
      <c r="BC141" s="242"/>
      <c r="BD141" s="242"/>
      <c r="BE141" s="242"/>
      <c r="BF141" s="242"/>
      <c r="BG141" s="242"/>
      <c r="BH141" s="242"/>
      <c r="BI141" s="242"/>
    </row>
    <row r="142" spans="1:61" ht="18" customHeight="1">
      <c r="A142" s="241"/>
      <c r="B142" s="241"/>
      <c r="C142" s="241"/>
      <c r="D142" s="241"/>
      <c r="E142" s="241"/>
      <c r="F142" s="241"/>
      <c r="G142" s="241"/>
      <c r="H142" s="241" t="s">
        <v>3028</v>
      </c>
      <c r="I142" s="241"/>
      <c r="J142" s="241"/>
      <c r="K142" s="241"/>
      <c r="L142" s="241"/>
      <c r="M142" s="241"/>
      <c r="N142" s="241"/>
      <c r="O142" s="241" t="s">
        <v>3029</v>
      </c>
      <c r="P142" s="241"/>
      <c r="Q142" s="241"/>
      <c r="R142" s="241"/>
      <c r="S142" s="241"/>
      <c r="T142" s="241"/>
      <c r="U142" s="241"/>
      <c r="V142" s="241"/>
      <c r="W142" s="241"/>
      <c r="X142" s="241"/>
      <c r="Y142" s="241"/>
      <c r="Z142" s="241"/>
      <c r="AA142" s="241"/>
      <c r="AB142" s="241"/>
      <c r="AC142" s="241"/>
      <c r="AD142" s="241"/>
      <c r="AE142" s="241" t="s">
        <v>3030</v>
      </c>
      <c r="AF142" s="241"/>
      <c r="AG142" s="241"/>
      <c r="AH142" s="241"/>
      <c r="AI142" s="241"/>
      <c r="AJ142" s="241"/>
      <c r="AK142" s="241"/>
      <c r="AL142" s="241"/>
      <c r="AM142" s="241"/>
      <c r="AN142" s="241"/>
      <c r="AO142" s="241"/>
      <c r="AP142" s="241"/>
      <c r="AQ142" s="241"/>
      <c r="AR142" s="241"/>
      <c r="AS142" s="241"/>
      <c r="AT142" s="241" t="s">
        <v>2700</v>
      </c>
      <c r="AU142" s="241"/>
      <c r="AV142" s="241"/>
      <c r="AW142" s="241"/>
      <c r="AX142" s="241"/>
      <c r="AY142" s="241"/>
      <c r="AZ142" s="241"/>
      <c r="BA142" s="241" t="s">
        <v>3031</v>
      </c>
      <c r="BB142" s="242"/>
      <c r="BC142" s="242"/>
      <c r="BD142" s="242"/>
      <c r="BE142" s="242"/>
      <c r="BF142" s="242"/>
      <c r="BG142" s="242"/>
      <c r="BH142" s="242"/>
      <c r="BI142" s="242"/>
    </row>
    <row r="143" spans="1:61" ht="18" customHeight="1">
      <c r="A143" s="241"/>
      <c r="B143" s="241"/>
      <c r="C143" s="241"/>
      <c r="D143" s="241"/>
      <c r="E143" s="241"/>
      <c r="F143" s="241"/>
      <c r="G143" s="241"/>
      <c r="H143" s="241" t="s">
        <v>2750</v>
      </c>
      <c r="I143" s="241"/>
      <c r="J143" s="241"/>
      <c r="K143" s="241"/>
      <c r="L143" s="241"/>
      <c r="M143" s="241"/>
      <c r="N143" s="241"/>
      <c r="O143" s="241" t="s">
        <v>3032</v>
      </c>
      <c r="P143" s="241"/>
      <c r="Q143" s="241"/>
      <c r="R143" s="241"/>
      <c r="S143" s="241"/>
      <c r="T143" s="241"/>
      <c r="U143" s="241"/>
      <c r="V143" s="241"/>
      <c r="W143" s="241"/>
      <c r="X143" s="241"/>
      <c r="Y143" s="241"/>
      <c r="Z143" s="241"/>
      <c r="AA143" s="241"/>
      <c r="AB143" s="241"/>
      <c r="AC143" s="241"/>
      <c r="AD143" s="241"/>
      <c r="AE143" s="241" t="s">
        <v>3033</v>
      </c>
      <c r="AF143" s="241"/>
      <c r="AG143" s="241"/>
      <c r="AH143" s="241"/>
      <c r="AI143" s="241"/>
      <c r="AJ143" s="241"/>
      <c r="AK143" s="241"/>
      <c r="AL143" s="241"/>
      <c r="AM143" s="241"/>
      <c r="AN143" s="241"/>
      <c r="AO143" s="241"/>
      <c r="AP143" s="241"/>
      <c r="AQ143" s="241"/>
      <c r="AR143" s="241"/>
      <c r="AS143" s="241"/>
      <c r="AT143" s="241" t="s">
        <v>3034</v>
      </c>
      <c r="AU143" s="241"/>
      <c r="AV143" s="241"/>
      <c r="AW143" s="241"/>
      <c r="AX143" s="241"/>
      <c r="AY143" s="241"/>
      <c r="AZ143" s="241"/>
      <c r="BA143" s="241" t="s">
        <v>3035</v>
      </c>
      <c r="BB143" s="242"/>
      <c r="BC143" s="242"/>
      <c r="BD143" s="242"/>
      <c r="BE143" s="242"/>
      <c r="BF143" s="242"/>
      <c r="BG143" s="242"/>
      <c r="BH143" s="242"/>
      <c r="BI143" s="242"/>
    </row>
    <row r="144" spans="1:61" ht="18" customHeight="1">
      <c r="A144" s="241"/>
      <c r="B144" s="241"/>
      <c r="C144" s="241"/>
      <c r="D144" s="241"/>
      <c r="E144" s="241"/>
      <c r="F144" s="241"/>
      <c r="G144" s="241"/>
      <c r="H144" s="241" t="s">
        <v>2753</v>
      </c>
      <c r="I144" s="241"/>
      <c r="J144" s="241"/>
      <c r="K144" s="241"/>
      <c r="L144" s="241"/>
      <c r="M144" s="241"/>
      <c r="N144" s="241"/>
      <c r="O144" s="241" t="s">
        <v>3036</v>
      </c>
      <c r="P144" s="241"/>
      <c r="Q144" s="241"/>
      <c r="R144" s="241"/>
      <c r="S144" s="241"/>
      <c r="T144" s="241"/>
      <c r="U144" s="241"/>
      <c r="V144" s="241"/>
      <c r="W144" s="241"/>
      <c r="X144" s="241"/>
      <c r="Y144" s="241"/>
      <c r="Z144" s="241"/>
      <c r="AA144" s="241"/>
      <c r="AB144" s="241"/>
      <c r="AC144" s="241"/>
      <c r="AD144" s="241"/>
      <c r="AE144" s="241" t="s">
        <v>3037</v>
      </c>
      <c r="AF144" s="241"/>
      <c r="AG144" s="241"/>
      <c r="AH144" s="241"/>
      <c r="AI144" s="241"/>
      <c r="AJ144" s="241"/>
      <c r="AK144" s="241"/>
      <c r="AL144" s="241"/>
      <c r="AM144" s="241"/>
      <c r="AN144" s="241"/>
      <c r="AO144" s="241"/>
      <c r="AP144" s="241"/>
      <c r="AQ144" s="241"/>
      <c r="AR144" s="241"/>
      <c r="AS144" s="241"/>
      <c r="AT144" s="241" t="s">
        <v>2760</v>
      </c>
      <c r="AU144" s="241"/>
      <c r="AV144" s="241"/>
      <c r="AW144" s="241"/>
      <c r="AX144" s="241"/>
      <c r="AY144" s="241"/>
      <c r="AZ144" s="241"/>
      <c r="BA144" s="241" t="s">
        <v>3038</v>
      </c>
      <c r="BB144" s="242"/>
      <c r="BC144" s="242"/>
      <c r="BD144" s="242"/>
      <c r="BE144" s="242"/>
      <c r="BF144" s="242"/>
      <c r="BG144" s="242"/>
      <c r="BH144" s="242"/>
      <c r="BI144" s="242"/>
    </row>
    <row r="145" spans="1:61" ht="18" customHeight="1">
      <c r="A145" s="241"/>
      <c r="B145" s="241"/>
      <c r="C145" s="241"/>
      <c r="D145" s="241"/>
      <c r="E145" s="241"/>
      <c r="F145" s="241"/>
      <c r="G145" s="241"/>
      <c r="H145" s="241" t="s">
        <v>2757</v>
      </c>
      <c r="I145" s="241"/>
      <c r="J145" s="241"/>
      <c r="K145" s="241"/>
      <c r="L145" s="241"/>
      <c r="M145" s="241"/>
      <c r="N145" s="241"/>
      <c r="O145" s="241" t="s">
        <v>3039</v>
      </c>
      <c r="P145" s="241"/>
      <c r="Q145" s="241"/>
      <c r="R145" s="241"/>
      <c r="S145" s="241"/>
      <c r="T145" s="241"/>
      <c r="U145" s="241"/>
      <c r="V145" s="241"/>
      <c r="W145" s="241"/>
      <c r="X145" s="241"/>
      <c r="Y145" s="241"/>
      <c r="Z145" s="241"/>
      <c r="AA145" s="241"/>
      <c r="AB145" s="241"/>
      <c r="AC145" s="241"/>
      <c r="AD145" s="241"/>
      <c r="AE145" s="241" t="s">
        <v>3040</v>
      </c>
      <c r="AF145" s="241"/>
      <c r="AG145" s="241"/>
      <c r="AH145" s="241"/>
      <c r="AI145" s="241"/>
      <c r="AJ145" s="241"/>
      <c r="AK145" s="241"/>
      <c r="AL145" s="241"/>
      <c r="AM145" s="241"/>
      <c r="AN145" s="241"/>
      <c r="AO145" s="241"/>
      <c r="AP145" s="241"/>
      <c r="AQ145" s="241"/>
      <c r="AR145" s="241"/>
      <c r="AS145" s="241"/>
      <c r="AT145" s="241" t="s">
        <v>2743</v>
      </c>
      <c r="AU145" s="241"/>
      <c r="AV145" s="241"/>
      <c r="AW145" s="241"/>
      <c r="AX145" s="241"/>
      <c r="AY145" s="241"/>
      <c r="AZ145" s="241"/>
      <c r="BA145" s="241" t="s">
        <v>2450</v>
      </c>
      <c r="BB145" s="242"/>
      <c r="BC145" s="242"/>
      <c r="BD145" s="242"/>
      <c r="BE145" s="242"/>
      <c r="BF145" s="242"/>
      <c r="BG145" s="242"/>
      <c r="BH145" s="242"/>
      <c r="BI145" s="242"/>
    </row>
    <row r="146" spans="1:61" ht="18" customHeight="1">
      <c r="A146" s="241"/>
      <c r="B146" s="241"/>
      <c r="C146" s="241"/>
      <c r="D146" s="241"/>
      <c r="E146" s="241"/>
      <c r="F146" s="241"/>
      <c r="G146" s="241"/>
      <c r="H146" s="241" t="s">
        <v>2762</v>
      </c>
      <c r="I146" s="241"/>
      <c r="J146" s="241"/>
      <c r="K146" s="241"/>
      <c r="L146" s="241"/>
      <c r="M146" s="241"/>
      <c r="N146" s="241"/>
      <c r="O146" s="241" t="s">
        <v>3041</v>
      </c>
      <c r="P146" s="241"/>
      <c r="Q146" s="241"/>
      <c r="R146" s="241"/>
      <c r="S146" s="241"/>
      <c r="T146" s="241"/>
      <c r="U146" s="241"/>
      <c r="V146" s="241"/>
      <c r="W146" s="241"/>
      <c r="X146" s="241"/>
      <c r="Y146" s="241"/>
      <c r="Z146" s="241"/>
      <c r="AA146" s="241"/>
      <c r="AB146" s="241"/>
      <c r="AC146" s="241"/>
      <c r="AD146" s="241"/>
      <c r="AE146" s="241" t="s">
        <v>3042</v>
      </c>
      <c r="AF146" s="241"/>
      <c r="AG146" s="241"/>
      <c r="AH146" s="241"/>
      <c r="AI146" s="241"/>
      <c r="AJ146" s="241"/>
      <c r="AK146" s="241"/>
      <c r="AL146" s="241"/>
      <c r="AM146" s="241"/>
      <c r="AN146" s="241"/>
      <c r="AO146" s="241"/>
      <c r="AP146" s="241"/>
      <c r="AQ146" s="241"/>
      <c r="AR146" s="241"/>
      <c r="AS146" s="241"/>
      <c r="AT146" s="241" t="s">
        <v>2713</v>
      </c>
      <c r="AU146" s="241"/>
      <c r="AV146" s="241"/>
      <c r="AW146" s="241"/>
      <c r="AX146" s="241"/>
      <c r="AY146" s="241"/>
      <c r="AZ146" s="241"/>
      <c r="BA146" s="241"/>
      <c r="BB146" s="242"/>
      <c r="BC146" s="242"/>
      <c r="BD146" s="242"/>
      <c r="BE146" s="242"/>
      <c r="BF146" s="242"/>
      <c r="BG146" s="242"/>
      <c r="BH146" s="242"/>
      <c r="BI146" s="242"/>
    </row>
    <row r="147" spans="1:61" ht="18" customHeight="1">
      <c r="A147" s="241"/>
      <c r="B147" s="241"/>
      <c r="C147" s="241"/>
      <c r="D147" s="241"/>
      <c r="E147" s="241"/>
      <c r="F147" s="241"/>
      <c r="G147" s="241"/>
      <c r="H147" s="241" t="s">
        <v>2766</v>
      </c>
      <c r="I147" s="241"/>
      <c r="J147" s="241"/>
      <c r="K147" s="241"/>
      <c r="L147" s="241"/>
      <c r="M147" s="241"/>
      <c r="N147" s="241"/>
      <c r="O147" s="241" t="s">
        <v>3043</v>
      </c>
      <c r="P147" s="241"/>
      <c r="Q147" s="241"/>
      <c r="R147" s="241"/>
      <c r="S147" s="241"/>
      <c r="T147" s="241"/>
      <c r="U147" s="241"/>
      <c r="V147" s="241"/>
      <c r="W147" s="241"/>
      <c r="X147" s="241"/>
      <c r="Y147" s="241"/>
      <c r="Z147" s="241"/>
      <c r="AA147" s="241"/>
      <c r="AB147" s="241"/>
      <c r="AC147" s="241"/>
      <c r="AD147" s="241"/>
      <c r="AE147" s="241" t="s">
        <v>3044</v>
      </c>
      <c r="AF147" s="241"/>
      <c r="AG147" s="241"/>
      <c r="AH147" s="241"/>
      <c r="AI147" s="241"/>
      <c r="AJ147" s="241"/>
      <c r="AK147" s="241"/>
      <c r="AL147" s="241"/>
      <c r="AM147" s="241"/>
      <c r="AN147" s="241"/>
      <c r="AO147" s="241"/>
      <c r="AP147" s="241"/>
      <c r="AQ147" s="241"/>
      <c r="AR147" s="241"/>
      <c r="AS147" s="241"/>
      <c r="AT147" s="241"/>
      <c r="AU147" s="241"/>
      <c r="AV147" s="241"/>
      <c r="AW147" s="241"/>
      <c r="AX147" s="241"/>
      <c r="AY147" s="241"/>
      <c r="AZ147" s="241"/>
      <c r="BA147" s="241" t="s">
        <v>2450</v>
      </c>
      <c r="BB147" s="242"/>
      <c r="BC147" s="242"/>
      <c r="BD147" s="242"/>
      <c r="BE147" s="242"/>
      <c r="BF147" s="242"/>
      <c r="BG147" s="242"/>
      <c r="BH147" s="242"/>
      <c r="BI147" s="242"/>
    </row>
    <row r="148" spans="1:61" ht="18" customHeight="1">
      <c r="A148" s="241"/>
      <c r="B148" s="241"/>
      <c r="C148" s="241"/>
      <c r="D148" s="241"/>
      <c r="E148" s="241"/>
      <c r="F148" s="241"/>
      <c r="G148" s="241"/>
      <c r="H148" s="241" t="s">
        <v>2769</v>
      </c>
      <c r="I148" s="241"/>
      <c r="J148" s="241"/>
      <c r="K148" s="241"/>
      <c r="L148" s="241"/>
      <c r="M148" s="241"/>
      <c r="N148" s="241"/>
      <c r="O148" s="241" t="s">
        <v>3045</v>
      </c>
      <c r="P148" s="241"/>
      <c r="Q148" s="241"/>
      <c r="R148" s="241"/>
      <c r="S148" s="241"/>
      <c r="T148" s="241"/>
      <c r="U148" s="241"/>
      <c r="V148" s="241"/>
      <c r="W148" s="241"/>
      <c r="X148" s="241"/>
      <c r="Y148" s="241"/>
      <c r="Z148" s="241"/>
      <c r="AA148" s="241"/>
      <c r="AB148" s="241"/>
      <c r="AC148" s="241"/>
      <c r="AD148" s="241"/>
      <c r="AE148" s="241" t="s">
        <v>3046</v>
      </c>
      <c r="AF148" s="241"/>
      <c r="AG148" s="241"/>
      <c r="AH148" s="241"/>
      <c r="AI148" s="241"/>
      <c r="AJ148" s="241"/>
      <c r="AK148" s="241"/>
      <c r="AL148" s="241"/>
      <c r="AM148" s="241"/>
      <c r="AN148" s="241"/>
      <c r="AO148" s="241"/>
      <c r="AP148" s="241"/>
      <c r="AQ148" s="241"/>
      <c r="AR148" s="241"/>
      <c r="AS148" s="241"/>
      <c r="AT148" s="241" t="s">
        <v>2700</v>
      </c>
      <c r="AU148" s="241"/>
      <c r="AV148" s="241"/>
      <c r="AW148" s="241"/>
      <c r="AX148" s="241"/>
      <c r="AY148" s="241"/>
      <c r="AZ148" s="241"/>
      <c r="BA148" s="241" t="s">
        <v>2860</v>
      </c>
      <c r="BB148" s="242"/>
      <c r="BC148" s="242"/>
      <c r="BD148" s="242"/>
      <c r="BE148" s="242"/>
      <c r="BF148" s="242"/>
      <c r="BG148" s="242"/>
      <c r="BH148" s="242"/>
      <c r="BI148" s="242"/>
    </row>
    <row r="149" spans="1:61" ht="18" customHeight="1">
      <c r="A149" s="241"/>
      <c r="B149" s="241"/>
      <c r="C149" s="241"/>
      <c r="D149" s="241"/>
      <c r="E149" s="241"/>
      <c r="F149" s="241"/>
      <c r="G149" s="241"/>
      <c r="H149" s="241" t="s">
        <v>2773</v>
      </c>
      <c r="I149" s="241"/>
      <c r="J149" s="241"/>
      <c r="K149" s="241"/>
      <c r="L149" s="241"/>
      <c r="M149" s="241"/>
      <c r="N149" s="241"/>
      <c r="O149" s="241" t="s">
        <v>3047</v>
      </c>
      <c r="P149" s="241"/>
      <c r="Q149" s="241"/>
      <c r="R149" s="241"/>
      <c r="S149" s="241"/>
      <c r="T149" s="241"/>
      <c r="U149" s="241"/>
      <c r="V149" s="241"/>
      <c r="W149" s="241"/>
      <c r="X149" s="241"/>
      <c r="Y149" s="241"/>
      <c r="Z149" s="241"/>
      <c r="AA149" s="241"/>
      <c r="AB149" s="241"/>
      <c r="AC149" s="241"/>
      <c r="AD149" s="241"/>
      <c r="AE149" s="241" t="s">
        <v>3048</v>
      </c>
      <c r="AF149" s="241"/>
      <c r="AG149" s="241"/>
      <c r="AH149" s="241"/>
      <c r="AI149" s="241"/>
      <c r="AJ149" s="241"/>
      <c r="AK149" s="241"/>
      <c r="AL149" s="241"/>
      <c r="AM149" s="241"/>
      <c r="AN149" s="241"/>
      <c r="AO149" s="241"/>
      <c r="AP149" s="241"/>
      <c r="AQ149" s="241"/>
      <c r="AR149" s="241"/>
      <c r="AS149" s="241"/>
      <c r="AT149" s="241" t="s">
        <v>3049</v>
      </c>
      <c r="AU149" s="241"/>
      <c r="AV149" s="241"/>
      <c r="AW149" s="241"/>
      <c r="AX149" s="241"/>
      <c r="AY149" s="241"/>
      <c r="AZ149" s="241"/>
      <c r="BA149" s="241" t="s">
        <v>2700</v>
      </c>
      <c r="BB149" s="242"/>
      <c r="BC149" s="242"/>
      <c r="BD149" s="242"/>
      <c r="BE149" s="242"/>
      <c r="BF149" s="242"/>
      <c r="BG149" s="242"/>
      <c r="BH149" s="242"/>
      <c r="BI149" s="242"/>
    </row>
    <row r="150" spans="1:61" ht="18" customHeight="1">
      <c r="A150" s="241"/>
      <c r="B150" s="241"/>
      <c r="C150" s="241"/>
      <c r="D150" s="241"/>
      <c r="E150" s="241"/>
      <c r="F150" s="241"/>
      <c r="G150" s="241"/>
      <c r="H150" s="241" t="s">
        <v>2972</v>
      </c>
      <c r="I150" s="241"/>
      <c r="J150" s="241"/>
      <c r="K150" s="241"/>
      <c r="L150" s="241"/>
      <c r="M150" s="241"/>
      <c r="N150" s="241"/>
      <c r="O150" s="241" t="s">
        <v>3050</v>
      </c>
      <c r="P150" s="241"/>
      <c r="Q150" s="241"/>
      <c r="R150" s="241"/>
      <c r="S150" s="241"/>
      <c r="T150" s="241"/>
      <c r="U150" s="241"/>
      <c r="V150" s="241"/>
      <c r="W150" s="241"/>
      <c r="X150" s="241"/>
      <c r="Y150" s="241"/>
      <c r="Z150" s="241"/>
      <c r="AA150" s="241"/>
      <c r="AB150" s="241"/>
      <c r="AC150" s="241"/>
      <c r="AD150" s="241"/>
      <c r="AE150" s="241" t="s">
        <v>3051</v>
      </c>
      <c r="AF150" s="241"/>
      <c r="AG150" s="241"/>
      <c r="AH150" s="241"/>
      <c r="AI150" s="241"/>
      <c r="AJ150" s="241"/>
      <c r="AK150" s="241"/>
      <c r="AL150" s="241"/>
      <c r="AM150" s="241"/>
      <c r="AN150" s="241"/>
      <c r="AO150" s="241"/>
      <c r="AP150" s="241"/>
      <c r="AQ150" s="241"/>
      <c r="AR150" s="241"/>
      <c r="AS150" s="241"/>
      <c r="AT150" s="241" t="s">
        <v>2760</v>
      </c>
      <c r="AU150" s="241"/>
      <c r="AV150" s="241"/>
      <c r="AW150" s="241"/>
      <c r="AX150" s="241"/>
      <c r="AY150" s="241"/>
      <c r="AZ150" s="241"/>
      <c r="BA150" s="241" t="s">
        <v>3052</v>
      </c>
      <c r="BB150" s="242"/>
      <c r="BC150" s="242"/>
      <c r="BD150" s="242"/>
      <c r="BE150" s="242"/>
      <c r="BF150" s="242"/>
      <c r="BG150" s="242"/>
      <c r="BH150" s="242"/>
      <c r="BI150" s="242"/>
    </row>
    <row r="151" spans="1:61" ht="18" customHeight="1">
      <c r="A151" s="241"/>
      <c r="B151" s="241"/>
      <c r="C151" s="241"/>
      <c r="D151" s="241"/>
      <c r="E151" s="241"/>
      <c r="F151" s="241"/>
      <c r="G151" s="241"/>
      <c r="H151" s="241"/>
      <c r="I151" s="241"/>
      <c r="J151" s="241"/>
      <c r="K151" s="241"/>
      <c r="L151" s="241"/>
      <c r="M151" s="241"/>
      <c r="N151" s="241"/>
      <c r="O151" s="241" t="s">
        <v>3053</v>
      </c>
      <c r="P151" s="241"/>
      <c r="Q151" s="241"/>
      <c r="R151" s="241"/>
      <c r="S151" s="241"/>
      <c r="T151" s="241"/>
      <c r="U151" s="241"/>
      <c r="V151" s="241"/>
      <c r="W151" s="241"/>
      <c r="X151" s="241"/>
      <c r="Y151" s="241"/>
      <c r="Z151" s="241"/>
      <c r="AA151" s="241"/>
      <c r="AB151" s="241"/>
      <c r="AC151" s="241"/>
      <c r="AD151" s="241"/>
      <c r="AE151" s="241" t="s">
        <v>3054</v>
      </c>
      <c r="AF151" s="241"/>
      <c r="AG151" s="241"/>
      <c r="AH151" s="241"/>
      <c r="AI151" s="241"/>
      <c r="AJ151" s="241"/>
      <c r="AK151" s="241"/>
      <c r="AL151" s="241"/>
      <c r="AM151" s="241"/>
      <c r="AN151" s="241"/>
      <c r="AO151" s="241"/>
      <c r="AP151" s="241"/>
      <c r="AQ151" s="241"/>
      <c r="AR151" s="241"/>
      <c r="AS151" s="241"/>
      <c r="AT151" s="241" t="s">
        <v>2743</v>
      </c>
      <c r="AU151" s="241"/>
      <c r="AV151" s="241"/>
      <c r="AW151" s="241"/>
      <c r="AX151" s="241"/>
      <c r="AY151" s="241"/>
      <c r="AZ151" s="241"/>
      <c r="BA151" s="241" t="s">
        <v>2868</v>
      </c>
      <c r="BB151" s="242"/>
      <c r="BC151" s="242"/>
      <c r="BD151" s="242"/>
      <c r="BE151" s="242"/>
      <c r="BF151" s="242"/>
      <c r="BG151" s="242"/>
      <c r="BH151" s="242"/>
      <c r="BI151" s="242"/>
    </row>
    <row r="152" spans="1:61" ht="18" customHeight="1">
      <c r="A152" s="241"/>
      <c r="B152" s="241"/>
      <c r="C152" s="241"/>
      <c r="D152" s="241"/>
      <c r="E152" s="241"/>
      <c r="F152" s="241"/>
      <c r="G152" s="241"/>
      <c r="H152" s="241" t="s">
        <v>2699</v>
      </c>
      <c r="I152" s="241"/>
      <c r="J152" s="241"/>
      <c r="K152" s="241"/>
      <c r="L152" s="241"/>
      <c r="M152" s="241"/>
      <c r="N152" s="241"/>
      <c r="O152" s="241" t="s">
        <v>3055</v>
      </c>
      <c r="P152" s="241"/>
      <c r="Q152" s="241"/>
      <c r="R152" s="241"/>
      <c r="S152" s="241"/>
      <c r="T152" s="241"/>
      <c r="U152" s="241"/>
      <c r="V152" s="241"/>
      <c r="W152" s="241"/>
      <c r="X152" s="241"/>
      <c r="Y152" s="241"/>
      <c r="Z152" s="241"/>
      <c r="AA152" s="241"/>
      <c r="AB152" s="241"/>
      <c r="AC152" s="241"/>
      <c r="AD152" s="241"/>
      <c r="AE152" s="241" t="s">
        <v>3056</v>
      </c>
      <c r="AF152" s="241"/>
      <c r="AG152" s="241"/>
      <c r="AH152" s="241"/>
      <c r="AI152" s="241"/>
      <c r="AJ152" s="241"/>
      <c r="AK152" s="241"/>
      <c r="AL152" s="241"/>
      <c r="AM152" s="241"/>
      <c r="AN152" s="241"/>
      <c r="AO152" s="241"/>
      <c r="AP152" s="241"/>
      <c r="AQ152" s="241"/>
      <c r="AR152" s="241"/>
      <c r="AS152" s="241"/>
      <c r="AT152" s="241" t="s">
        <v>2713</v>
      </c>
      <c r="AU152" s="241"/>
      <c r="AV152" s="241"/>
      <c r="AW152" s="241"/>
      <c r="AX152" s="241"/>
      <c r="AY152" s="241"/>
      <c r="AZ152" s="241"/>
      <c r="BA152" s="241" t="s">
        <v>3057</v>
      </c>
      <c r="BB152" s="242"/>
      <c r="BC152" s="242"/>
      <c r="BD152" s="242"/>
      <c r="BE152" s="242"/>
      <c r="BF152" s="242"/>
      <c r="BG152" s="242"/>
      <c r="BH152" s="242"/>
      <c r="BI152" s="242"/>
    </row>
    <row r="153" spans="1:61" ht="18" customHeight="1">
      <c r="A153" s="241"/>
      <c r="B153" s="241"/>
      <c r="C153" s="241"/>
      <c r="D153" s="241"/>
      <c r="E153" s="241"/>
      <c r="F153" s="241"/>
      <c r="G153" s="241"/>
      <c r="H153" s="241" t="s">
        <v>3058</v>
      </c>
      <c r="I153" s="241"/>
      <c r="J153" s="241"/>
      <c r="K153" s="241"/>
      <c r="L153" s="241"/>
      <c r="M153" s="241"/>
      <c r="N153" s="241"/>
      <c r="O153" s="241"/>
      <c r="P153" s="241"/>
      <c r="Q153" s="241"/>
      <c r="R153" s="241"/>
      <c r="S153" s="241"/>
      <c r="T153" s="241"/>
      <c r="U153" s="241"/>
      <c r="V153" s="241"/>
      <c r="W153" s="241"/>
      <c r="X153" s="241"/>
      <c r="Y153" s="241"/>
      <c r="Z153" s="241"/>
      <c r="AA153" s="241"/>
      <c r="AB153" s="241"/>
      <c r="AC153" s="241"/>
      <c r="AD153" s="241"/>
      <c r="AE153" s="241" t="s">
        <v>3059</v>
      </c>
      <c r="AF153" s="241"/>
      <c r="AG153" s="241"/>
      <c r="AH153" s="241"/>
      <c r="AI153" s="241"/>
      <c r="AJ153" s="241"/>
      <c r="AK153" s="241"/>
      <c r="AL153" s="241"/>
      <c r="AM153" s="241"/>
      <c r="AN153" s="241"/>
      <c r="AO153" s="241"/>
      <c r="AP153" s="241"/>
      <c r="AQ153" s="241"/>
      <c r="AR153" s="241"/>
      <c r="AS153" s="241"/>
      <c r="AT153" s="241"/>
      <c r="AU153" s="241"/>
      <c r="AV153" s="241"/>
      <c r="AW153" s="241"/>
      <c r="AX153" s="241"/>
      <c r="AY153" s="241"/>
      <c r="AZ153" s="241"/>
      <c r="BA153" s="241" t="s">
        <v>2450</v>
      </c>
      <c r="BB153" s="242"/>
      <c r="BC153" s="242"/>
      <c r="BD153" s="242"/>
      <c r="BE153" s="242"/>
      <c r="BF153" s="242"/>
      <c r="BG153" s="242"/>
      <c r="BH153" s="242"/>
      <c r="BI153" s="242"/>
    </row>
    <row r="154" spans="1:61" ht="18" customHeight="1">
      <c r="A154" s="241"/>
      <c r="B154" s="241"/>
      <c r="C154" s="241"/>
      <c r="D154" s="241"/>
      <c r="E154" s="241"/>
      <c r="F154" s="241"/>
      <c r="G154" s="241"/>
      <c r="H154" s="241" t="s">
        <v>2750</v>
      </c>
      <c r="I154" s="241"/>
      <c r="J154" s="241"/>
      <c r="K154" s="241"/>
      <c r="L154" s="241"/>
      <c r="M154" s="241"/>
      <c r="N154" s="241"/>
      <c r="O154" s="241" t="s">
        <v>3060</v>
      </c>
      <c r="P154" s="241"/>
      <c r="Q154" s="241"/>
      <c r="R154" s="241"/>
      <c r="S154" s="241"/>
      <c r="T154" s="241"/>
      <c r="U154" s="241"/>
      <c r="V154" s="241"/>
      <c r="W154" s="241"/>
      <c r="X154" s="241"/>
      <c r="Y154" s="241"/>
      <c r="Z154" s="241"/>
      <c r="AA154" s="241"/>
      <c r="AB154" s="241"/>
      <c r="AC154" s="241"/>
      <c r="AD154" s="241"/>
      <c r="AE154" s="241" t="s">
        <v>3061</v>
      </c>
      <c r="AF154" s="241"/>
      <c r="AG154" s="241"/>
      <c r="AH154" s="241"/>
      <c r="AI154" s="241"/>
      <c r="AJ154" s="241"/>
      <c r="AK154" s="241"/>
      <c r="AL154" s="241"/>
      <c r="AM154" s="241"/>
      <c r="AN154" s="241"/>
      <c r="AO154" s="241"/>
      <c r="AP154" s="241"/>
      <c r="AQ154" s="241"/>
      <c r="AR154" s="241"/>
      <c r="AS154" s="241"/>
      <c r="AT154" s="241" t="s">
        <v>2700</v>
      </c>
      <c r="AU154" s="241"/>
      <c r="AV154" s="241"/>
      <c r="AW154" s="241"/>
      <c r="AX154" s="241"/>
      <c r="AY154" s="241"/>
      <c r="AZ154" s="241"/>
      <c r="BA154" s="241" t="s">
        <v>3062</v>
      </c>
      <c r="BB154" s="242"/>
      <c r="BC154" s="242"/>
      <c r="BD154" s="242"/>
      <c r="BE154" s="242"/>
      <c r="BF154" s="242"/>
      <c r="BG154" s="242"/>
      <c r="BH154" s="242"/>
      <c r="BI154" s="242"/>
    </row>
    <row r="155" spans="1:61" ht="18" customHeight="1">
      <c r="A155" s="241"/>
      <c r="B155" s="241"/>
      <c r="C155" s="241"/>
      <c r="D155" s="241"/>
      <c r="E155" s="241"/>
      <c r="F155" s="241"/>
      <c r="G155" s="241"/>
      <c r="H155" s="241" t="s">
        <v>2753</v>
      </c>
      <c r="I155" s="241"/>
      <c r="J155" s="241"/>
      <c r="K155" s="241"/>
      <c r="L155" s="241"/>
      <c r="M155" s="241"/>
      <c r="N155" s="241"/>
      <c r="O155" s="241"/>
      <c r="P155" s="241"/>
      <c r="Q155" s="241"/>
      <c r="R155" s="241"/>
      <c r="S155" s="241"/>
      <c r="T155" s="241"/>
      <c r="U155" s="241"/>
      <c r="V155" s="241"/>
      <c r="W155" s="241"/>
      <c r="X155" s="241"/>
      <c r="Y155" s="241"/>
      <c r="Z155" s="241"/>
      <c r="AA155" s="241"/>
      <c r="AB155" s="241"/>
      <c r="AC155" s="241"/>
      <c r="AD155" s="241"/>
      <c r="AE155" s="241" t="s">
        <v>3063</v>
      </c>
      <c r="AF155" s="241"/>
      <c r="AG155" s="241"/>
      <c r="AH155" s="241"/>
      <c r="AI155" s="241"/>
      <c r="AJ155" s="241"/>
      <c r="AK155" s="241"/>
      <c r="AL155" s="241"/>
      <c r="AM155" s="241"/>
      <c r="AN155" s="241"/>
      <c r="AO155" s="241"/>
      <c r="AP155" s="241"/>
      <c r="AQ155" s="241"/>
      <c r="AR155" s="241"/>
      <c r="AS155" s="241"/>
      <c r="AT155" s="241" t="s">
        <v>3064</v>
      </c>
      <c r="AU155" s="241"/>
      <c r="AV155" s="241"/>
      <c r="AW155" s="241"/>
      <c r="AX155" s="241"/>
      <c r="AY155" s="241"/>
      <c r="AZ155" s="241"/>
      <c r="BA155" s="241"/>
      <c r="BB155" s="242"/>
      <c r="BC155" s="242"/>
      <c r="BD155" s="242"/>
      <c r="BE155" s="242"/>
      <c r="BF155" s="242"/>
      <c r="BG155" s="242"/>
      <c r="BH155" s="242"/>
      <c r="BI155" s="242"/>
    </row>
    <row r="156" spans="1:61" ht="18" customHeight="1">
      <c r="A156" s="241"/>
      <c r="B156" s="241"/>
      <c r="C156" s="241"/>
      <c r="D156" s="241"/>
      <c r="E156" s="241"/>
      <c r="F156" s="241"/>
      <c r="G156" s="241"/>
      <c r="H156" s="241" t="s">
        <v>2757</v>
      </c>
      <c r="I156" s="241"/>
      <c r="J156" s="241"/>
      <c r="K156" s="241"/>
      <c r="L156" s="241"/>
      <c r="M156" s="241"/>
      <c r="N156" s="241"/>
      <c r="O156" s="241" t="s">
        <v>3065</v>
      </c>
      <c r="P156" s="241"/>
      <c r="Q156" s="241"/>
      <c r="R156" s="241"/>
      <c r="S156" s="241"/>
      <c r="T156" s="241"/>
      <c r="U156" s="241"/>
      <c r="V156" s="241"/>
      <c r="W156" s="241"/>
      <c r="X156" s="241"/>
      <c r="Y156" s="241"/>
      <c r="Z156" s="241"/>
      <c r="AA156" s="241"/>
      <c r="AB156" s="241"/>
      <c r="AC156" s="241"/>
      <c r="AD156" s="241"/>
      <c r="AE156" s="241" t="s">
        <v>3066</v>
      </c>
      <c r="AF156" s="241"/>
      <c r="AG156" s="241"/>
      <c r="AH156" s="241"/>
      <c r="AI156" s="241"/>
      <c r="AJ156" s="241"/>
      <c r="AK156" s="241"/>
      <c r="AL156" s="241"/>
      <c r="AM156" s="241"/>
      <c r="AN156" s="241"/>
      <c r="AO156" s="241"/>
      <c r="AP156" s="241"/>
      <c r="AQ156" s="241"/>
      <c r="AR156" s="241"/>
      <c r="AS156" s="241"/>
      <c r="AT156" s="241" t="s">
        <v>2760</v>
      </c>
      <c r="AU156" s="241"/>
      <c r="AV156" s="241"/>
      <c r="AW156" s="241"/>
      <c r="AX156" s="241"/>
      <c r="AY156" s="241"/>
      <c r="AZ156" s="241"/>
      <c r="BA156" s="241"/>
      <c r="BB156" s="242"/>
      <c r="BC156" s="242"/>
      <c r="BD156" s="242"/>
      <c r="BE156" s="242"/>
      <c r="BF156" s="242"/>
      <c r="BG156" s="242"/>
      <c r="BH156" s="242"/>
      <c r="BI156" s="242"/>
    </row>
    <row r="157" spans="1:61" ht="18" customHeight="1">
      <c r="A157" s="241"/>
      <c r="B157" s="241"/>
      <c r="C157" s="241"/>
      <c r="D157" s="241"/>
      <c r="E157" s="241"/>
      <c r="F157" s="241"/>
      <c r="G157" s="241"/>
      <c r="H157" s="241" t="s">
        <v>2762</v>
      </c>
      <c r="I157" s="241"/>
      <c r="J157" s="241"/>
      <c r="K157" s="241"/>
      <c r="L157" s="241"/>
      <c r="M157" s="241"/>
      <c r="N157" s="241"/>
      <c r="O157" s="241"/>
      <c r="P157" s="241"/>
      <c r="Q157" s="241"/>
      <c r="R157" s="241"/>
      <c r="S157" s="241"/>
      <c r="T157" s="241"/>
      <c r="U157" s="241"/>
      <c r="V157" s="241"/>
      <c r="W157" s="241"/>
      <c r="X157" s="241"/>
      <c r="Y157" s="241"/>
      <c r="Z157" s="241"/>
      <c r="AA157" s="241"/>
      <c r="AB157" s="241"/>
      <c r="AC157" s="241"/>
      <c r="AD157" s="241"/>
      <c r="AE157" s="241" t="s">
        <v>3067</v>
      </c>
      <c r="AF157" s="241"/>
      <c r="AG157" s="241"/>
      <c r="AH157" s="241"/>
      <c r="AI157" s="241"/>
      <c r="AJ157" s="241"/>
      <c r="AK157" s="241"/>
      <c r="AL157" s="241"/>
      <c r="AM157" s="241"/>
      <c r="AN157" s="241"/>
      <c r="AO157" s="241"/>
      <c r="AP157" s="241"/>
      <c r="AQ157" s="241"/>
      <c r="AR157" s="241"/>
      <c r="AS157" s="241"/>
      <c r="AT157" s="241" t="s">
        <v>2743</v>
      </c>
      <c r="AU157" s="241"/>
      <c r="AV157" s="241"/>
      <c r="AW157" s="241"/>
      <c r="AX157" s="241"/>
      <c r="AY157" s="241"/>
      <c r="AZ157" s="241"/>
      <c r="BA157" s="241"/>
      <c r="BB157" s="242"/>
      <c r="BC157" s="242"/>
      <c r="BD157" s="242"/>
      <c r="BE157" s="242"/>
      <c r="BF157" s="242"/>
      <c r="BG157" s="242"/>
      <c r="BH157" s="242"/>
      <c r="BI157" s="242"/>
    </row>
    <row r="158" spans="1:61" ht="18" customHeight="1">
      <c r="A158" s="241"/>
      <c r="B158" s="241"/>
      <c r="C158" s="241"/>
      <c r="D158" s="241"/>
      <c r="E158" s="241"/>
      <c r="F158" s="241"/>
      <c r="G158" s="241"/>
      <c r="H158" s="241" t="s">
        <v>2766</v>
      </c>
      <c r="I158" s="241"/>
      <c r="J158" s="241"/>
      <c r="K158" s="241"/>
      <c r="L158" s="241"/>
      <c r="M158" s="241"/>
      <c r="N158" s="241"/>
      <c r="O158" s="241" t="s">
        <v>2450</v>
      </c>
      <c r="P158" s="241"/>
      <c r="Q158" s="241"/>
      <c r="R158" s="241"/>
      <c r="S158" s="241"/>
      <c r="T158" s="241"/>
      <c r="U158" s="241"/>
      <c r="V158" s="241"/>
      <c r="W158" s="241"/>
      <c r="X158" s="241"/>
      <c r="Y158" s="241"/>
      <c r="Z158" s="241"/>
      <c r="AA158" s="241"/>
      <c r="AB158" s="241"/>
      <c r="AC158" s="241"/>
      <c r="AD158" s="241"/>
      <c r="AE158" s="241" t="s">
        <v>3068</v>
      </c>
      <c r="AF158" s="241"/>
      <c r="AG158" s="241"/>
      <c r="AH158" s="241"/>
      <c r="AI158" s="241"/>
      <c r="AJ158" s="241"/>
      <c r="AK158" s="241"/>
      <c r="AL158" s="241"/>
      <c r="AM158" s="241"/>
      <c r="AN158" s="241"/>
      <c r="AO158" s="241"/>
      <c r="AP158" s="241"/>
      <c r="AQ158" s="241"/>
      <c r="AR158" s="241"/>
      <c r="AS158" s="241"/>
      <c r="AT158" s="241" t="s">
        <v>2713</v>
      </c>
      <c r="AU158" s="241"/>
      <c r="AV158" s="241"/>
      <c r="AW158" s="241"/>
      <c r="AX158" s="241"/>
      <c r="AY158" s="241"/>
      <c r="AZ158" s="241"/>
      <c r="BA158" s="241"/>
      <c r="BB158" s="242"/>
      <c r="BC158" s="242"/>
      <c r="BD158" s="242"/>
      <c r="BE158" s="242"/>
      <c r="BF158" s="242"/>
      <c r="BG158" s="242"/>
      <c r="BH158" s="242"/>
      <c r="BI158" s="242"/>
    </row>
    <row r="159" spans="1:61" ht="18" customHeight="1">
      <c r="A159" s="241"/>
      <c r="B159" s="241"/>
      <c r="C159" s="241"/>
      <c r="D159" s="241"/>
      <c r="E159" s="241"/>
      <c r="F159" s="241"/>
      <c r="G159" s="241"/>
      <c r="H159" s="241" t="s">
        <v>2769</v>
      </c>
      <c r="I159" s="241"/>
      <c r="J159" s="241"/>
      <c r="K159" s="241"/>
      <c r="L159" s="241"/>
      <c r="M159" s="241"/>
      <c r="N159" s="241"/>
      <c r="O159" s="241" t="s">
        <v>2860</v>
      </c>
      <c r="P159" s="241"/>
      <c r="Q159" s="241"/>
      <c r="R159" s="241"/>
      <c r="S159" s="241"/>
      <c r="T159" s="241"/>
      <c r="U159" s="241"/>
      <c r="V159" s="241"/>
      <c r="W159" s="241"/>
      <c r="X159" s="241"/>
      <c r="Y159" s="241"/>
      <c r="Z159" s="241"/>
      <c r="AA159" s="241"/>
      <c r="AB159" s="241"/>
      <c r="AC159" s="241"/>
      <c r="AD159" s="241"/>
      <c r="AE159" s="241" t="s">
        <v>3069</v>
      </c>
      <c r="AF159" s="241"/>
      <c r="AG159" s="241"/>
      <c r="AH159" s="241"/>
      <c r="AI159" s="241"/>
      <c r="AJ159" s="241"/>
      <c r="AK159" s="241"/>
      <c r="AL159" s="241"/>
      <c r="AM159" s="241"/>
      <c r="AN159" s="241"/>
      <c r="AO159" s="241"/>
      <c r="AP159" s="241"/>
      <c r="AQ159" s="241"/>
      <c r="AR159" s="241"/>
      <c r="AS159" s="241"/>
      <c r="AT159" s="241"/>
      <c r="AU159" s="241"/>
      <c r="AV159" s="241"/>
      <c r="AW159" s="241"/>
      <c r="AX159" s="241"/>
      <c r="AY159" s="241"/>
      <c r="AZ159" s="241"/>
      <c r="BA159" s="241"/>
      <c r="BB159" s="242"/>
      <c r="BC159" s="242"/>
      <c r="BD159" s="242"/>
      <c r="BE159" s="242"/>
      <c r="BF159" s="242"/>
      <c r="BG159" s="242"/>
      <c r="BH159" s="242"/>
      <c r="BI159" s="242"/>
    </row>
    <row r="160" spans="1:61" ht="18" customHeight="1">
      <c r="A160" s="241"/>
      <c r="B160" s="241"/>
      <c r="C160" s="241"/>
      <c r="D160" s="241"/>
      <c r="E160" s="241"/>
      <c r="F160" s="241"/>
      <c r="G160" s="241"/>
      <c r="H160" s="241" t="s">
        <v>2773</v>
      </c>
      <c r="I160" s="241"/>
      <c r="J160" s="241"/>
      <c r="K160" s="241"/>
      <c r="L160" s="241"/>
      <c r="M160" s="241"/>
      <c r="N160" s="241"/>
      <c r="O160" s="241" t="s">
        <v>2700</v>
      </c>
      <c r="P160" s="241"/>
      <c r="Q160" s="241"/>
      <c r="R160" s="241"/>
      <c r="S160" s="241"/>
      <c r="T160" s="241"/>
      <c r="U160" s="241"/>
      <c r="V160" s="241"/>
      <c r="W160" s="241"/>
      <c r="X160" s="241"/>
      <c r="Y160" s="241"/>
      <c r="Z160" s="241"/>
      <c r="AA160" s="241"/>
      <c r="AB160" s="241"/>
      <c r="AC160" s="241"/>
      <c r="AD160" s="241"/>
      <c r="AE160" s="241" t="s">
        <v>3070</v>
      </c>
      <c r="AF160" s="241"/>
      <c r="AG160" s="241"/>
      <c r="AH160" s="241"/>
      <c r="AI160" s="241"/>
      <c r="AJ160" s="241"/>
      <c r="AK160" s="241"/>
      <c r="AL160" s="241"/>
      <c r="AM160" s="241"/>
      <c r="AN160" s="241"/>
      <c r="AO160" s="241"/>
      <c r="AP160" s="241"/>
      <c r="AQ160" s="241"/>
      <c r="AR160" s="241"/>
      <c r="AS160" s="241"/>
      <c r="AT160" s="241" t="s">
        <v>2700</v>
      </c>
      <c r="AU160" s="241"/>
      <c r="AV160" s="241"/>
      <c r="AW160" s="241"/>
      <c r="AX160" s="241"/>
      <c r="AY160" s="241"/>
      <c r="AZ160" s="241"/>
      <c r="BA160" s="241"/>
      <c r="BB160" s="242"/>
      <c r="BC160" s="242"/>
      <c r="BD160" s="242"/>
      <c r="BE160" s="242"/>
      <c r="BF160" s="242"/>
      <c r="BG160" s="242"/>
      <c r="BH160" s="242"/>
      <c r="BI160" s="242"/>
    </row>
    <row r="161" spans="1:61" ht="18" customHeight="1">
      <c r="A161" s="241"/>
      <c r="B161" s="241"/>
      <c r="C161" s="241"/>
      <c r="D161" s="241"/>
      <c r="E161" s="241"/>
      <c r="F161" s="241"/>
      <c r="G161" s="241"/>
      <c r="H161" s="241"/>
      <c r="I161" s="241"/>
      <c r="J161" s="241"/>
      <c r="K161" s="241"/>
      <c r="L161" s="241"/>
      <c r="M161" s="241"/>
      <c r="N161" s="241"/>
      <c r="O161" s="241" t="s">
        <v>3071</v>
      </c>
      <c r="P161" s="241"/>
      <c r="Q161" s="241"/>
      <c r="R161" s="241"/>
      <c r="S161" s="241"/>
      <c r="T161" s="241"/>
      <c r="U161" s="241"/>
      <c r="V161" s="241"/>
      <c r="W161" s="241"/>
      <c r="X161" s="241"/>
      <c r="Y161" s="241"/>
      <c r="Z161" s="241"/>
      <c r="AA161" s="241"/>
      <c r="AB161" s="241"/>
      <c r="AC161" s="241"/>
      <c r="AD161" s="241"/>
      <c r="AE161" s="241" t="s">
        <v>3072</v>
      </c>
      <c r="AF161" s="241"/>
      <c r="AG161" s="241"/>
      <c r="AH161" s="241"/>
      <c r="AI161" s="241"/>
      <c r="AJ161" s="241"/>
      <c r="AK161" s="241"/>
      <c r="AL161" s="241"/>
      <c r="AM161" s="241"/>
      <c r="AN161" s="241"/>
      <c r="AO161" s="241"/>
      <c r="AP161" s="241"/>
      <c r="AQ161" s="241"/>
      <c r="AR161" s="241"/>
      <c r="AS161" s="241"/>
      <c r="AT161" s="241" t="s">
        <v>3073</v>
      </c>
      <c r="AU161" s="241"/>
      <c r="AV161" s="241"/>
      <c r="AW161" s="241"/>
      <c r="AX161" s="241"/>
      <c r="AY161" s="241"/>
      <c r="AZ161" s="241"/>
      <c r="BA161" s="241"/>
      <c r="BB161" s="242"/>
      <c r="BC161" s="242"/>
      <c r="BD161" s="242"/>
      <c r="BE161" s="242"/>
      <c r="BF161" s="242"/>
      <c r="BG161" s="242"/>
      <c r="BH161" s="242"/>
      <c r="BI161" s="242"/>
    </row>
    <row r="162" spans="1:61" ht="18" customHeight="1">
      <c r="A162" s="241"/>
      <c r="B162" s="241"/>
      <c r="C162" s="241"/>
      <c r="D162" s="241"/>
      <c r="E162" s="241"/>
      <c r="F162" s="241"/>
      <c r="G162" s="241"/>
      <c r="H162" s="241" t="s">
        <v>2699</v>
      </c>
      <c r="I162" s="241"/>
      <c r="J162" s="241"/>
      <c r="K162" s="241"/>
      <c r="L162" s="241"/>
      <c r="M162" s="241"/>
      <c r="N162" s="241"/>
      <c r="O162" s="241" t="s">
        <v>2868</v>
      </c>
      <c r="P162" s="241"/>
      <c r="Q162" s="241"/>
      <c r="R162" s="241"/>
      <c r="S162" s="241"/>
      <c r="T162" s="241"/>
      <c r="U162" s="241"/>
      <c r="V162" s="241"/>
      <c r="W162" s="241"/>
      <c r="X162" s="241"/>
      <c r="Y162" s="241"/>
      <c r="Z162" s="241"/>
      <c r="AA162" s="241"/>
      <c r="AB162" s="241"/>
      <c r="AC162" s="241"/>
      <c r="AD162" s="241"/>
      <c r="AE162" s="241" t="s">
        <v>3074</v>
      </c>
      <c r="AF162" s="241"/>
      <c r="AG162" s="241"/>
      <c r="AH162" s="241"/>
      <c r="AI162" s="241"/>
      <c r="AJ162" s="241"/>
      <c r="AK162" s="241"/>
      <c r="AL162" s="241"/>
      <c r="AM162" s="241"/>
      <c r="AN162" s="241"/>
      <c r="AO162" s="241"/>
      <c r="AP162" s="241"/>
      <c r="AQ162" s="241"/>
      <c r="AR162" s="241"/>
      <c r="AS162" s="241"/>
      <c r="AT162" s="241" t="s">
        <v>2760</v>
      </c>
      <c r="AU162" s="241"/>
      <c r="AV162" s="241"/>
      <c r="AW162" s="241"/>
      <c r="AX162" s="241"/>
      <c r="AY162" s="241"/>
      <c r="AZ162" s="241"/>
      <c r="BA162" s="241"/>
      <c r="BB162" s="242"/>
      <c r="BC162" s="242"/>
      <c r="BD162" s="242"/>
      <c r="BE162" s="242"/>
      <c r="BF162" s="242"/>
      <c r="BG162" s="242"/>
      <c r="BH162" s="242"/>
      <c r="BI162" s="242"/>
    </row>
    <row r="163" spans="1:61" ht="18" customHeight="1">
      <c r="A163" s="241"/>
      <c r="B163" s="241"/>
      <c r="C163" s="241"/>
      <c r="D163" s="241"/>
      <c r="E163" s="241"/>
      <c r="F163" s="241"/>
      <c r="G163" s="241"/>
      <c r="H163" s="241" t="s">
        <v>3075</v>
      </c>
      <c r="I163" s="241"/>
      <c r="J163" s="241"/>
      <c r="K163" s="241"/>
      <c r="L163" s="241"/>
      <c r="M163" s="241"/>
      <c r="N163" s="241"/>
      <c r="O163" s="241" t="s">
        <v>3076</v>
      </c>
      <c r="P163" s="241"/>
      <c r="Q163" s="241"/>
      <c r="R163" s="241"/>
      <c r="S163" s="241"/>
      <c r="T163" s="241"/>
      <c r="U163" s="241"/>
      <c r="V163" s="241"/>
      <c r="W163" s="241"/>
      <c r="X163" s="241"/>
      <c r="Y163" s="241"/>
      <c r="Z163" s="241"/>
      <c r="AA163" s="241"/>
      <c r="AB163" s="241"/>
      <c r="AC163" s="241"/>
      <c r="AD163" s="241"/>
      <c r="AE163" s="241" t="s">
        <v>3077</v>
      </c>
      <c r="AF163" s="241"/>
      <c r="AG163" s="241"/>
      <c r="AH163" s="241"/>
      <c r="AI163" s="241"/>
      <c r="AJ163" s="241"/>
      <c r="AK163" s="241"/>
      <c r="AL163" s="241"/>
      <c r="AM163" s="241"/>
      <c r="AN163" s="241"/>
      <c r="AO163" s="241"/>
      <c r="AP163" s="241"/>
      <c r="AQ163" s="241"/>
      <c r="AR163" s="241"/>
      <c r="AS163" s="241"/>
      <c r="AT163" s="241" t="s">
        <v>2743</v>
      </c>
      <c r="AU163" s="241"/>
      <c r="AV163" s="241"/>
      <c r="AW163" s="241"/>
      <c r="AX163" s="241"/>
      <c r="AY163" s="241"/>
      <c r="AZ163" s="241"/>
      <c r="BA163" s="241"/>
      <c r="BB163" s="242"/>
      <c r="BC163" s="242"/>
      <c r="BD163" s="242"/>
      <c r="BE163" s="242"/>
      <c r="BF163" s="242"/>
      <c r="BG163" s="242"/>
      <c r="BH163" s="242"/>
      <c r="BI163" s="242"/>
    </row>
    <row r="164" spans="1:61" ht="18" customHeight="1">
      <c r="A164" s="241"/>
      <c r="B164" s="241"/>
      <c r="C164" s="241"/>
      <c r="D164" s="241"/>
      <c r="E164" s="241"/>
      <c r="F164" s="241"/>
      <c r="G164" s="241"/>
      <c r="H164" s="241" t="s">
        <v>2750</v>
      </c>
      <c r="I164" s="241"/>
      <c r="J164" s="241"/>
      <c r="K164" s="241"/>
      <c r="L164" s="241"/>
      <c r="M164" s="241"/>
      <c r="N164" s="241"/>
      <c r="O164" s="241" t="s">
        <v>2450</v>
      </c>
      <c r="P164" s="241"/>
      <c r="Q164" s="241"/>
      <c r="R164" s="241"/>
      <c r="S164" s="241"/>
      <c r="T164" s="241"/>
      <c r="U164" s="241"/>
      <c r="V164" s="241"/>
      <c r="W164" s="241"/>
      <c r="X164" s="241"/>
      <c r="Y164" s="241"/>
      <c r="Z164" s="241"/>
      <c r="AA164" s="241"/>
      <c r="AB164" s="241"/>
      <c r="AC164" s="241"/>
      <c r="AD164" s="241"/>
      <c r="AE164" s="241" t="s">
        <v>3078</v>
      </c>
      <c r="AF164" s="241"/>
      <c r="AG164" s="241"/>
      <c r="AH164" s="241"/>
      <c r="AI164" s="241"/>
      <c r="AJ164" s="241"/>
      <c r="AK164" s="241"/>
      <c r="AL164" s="241"/>
      <c r="AM164" s="241"/>
      <c r="AN164" s="241"/>
      <c r="AO164" s="241"/>
      <c r="AP164" s="241"/>
      <c r="AQ164" s="241"/>
      <c r="AR164" s="241"/>
      <c r="AS164" s="241"/>
      <c r="AT164" s="241" t="s">
        <v>2713</v>
      </c>
      <c r="AU164" s="241"/>
      <c r="AV164" s="241"/>
      <c r="AW164" s="241"/>
      <c r="AX164" s="241"/>
      <c r="AY164" s="241"/>
      <c r="AZ164" s="241"/>
      <c r="BA164" s="241"/>
      <c r="BB164" s="242"/>
      <c r="BC164" s="242"/>
      <c r="BD164" s="242"/>
      <c r="BE164" s="242"/>
      <c r="BF164" s="242"/>
      <c r="BG164" s="242"/>
      <c r="BH164" s="242"/>
      <c r="BI164" s="242"/>
    </row>
    <row r="165" spans="1:61" ht="18" customHeight="1">
      <c r="A165" s="241"/>
      <c r="B165" s="241"/>
      <c r="C165" s="241"/>
      <c r="D165" s="241"/>
      <c r="E165" s="241"/>
      <c r="F165" s="241"/>
      <c r="G165" s="241"/>
      <c r="H165" s="241" t="s">
        <v>2753</v>
      </c>
      <c r="I165" s="241"/>
      <c r="J165" s="241"/>
      <c r="K165" s="241"/>
      <c r="L165" s="241"/>
      <c r="M165" s="241"/>
      <c r="N165" s="241"/>
      <c r="O165" s="241"/>
      <c r="P165" s="241"/>
      <c r="Q165" s="241"/>
      <c r="R165" s="241"/>
      <c r="S165" s="241"/>
      <c r="T165" s="241"/>
      <c r="U165" s="241"/>
      <c r="V165" s="241"/>
      <c r="W165" s="241"/>
      <c r="X165" s="241"/>
      <c r="Y165" s="241"/>
      <c r="Z165" s="241"/>
      <c r="AA165" s="241"/>
      <c r="AB165" s="241"/>
      <c r="AC165" s="241"/>
      <c r="AD165" s="241"/>
      <c r="AE165" s="241" t="s">
        <v>3079</v>
      </c>
      <c r="AF165" s="241"/>
      <c r="AG165" s="241"/>
      <c r="AH165" s="241"/>
      <c r="AI165" s="241"/>
      <c r="AJ165" s="241"/>
      <c r="AK165" s="241"/>
      <c r="AL165" s="241"/>
      <c r="AM165" s="241"/>
      <c r="AN165" s="241"/>
      <c r="AO165" s="241"/>
      <c r="AP165" s="241"/>
      <c r="AQ165" s="241"/>
      <c r="AR165" s="241"/>
      <c r="AS165" s="241"/>
      <c r="AT165" s="241"/>
      <c r="AU165" s="241"/>
      <c r="AV165" s="241"/>
      <c r="AW165" s="241"/>
      <c r="AX165" s="241"/>
      <c r="AY165" s="241"/>
      <c r="AZ165" s="241"/>
      <c r="BA165" s="241"/>
      <c r="BB165" s="242"/>
      <c r="BC165" s="242"/>
      <c r="BD165" s="242"/>
      <c r="BE165" s="242"/>
      <c r="BF165" s="242"/>
      <c r="BG165" s="242"/>
      <c r="BH165" s="242"/>
      <c r="BI165" s="242"/>
    </row>
    <row r="166" spans="1:61" ht="18" customHeight="1">
      <c r="A166" s="241"/>
      <c r="B166" s="241"/>
      <c r="C166" s="241"/>
      <c r="D166" s="241"/>
      <c r="E166" s="241"/>
      <c r="F166" s="241"/>
      <c r="G166" s="241"/>
      <c r="H166" s="241" t="s">
        <v>2757</v>
      </c>
      <c r="I166" s="241"/>
      <c r="J166" s="241"/>
      <c r="K166" s="241"/>
      <c r="L166" s="241"/>
      <c r="M166" s="241"/>
      <c r="N166" s="241"/>
      <c r="O166" s="241"/>
      <c r="P166" s="241"/>
      <c r="Q166" s="241"/>
      <c r="R166" s="241"/>
      <c r="S166" s="241"/>
      <c r="T166" s="241"/>
      <c r="U166" s="241"/>
      <c r="V166" s="241"/>
      <c r="W166" s="241"/>
      <c r="X166" s="241"/>
      <c r="Y166" s="241"/>
      <c r="Z166" s="241"/>
      <c r="AA166" s="241"/>
      <c r="AB166" s="241"/>
      <c r="AC166" s="241"/>
      <c r="AD166" s="241"/>
      <c r="AE166" s="241" t="s">
        <v>3080</v>
      </c>
      <c r="AF166" s="241"/>
      <c r="AG166" s="241"/>
      <c r="AH166" s="241"/>
      <c r="AI166" s="241"/>
      <c r="AJ166" s="241"/>
      <c r="AK166" s="241"/>
      <c r="AL166" s="241"/>
      <c r="AM166" s="241"/>
      <c r="AN166" s="241"/>
      <c r="AO166" s="241"/>
      <c r="AP166" s="241"/>
      <c r="AQ166" s="241"/>
      <c r="AR166" s="241"/>
      <c r="AS166" s="241"/>
      <c r="AT166" s="241" t="s">
        <v>2700</v>
      </c>
      <c r="AU166" s="241"/>
      <c r="AV166" s="241"/>
      <c r="AW166" s="241"/>
      <c r="AX166" s="241"/>
      <c r="AY166" s="241"/>
      <c r="AZ166" s="241"/>
      <c r="BA166" s="241"/>
      <c r="BB166" s="242"/>
      <c r="BC166" s="242"/>
      <c r="BD166" s="242"/>
      <c r="BE166" s="242"/>
      <c r="BF166" s="242"/>
      <c r="BG166" s="242"/>
      <c r="BH166" s="242"/>
      <c r="BI166" s="242"/>
    </row>
    <row r="167" spans="1:61" ht="18" customHeight="1">
      <c r="A167" s="241"/>
      <c r="B167" s="241"/>
      <c r="C167" s="241"/>
      <c r="D167" s="241"/>
      <c r="E167" s="241"/>
      <c r="F167" s="241"/>
      <c r="G167" s="241"/>
      <c r="H167" s="241" t="s">
        <v>2762</v>
      </c>
      <c r="I167" s="241"/>
      <c r="J167" s="241"/>
      <c r="K167" s="241"/>
      <c r="L167" s="241"/>
      <c r="M167" s="241"/>
      <c r="N167" s="241"/>
      <c r="O167" s="241"/>
      <c r="P167" s="241"/>
      <c r="Q167" s="241"/>
      <c r="R167" s="241"/>
      <c r="S167" s="241"/>
      <c r="T167" s="241"/>
      <c r="U167" s="241"/>
      <c r="V167" s="241"/>
      <c r="W167" s="241"/>
      <c r="X167" s="241"/>
      <c r="Y167" s="241"/>
      <c r="Z167" s="241"/>
      <c r="AA167" s="241"/>
      <c r="AB167" s="241"/>
      <c r="AC167" s="241"/>
      <c r="AD167" s="241"/>
      <c r="AE167" s="241" t="s">
        <v>3081</v>
      </c>
      <c r="AF167" s="241"/>
      <c r="AG167" s="241"/>
      <c r="AH167" s="241"/>
      <c r="AI167" s="241"/>
      <c r="AJ167" s="241"/>
      <c r="AK167" s="241"/>
      <c r="AL167" s="241"/>
      <c r="AM167" s="241"/>
      <c r="AN167" s="241"/>
      <c r="AO167" s="241"/>
      <c r="AP167" s="241"/>
      <c r="AQ167" s="241"/>
      <c r="AR167" s="241"/>
      <c r="AS167" s="241"/>
      <c r="AT167" s="241" t="s">
        <v>3082</v>
      </c>
      <c r="AU167" s="241"/>
      <c r="AV167" s="241"/>
      <c r="AW167" s="241"/>
      <c r="AX167" s="241"/>
      <c r="AY167" s="241"/>
      <c r="AZ167" s="241"/>
      <c r="BA167" s="241"/>
      <c r="BB167" s="242"/>
      <c r="BC167" s="242"/>
      <c r="BD167" s="242"/>
      <c r="BE167" s="242"/>
      <c r="BF167" s="242"/>
      <c r="BG167" s="242"/>
      <c r="BH167" s="242"/>
      <c r="BI167" s="242"/>
    </row>
    <row r="168" spans="1:61" ht="18" customHeight="1">
      <c r="A168" s="241"/>
      <c r="B168" s="241"/>
      <c r="C168" s="241"/>
      <c r="D168" s="241"/>
      <c r="E168" s="241"/>
      <c r="F168" s="241"/>
      <c r="G168" s="241"/>
      <c r="H168" s="241" t="s">
        <v>2766</v>
      </c>
      <c r="I168" s="241"/>
      <c r="J168" s="241"/>
      <c r="K168" s="241"/>
      <c r="L168" s="241"/>
      <c r="M168" s="241"/>
      <c r="N168" s="241"/>
      <c r="O168" s="241"/>
      <c r="P168" s="241"/>
      <c r="Q168" s="241"/>
      <c r="R168" s="241"/>
      <c r="S168" s="241"/>
      <c r="T168" s="241"/>
      <c r="U168" s="241"/>
      <c r="V168" s="241"/>
      <c r="W168" s="241"/>
      <c r="X168" s="241"/>
      <c r="Y168" s="241"/>
      <c r="Z168" s="241"/>
      <c r="AA168" s="241"/>
      <c r="AB168" s="241"/>
      <c r="AC168" s="241"/>
      <c r="AD168" s="241"/>
      <c r="AE168" s="241" t="s">
        <v>3083</v>
      </c>
      <c r="AF168" s="241"/>
      <c r="AG168" s="241"/>
      <c r="AH168" s="241"/>
      <c r="AI168" s="241"/>
      <c r="AJ168" s="241"/>
      <c r="AK168" s="241"/>
      <c r="AL168" s="241"/>
      <c r="AM168" s="241"/>
      <c r="AN168" s="241"/>
      <c r="AO168" s="241"/>
      <c r="AP168" s="241"/>
      <c r="AQ168" s="241"/>
      <c r="AR168" s="241"/>
      <c r="AS168" s="241"/>
      <c r="AT168" s="241" t="s">
        <v>2760</v>
      </c>
      <c r="AU168" s="241"/>
      <c r="AV168" s="241"/>
      <c r="AW168" s="241"/>
      <c r="AX168" s="241"/>
      <c r="AY168" s="241"/>
      <c r="AZ168" s="241"/>
      <c r="BA168" s="241"/>
      <c r="BB168" s="242"/>
      <c r="BC168" s="242"/>
      <c r="BD168" s="242"/>
      <c r="BE168" s="242"/>
      <c r="BF168" s="242"/>
      <c r="BG168" s="242"/>
      <c r="BH168" s="242"/>
      <c r="BI168" s="242"/>
    </row>
    <row r="169" spans="1:61" ht="18" customHeight="1">
      <c r="A169" s="241"/>
      <c r="B169" s="241"/>
      <c r="C169" s="241"/>
      <c r="D169" s="241"/>
      <c r="E169" s="241"/>
      <c r="F169" s="241"/>
      <c r="G169" s="241"/>
      <c r="H169" s="241" t="s">
        <v>2769</v>
      </c>
      <c r="I169" s="241"/>
      <c r="J169" s="241"/>
      <c r="K169" s="241"/>
      <c r="L169" s="241"/>
      <c r="M169" s="241"/>
      <c r="N169" s="241"/>
      <c r="O169" s="241"/>
      <c r="P169" s="241"/>
      <c r="Q169" s="241"/>
      <c r="R169" s="241"/>
      <c r="S169" s="241"/>
      <c r="T169" s="241"/>
      <c r="U169" s="241"/>
      <c r="V169" s="241"/>
      <c r="W169" s="241"/>
      <c r="X169" s="241"/>
      <c r="Y169" s="241"/>
      <c r="Z169" s="241"/>
      <c r="AA169" s="241"/>
      <c r="AB169" s="241"/>
      <c r="AC169" s="241"/>
      <c r="AD169" s="241"/>
      <c r="AE169" s="241" t="s">
        <v>3084</v>
      </c>
      <c r="AF169" s="241"/>
      <c r="AG169" s="241"/>
      <c r="AH169" s="241"/>
      <c r="AI169" s="241"/>
      <c r="AJ169" s="241"/>
      <c r="AK169" s="241"/>
      <c r="AL169" s="241"/>
      <c r="AM169" s="241"/>
      <c r="AN169" s="241"/>
      <c r="AO169" s="241"/>
      <c r="AP169" s="241"/>
      <c r="AQ169" s="241"/>
      <c r="AR169" s="241"/>
      <c r="AS169" s="241"/>
      <c r="AT169" s="241" t="s">
        <v>2743</v>
      </c>
      <c r="AU169" s="241"/>
      <c r="AV169" s="241"/>
      <c r="AW169" s="241"/>
      <c r="AX169" s="241"/>
      <c r="AY169" s="241"/>
      <c r="AZ169" s="241"/>
      <c r="BA169" s="241"/>
      <c r="BB169" s="242"/>
      <c r="BC169" s="242"/>
      <c r="BD169" s="242"/>
      <c r="BE169" s="242"/>
      <c r="BF169" s="242"/>
      <c r="BG169" s="242"/>
      <c r="BH169" s="242"/>
      <c r="BI169" s="242"/>
    </row>
    <row r="170" spans="1:61" ht="18" customHeight="1">
      <c r="A170" s="241"/>
      <c r="B170" s="241"/>
      <c r="C170" s="241"/>
      <c r="D170" s="241"/>
      <c r="E170" s="241"/>
      <c r="F170" s="241"/>
      <c r="G170" s="241"/>
      <c r="H170" s="241" t="s">
        <v>2773</v>
      </c>
      <c r="I170" s="241"/>
      <c r="J170" s="241"/>
      <c r="K170" s="241"/>
      <c r="L170" s="241"/>
      <c r="M170" s="241"/>
      <c r="N170" s="241"/>
      <c r="O170" s="241"/>
      <c r="P170" s="241"/>
      <c r="Q170" s="241"/>
      <c r="R170" s="241"/>
      <c r="S170" s="241"/>
      <c r="T170" s="241"/>
      <c r="U170" s="241"/>
      <c r="V170" s="241"/>
      <c r="W170" s="241"/>
      <c r="X170" s="241"/>
      <c r="Y170" s="241"/>
      <c r="Z170" s="241"/>
      <c r="AA170" s="241"/>
      <c r="AB170" s="241"/>
      <c r="AC170" s="241"/>
      <c r="AD170" s="241"/>
      <c r="AE170" s="241" t="s">
        <v>3085</v>
      </c>
      <c r="AF170" s="241"/>
      <c r="AG170" s="241"/>
      <c r="AH170" s="241"/>
      <c r="AI170" s="241"/>
      <c r="AJ170" s="241"/>
      <c r="AK170" s="241"/>
      <c r="AL170" s="241"/>
      <c r="AM170" s="241"/>
      <c r="AN170" s="241"/>
      <c r="AO170" s="241"/>
      <c r="AP170" s="241"/>
      <c r="AQ170" s="241"/>
      <c r="AR170" s="241"/>
      <c r="AS170" s="241"/>
      <c r="AT170" s="241" t="s">
        <v>2713</v>
      </c>
      <c r="AU170" s="241"/>
      <c r="AV170" s="241"/>
      <c r="AW170" s="241"/>
      <c r="AX170" s="241"/>
      <c r="AY170" s="241"/>
      <c r="AZ170" s="241"/>
      <c r="BA170" s="241"/>
      <c r="BB170" s="242"/>
      <c r="BC170" s="242"/>
      <c r="BD170" s="242"/>
      <c r="BE170" s="242"/>
      <c r="BF170" s="242"/>
      <c r="BG170" s="242"/>
      <c r="BH170" s="242"/>
      <c r="BI170" s="242"/>
    </row>
    <row r="171" spans="1:61" ht="18" customHeight="1">
      <c r="A171" s="241"/>
      <c r="B171" s="241"/>
      <c r="C171" s="241"/>
      <c r="D171" s="241"/>
      <c r="E171" s="241"/>
      <c r="F171" s="241"/>
      <c r="G171" s="241"/>
      <c r="H171" s="241"/>
      <c r="I171" s="241"/>
      <c r="J171" s="241"/>
      <c r="K171" s="241"/>
      <c r="L171" s="241"/>
      <c r="M171" s="241"/>
      <c r="N171" s="241"/>
      <c r="O171" s="241"/>
      <c r="P171" s="241"/>
      <c r="Q171" s="241"/>
      <c r="R171" s="241"/>
      <c r="S171" s="241"/>
      <c r="T171" s="241"/>
      <c r="U171" s="241"/>
      <c r="V171" s="241"/>
      <c r="W171" s="241"/>
      <c r="X171" s="241"/>
      <c r="Y171" s="241"/>
      <c r="Z171" s="241"/>
      <c r="AA171" s="241"/>
      <c r="AB171" s="241"/>
      <c r="AC171" s="241"/>
      <c r="AD171" s="241"/>
      <c r="AE171" s="241" t="s">
        <v>3086</v>
      </c>
      <c r="AF171" s="241"/>
      <c r="AG171" s="241"/>
      <c r="AH171" s="241"/>
      <c r="AI171" s="241"/>
      <c r="AJ171" s="241"/>
      <c r="AK171" s="241"/>
      <c r="AL171" s="241"/>
      <c r="AM171" s="241"/>
      <c r="AN171" s="241"/>
      <c r="AO171" s="241"/>
      <c r="AP171" s="241"/>
      <c r="AQ171" s="241"/>
      <c r="AR171" s="241"/>
      <c r="AS171" s="241"/>
      <c r="AT171" s="241"/>
      <c r="AU171" s="241"/>
      <c r="AV171" s="241"/>
      <c r="AW171" s="241"/>
      <c r="AX171" s="241"/>
      <c r="AY171" s="241"/>
      <c r="AZ171" s="241"/>
      <c r="BA171" s="241"/>
      <c r="BB171" s="242"/>
      <c r="BC171" s="242"/>
      <c r="BD171" s="242"/>
      <c r="BE171" s="242"/>
      <c r="BF171" s="242"/>
      <c r="BG171" s="242"/>
      <c r="BH171" s="242"/>
      <c r="BI171" s="242"/>
    </row>
    <row r="172" spans="1:61" ht="18" customHeight="1">
      <c r="A172" s="241"/>
      <c r="B172" s="241"/>
      <c r="C172" s="241"/>
      <c r="D172" s="241"/>
      <c r="E172" s="241"/>
      <c r="F172" s="241"/>
      <c r="G172" s="241"/>
      <c r="H172" s="241" t="s">
        <v>2699</v>
      </c>
      <c r="I172" s="241"/>
      <c r="J172" s="241"/>
      <c r="K172" s="241"/>
      <c r="L172" s="241"/>
      <c r="M172" s="241"/>
      <c r="N172" s="241"/>
      <c r="O172" s="241"/>
      <c r="P172" s="241"/>
      <c r="Q172" s="241"/>
      <c r="R172" s="241"/>
      <c r="S172" s="241"/>
      <c r="T172" s="241"/>
      <c r="U172" s="241"/>
      <c r="V172" s="241"/>
      <c r="W172" s="241"/>
      <c r="X172" s="241"/>
      <c r="Y172" s="241"/>
      <c r="Z172" s="241"/>
      <c r="AA172" s="241"/>
      <c r="AB172" s="241"/>
      <c r="AC172" s="241"/>
      <c r="AD172" s="241"/>
      <c r="AE172" s="241" t="s">
        <v>3087</v>
      </c>
      <c r="AF172" s="241"/>
      <c r="AG172" s="241"/>
      <c r="AH172" s="241"/>
      <c r="AI172" s="241"/>
      <c r="AJ172" s="241"/>
      <c r="AK172" s="241"/>
      <c r="AL172" s="241"/>
      <c r="AM172" s="241"/>
      <c r="AN172" s="241"/>
      <c r="AO172" s="241"/>
      <c r="AP172" s="241"/>
      <c r="AQ172" s="241"/>
      <c r="AR172" s="241"/>
      <c r="AS172" s="241"/>
      <c r="AT172" s="241" t="s">
        <v>2700</v>
      </c>
      <c r="AU172" s="241"/>
      <c r="AV172" s="241"/>
      <c r="AW172" s="241"/>
      <c r="AX172" s="241"/>
      <c r="AY172" s="241"/>
      <c r="AZ172" s="241"/>
      <c r="BA172" s="241"/>
      <c r="BB172" s="242"/>
      <c r="BC172" s="242"/>
      <c r="BD172" s="242"/>
      <c r="BE172" s="242"/>
      <c r="BF172" s="242"/>
      <c r="BG172" s="242"/>
      <c r="BH172" s="242"/>
      <c r="BI172" s="242"/>
    </row>
    <row r="173" spans="1:61" ht="18" customHeight="1">
      <c r="A173" s="241"/>
      <c r="B173" s="241"/>
      <c r="C173" s="241"/>
      <c r="D173" s="241"/>
      <c r="E173" s="241"/>
      <c r="F173" s="241"/>
      <c r="G173" s="241"/>
      <c r="H173" s="241" t="s">
        <v>3088</v>
      </c>
      <c r="I173" s="241"/>
      <c r="J173" s="241"/>
      <c r="K173" s="241"/>
      <c r="L173" s="241"/>
      <c r="M173" s="241"/>
      <c r="N173" s="241"/>
      <c r="O173" s="241"/>
      <c r="P173" s="241"/>
      <c r="Q173" s="241"/>
      <c r="R173" s="241"/>
      <c r="S173" s="241"/>
      <c r="T173" s="241"/>
      <c r="U173" s="241"/>
      <c r="V173" s="241"/>
      <c r="W173" s="241"/>
      <c r="X173" s="241"/>
      <c r="Y173" s="241"/>
      <c r="Z173" s="241"/>
      <c r="AA173" s="241"/>
      <c r="AB173" s="241"/>
      <c r="AC173" s="241"/>
      <c r="AD173" s="241"/>
      <c r="AE173" s="241" t="s">
        <v>3089</v>
      </c>
      <c r="AF173" s="241"/>
      <c r="AG173" s="241"/>
      <c r="AH173" s="241"/>
      <c r="AI173" s="241"/>
      <c r="AJ173" s="241"/>
      <c r="AK173" s="241"/>
      <c r="AL173" s="241"/>
      <c r="AM173" s="241"/>
      <c r="AN173" s="241"/>
      <c r="AO173" s="241"/>
      <c r="AP173" s="241"/>
      <c r="AQ173" s="241"/>
      <c r="AR173" s="241"/>
      <c r="AS173" s="241"/>
      <c r="AT173" s="241" t="s">
        <v>3090</v>
      </c>
      <c r="AU173" s="241"/>
      <c r="AV173" s="241"/>
      <c r="AW173" s="241"/>
      <c r="AX173" s="241"/>
      <c r="AY173" s="241"/>
      <c r="AZ173" s="241"/>
      <c r="BA173" s="241"/>
      <c r="BB173" s="242"/>
      <c r="BC173" s="242"/>
      <c r="BD173" s="242"/>
      <c r="BE173" s="242"/>
      <c r="BF173" s="242"/>
      <c r="BG173" s="242"/>
      <c r="BH173" s="242"/>
      <c r="BI173" s="242"/>
    </row>
    <row r="174" spans="1:61" ht="18" customHeight="1">
      <c r="A174" s="241"/>
      <c r="B174" s="241"/>
      <c r="C174" s="241"/>
      <c r="D174" s="241"/>
      <c r="E174" s="241"/>
      <c r="F174" s="241"/>
      <c r="G174" s="241"/>
      <c r="H174" s="241" t="s">
        <v>2750</v>
      </c>
      <c r="I174" s="241"/>
      <c r="J174" s="241"/>
      <c r="K174" s="241"/>
      <c r="L174" s="241"/>
      <c r="M174" s="241"/>
      <c r="N174" s="241"/>
      <c r="O174" s="241"/>
      <c r="P174" s="241"/>
      <c r="Q174" s="241"/>
      <c r="R174" s="241"/>
      <c r="S174" s="241"/>
      <c r="T174" s="241"/>
      <c r="U174" s="241"/>
      <c r="V174" s="241"/>
      <c r="W174" s="241"/>
      <c r="X174" s="241"/>
      <c r="Y174" s="241"/>
      <c r="Z174" s="241"/>
      <c r="AA174" s="241"/>
      <c r="AB174" s="241"/>
      <c r="AC174" s="241"/>
      <c r="AD174" s="241"/>
      <c r="AE174" s="241" t="s">
        <v>3091</v>
      </c>
      <c r="AF174" s="241"/>
      <c r="AG174" s="241"/>
      <c r="AH174" s="241"/>
      <c r="AI174" s="241"/>
      <c r="AJ174" s="241"/>
      <c r="AK174" s="241"/>
      <c r="AL174" s="241"/>
      <c r="AM174" s="241"/>
      <c r="AN174" s="241"/>
      <c r="AO174" s="241"/>
      <c r="AP174" s="241"/>
      <c r="AQ174" s="241"/>
      <c r="AR174" s="241"/>
      <c r="AS174" s="241"/>
      <c r="AT174" s="241" t="s">
        <v>2760</v>
      </c>
      <c r="AU174" s="241"/>
      <c r="AV174" s="241"/>
      <c r="AW174" s="241"/>
      <c r="AX174" s="241"/>
      <c r="AY174" s="241"/>
      <c r="AZ174" s="241"/>
      <c r="BA174" s="241"/>
      <c r="BB174" s="242"/>
      <c r="BC174" s="242"/>
      <c r="BD174" s="242"/>
      <c r="BE174" s="242"/>
      <c r="BF174" s="242"/>
      <c r="BG174" s="242"/>
      <c r="BH174" s="242"/>
      <c r="BI174" s="242"/>
    </row>
    <row r="175" spans="1:61" ht="18" customHeight="1">
      <c r="A175" s="241"/>
      <c r="B175" s="241"/>
      <c r="C175" s="241"/>
      <c r="D175" s="241"/>
      <c r="E175" s="241"/>
      <c r="F175" s="241"/>
      <c r="G175" s="241"/>
      <c r="H175" s="241" t="s">
        <v>2753</v>
      </c>
      <c r="I175" s="241"/>
      <c r="J175" s="241"/>
      <c r="K175" s="241"/>
      <c r="L175" s="241"/>
      <c r="M175" s="241"/>
      <c r="N175" s="241"/>
      <c r="O175" s="241"/>
      <c r="P175" s="241"/>
      <c r="Q175" s="241"/>
      <c r="R175" s="241"/>
      <c r="S175" s="241"/>
      <c r="T175" s="241"/>
      <c r="U175" s="241"/>
      <c r="V175" s="241"/>
      <c r="W175" s="241"/>
      <c r="X175" s="241"/>
      <c r="Y175" s="241"/>
      <c r="Z175" s="241"/>
      <c r="AA175" s="241"/>
      <c r="AB175" s="241"/>
      <c r="AC175" s="241"/>
      <c r="AD175" s="241"/>
      <c r="AE175" s="241" t="s">
        <v>3092</v>
      </c>
      <c r="AF175" s="241"/>
      <c r="AG175" s="241"/>
      <c r="AH175" s="241"/>
      <c r="AI175" s="241"/>
      <c r="AJ175" s="241"/>
      <c r="AK175" s="241"/>
      <c r="AL175" s="241"/>
      <c r="AM175" s="241"/>
      <c r="AN175" s="241"/>
      <c r="AO175" s="241"/>
      <c r="AP175" s="241"/>
      <c r="AQ175" s="241"/>
      <c r="AR175" s="241"/>
      <c r="AS175" s="241"/>
      <c r="AT175" s="241" t="s">
        <v>2743</v>
      </c>
      <c r="AU175" s="241"/>
      <c r="AV175" s="241"/>
      <c r="AW175" s="241"/>
      <c r="AX175" s="241"/>
      <c r="AY175" s="241"/>
      <c r="AZ175" s="241"/>
      <c r="BA175" s="241"/>
      <c r="BB175" s="242"/>
      <c r="BC175" s="242"/>
      <c r="BD175" s="242"/>
      <c r="BE175" s="242"/>
      <c r="BF175" s="242"/>
      <c r="BG175" s="242"/>
      <c r="BH175" s="242"/>
      <c r="BI175" s="242"/>
    </row>
    <row r="176" spans="1:61" ht="18" customHeight="1">
      <c r="A176" s="241"/>
      <c r="B176" s="241"/>
      <c r="C176" s="241"/>
      <c r="D176" s="241"/>
      <c r="E176" s="241"/>
      <c r="F176" s="241"/>
      <c r="G176" s="241"/>
      <c r="H176" s="241" t="s">
        <v>2757</v>
      </c>
      <c r="I176" s="241"/>
      <c r="J176" s="241"/>
      <c r="K176" s="241"/>
      <c r="L176" s="241"/>
      <c r="M176" s="241"/>
      <c r="N176" s="241"/>
      <c r="O176" s="241"/>
      <c r="P176" s="241"/>
      <c r="Q176" s="241"/>
      <c r="R176" s="241"/>
      <c r="S176" s="241"/>
      <c r="T176" s="241"/>
      <c r="U176" s="241"/>
      <c r="V176" s="241"/>
      <c r="W176" s="241"/>
      <c r="X176" s="241"/>
      <c r="Y176" s="241"/>
      <c r="Z176" s="241"/>
      <c r="AA176" s="241"/>
      <c r="AB176" s="241"/>
      <c r="AC176" s="241"/>
      <c r="AD176" s="241"/>
      <c r="AE176" s="241" t="s">
        <v>3093</v>
      </c>
      <c r="AF176" s="241"/>
      <c r="AG176" s="241"/>
      <c r="AH176" s="241"/>
      <c r="AI176" s="241"/>
      <c r="AJ176" s="241"/>
      <c r="AK176" s="241"/>
      <c r="AL176" s="241"/>
      <c r="AM176" s="241"/>
      <c r="AN176" s="241"/>
      <c r="AO176" s="241"/>
      <c r="AP176" s="241"/>
      <c r="AQ176" s="241"/>
      <c r="AR176" s="241"/>
      <c r="AS176" s="241"/>
      <c r="AT176" s="241" t="s">
        <v>2713</v>
      </c>
      <c r="AU176" s="241"/>
      <c r="AV176" s="241"/>
      <c r="AW176" s="241"/>
      <c r="AX176" s="241"/>
      <c r="AY176" s="241"/>
      <c r="AZ176" s="241"/>
      <c r="BA176" s="241"/>
      <c r="BB176" s="242"/>
      <c r="BC176" s="242"/>
      <c r="BD176" s="242"/>
      <c r="BE176" s="242"/>
      <c r="BF176" s="242"/>
      <c r="BG176" s="242"/>
      <c r="BH176" s="242"/>
      <c r="BI176" s="242"/>
    </row>
    <row r="177" spans="1:61" ht="18" customHeight="1">
      <c r="A177" s="241"/>
      <c r="B177" s="241"/>
      <c r="C177" s="241"/>
      <c r="D177" s="241"/>
      <c r="E177" s="241"/>
      <c r="F177" s="241"/>
      <c r="G177" s="241"/>
      <c r="H177" s="241" t="s">
        <v>2762</v>
      </c>
      <c r="I177" s="241"/>
      <c r="J177" s="241"/>
      <c r="K177" s="241"/>
      <c r="L177" s="241"/>
      <c r="M177" s="241"/>
      <c r="N177" s="241"/>
      <c r="O177" s="241"/>
      <c r="P177" s="241"/>
      <c r="Q177" s="241"/>
      <c r="R177" s="241"/>
      <c r="S177" s="241"/>
      <c r="T177" s="241"/>
      <c r="U177" s="241"/>
      <c r="V177" s="241"/>
      <c r="W177" s="241"/>
      <c r="X177" s="241"/>
      <c r="Y177" s="241"/>
      <c r="Z177" s="241"/>
      <c r="AA177" s="241"/>
      <c r="AB177" s="241"/>
      <c r="AC177" s="241"/>
      <c r="AD177" s="241"/>
      <c r="AE177" s="241" t="s">
        <v>3094</v>
      </c>
      <c r="AF177" s="241"/>
      <c r="AG177" s="241"/>
      <c r="AH177" s="241"/>
      <c r="AI177" s="241"/>
      <c r="AJ177" s="241"/>
      <c r="AK177" s="241"/>
      <c r="AL177" s="241"/>
      <c r="AM177" s="241"/>
      <c r="AN177" s="241"/>
      <c r="AO177" s="241"/>
      <c r="AP177" s="241"/>
      <c r="AQ177" s="241"/>
      <c r="AR177" s="241"/>
      <c r="AS177" s="241"/>
      <c r="AT177" s="241"/>
      <c r="AU177" s="241"/>
      <c r="AV177" s="241"/>
      <c r="AW177" s="241"/>
      <c r="AX177" s="241"/>
      <c r="AY177" s="241"/>
      <c r="AZ177" s="241"/>
      <c r="BA177" s="241"/>
      <c r="BB177" s="242"/>
      <c r="BC177" s="242"/>
      <c r="BD177" s="242"/>
      <c r="BE177" s="242"/>
      <c r="BF177" s="242"/>
      <c r="BG177" s="242"/>
      <c r="BH177" s="242"/>
      <c r="BI177" s="242"/>
    </row>
    <row r="178" spans="1:61" ht="18" customHeight="1">
      <c r="A178" s="241"/>
      <c r="B178" s="241"/>
      <c r="C178" s="241"/>
      <c r="D178" s="241"/>
      <c r="E178" s="241"/>
      <c r="F178" s="241"/>
      <c r="G178" s="241"/>
      <c r="H178" s="241" t="s">
        <v>2766</v>
      </c>
      <c r="I178" s="241"/>
      <c r="J178" s="241"/>
      <c r="K178" s="241"/>
      <c r="L178" s="241"/>
      <c r="M178" s="241"/>
      <c r="N178" s="241"/>
      <c r="O178" s="241"/>
      <c r="P178" s="241"/>
      <c r="Q178" s="241"/>
      <c r="R178" s="241"/>
      <c r="S178" s="241"/>
      <c r="T178" s="241"/>
      <c r="U178" s="241"/>
      <c r="V178" s="241"/>
      <c r="W178" s="241"/>
      <c r="X178" s="241"/>
      <c r="Y178" s="241"/>
      <c r="Z178" s="241"/>
      <c r="AA178" s="241"/>
      <c r="AB178" s="241"/>
      <c r="AC178" s="241"/>
      <c r="AD178" s="241"/>
      <c r="AE178" s="241" t="s">
        <v>3095</v>
      </c>
      <c r="AF178" s="241"/>
      <c r="AG178" s="241"/>
      <c r="AH178" s="241"/>
      <c r="AI178" s="241"/>
      <c r="AJ178" s="241"/>
      <c r="AK178" s="241"/>
      <c r="AL178" s="241"/>
      <c r="AM178" s="241"/>
      <c r="AN178" s="241"/>
      <c r="AO178" s="241"/>
      <c r="AP178" s="241"/>
      <c r="AQ178" s="241"/>
      <c r="AR178" s="241"/>
      <c r="AS178" s="241"/>
      <c r="AT178" s="241" t="s">
        <v>2700</v>
      </c>
      <c r="AU178" s="241"/>
      <c r="AV178" s="241"/>
      <c r="AW178" s="241"/>
      <c r="AX178" s="241"/>
      <c r="AY178" s="241"/>
      <c r="AZ178" s="241"/>
      <c r="BA178" s="241"/>
      <c r="BB178" s="242"/>
      <c r="BC178" s="242"/>
      <c r="BD178" s="242"/>
      <c r="BE178" s="242"/>
      <c r="BF178" s="242"/>
      <c r="BG178" s="242"/>
      <c r="BH178" s="242"/>
      <c r="BI178" s="242"/>
    </row>
    <row r="179" spans="1:61" ht="18" customHeight="1">
      <c r="A179" s="241"/>
      <c r="B179" s="241"/>
      <c r="C179" s="241"/>
      <c r="D179" s="241"/>
      <c r="E179" s="241"/>
      <c r="F179" s="241"/>
      <c r="G179" s="241"/>
      <c r="H179" s="241" t="s">
        <v>2769</v>
      </c>
      <c r="I179" s="241"/>
      <c r="J179" s="241"/>
      <c r="K179" s="241"/>
      <c r="L179" s="241"/>
      <c r="M179" s="241"/>
      <c r="N179" s="241"/>
      <c r="O179" s="241"/>
      <c r="P179" s="241"/>
      <c r="Q179" s="241"/>
      <c r="R179" s="241"/>
      <c r="S179" s="241"/>
      <c r="T179" s="241"/>
      <c r="U179" s="241"/>
      <c r="V179" s="241"/>
      <c r="W179" s="241"/>
      <c r="X179" s="241"/>
      <c r="Y179" s="241"/>
      <c r="Z179" s="241"/>
      <c r="AA179" s="241"/>
      <c r="AB179" s="241"/>
      <c r="AC179" s="241"/>
      <c r="AD179" s="241"/>
      <c r="AE179" s="241" t="s">
        <v>3096</v>
      </c>
      <c r="AF179" s="241"/>
      <c r="AG179" s="241"/>
      <c r="AH179" s="241"/>
      <c r="AI179" s="241"/>
      <c r="AJ179" s="241"/>
      <c r="AK179" s="241"/>
      <c r="AL179" s="241"/>
      <c r="AM179" s="241"/>
      <c r="AN179" s="241"/>
      <c r="AO179" s="241"/>
      <c r="AP179" s="241"/>
      <c r="AQ179" s="241"/>
      <c r="AR179" s="241"/>
      <c r="AS179" s="241"/>
      <c r="AT179" s="241" t="s">
        <v>3097</v>
      </c>
      <c r="AU179" s="241"/>
      <c r="AV179" s="241"/>
      <c r="AW179" s="241"/>
      <c r="AX179" s="241"/>
      <c r="AY179" s="241"/>
      <c r="AZ179" s="241"/>
      <c r="BA179" s="241"/>
      <c r="BB179" s="242"/>
      <c r="BC179" s="242"/>
      <c r="BD179" s="242"/>
      <c r="BE179" s="242"/>
      <c r="BF179" s="242"/>
      <c r="BG179" s="242"/>
      <c r="BH179" s="242"/>
      <c r="BI179" s="242"/>
    </row>
    <row r="180" spans="1:61" ht="18" customHeight="1">
      <c r="A180" s="241"/>
      <c r="B180" s="241"/>
      <c r="C180" s="241"/>
      <c r="D180" s="241"/>
      <c r="E180" s="241"/>
      <c r="F180" s="241"/>
      <c r="G180" s="241"/>
      <c r="H180" s="241" t="s">
        <v>2773</v>
      </c>
      <c r="I180" s="241"/>
      <c r="J180" s="241"/>
      <c r="K180" s="241"/>
      <c r="L180" s="241"/>
      <c r="M180" s="241"/>
      <c r="N180" s="241"/>
      <c r="O180" s="241"/>
      <c r="P180" s="241"/>
      <c r="Q180" s="241"/>
      <c r="R180" s="241"/>
      <c r="S180" s="241"/>
      <c r="T180" s="241"/>
      <c r="U180" s="241"/>
      <c r="V180" s="241"/>
      <c r="W180" s="241"/>
      <c r="X180" s="241"/>
      <c r="Y180" s="241"/>
      <c r="Z180" s="241"/>
      <c r="AA180" s="241"/>
      <c r="AB180" s="241"/>
      <c r="AC180" s="241"/>
      <c r="AD180" s="241"/>
      <c r="AE180" s="241" t="s">
        <v>3098</v>
      </c>
      <c r="AF180" s="241"/>
      <c r="AG180" s="241"/>
      <c r="AH180" s="241"/>
      <c r="AI180" s="241"/>
      <c r="AJ180" s="241"/>
      <c r="AK180" s="241"/>
      <c r="AL180" s="241"/>
      <c r="AM180" s="241"/>
      <c r="AN180" s="241"/>
      <c r="AO180" s="241"/>
      <c r="AP180" s="241"/>
      <c r="AQ180" s="241"/>
      <c r="AR180" s="241"/>
      <c r="AS180" s="241"/>
      <c r="AT180" s="241" t="s">
        <v>2760</v>
      </c>
      <c r="AU180" s="241"/>
      <c r="AV180" s="241"/>
      <c r="AW180" s="241"/>
      <c r="AX180" s="241"/>
      <c r="AY180" s="241"/>
      <c r="AZ180" s="241"/>
      <c r="BA180" s="241"/>
      <c r="BB180" s="242"/>
      <c r="BC180" s="242"/>
      <c r="BD180" s="242"/>
      <c r="BE180" s="242"/>
      <c r="BF180" s="242"/>
      <c r="BG180" s="242"/>
      <c r="BH180" s="242"/>
      <c r="BI180" s="242"/>
    </row>
    <row r="181" spans="1:61" ht="18" customHeight="1">
      <c r="A181" s="241"/>
      <c r="B181" s="241"/>
      <c r="C181" s="241"/>
      <c r="D181" s="241"/>
      <c r="E181" s="241"/>
      <c r="F181" s="241"/>
      <c r="G181" s="241"/>
      <c r="H181" s="241"/>
      <c r="I181" s="241"/>
      <c r="J181" s="241"/>
      <c r="K181" s="241"/>
      <c r="L181" s="241"/>
      <c r="M181" s="241"/>
      <c r="N181" s="241"/>
      <c r="O181" s="241"/>
      <c r="P181" s="241"/>
      <c r="Q181" s="241"/>
      <c r="R181" s="241"/>
      <c r="S181" s="241"/>
      <c r="T181" s="241"/>
      <c r="U181" s="241"/>
      <c r="V181" s="241"/>
      <c r="W181" s="241"/>
      <c r="X181" s="241"/>
      <c r="Y181" s="241"/>
      <c r="Z181" s="241"/>
      <c r="AA181" s="241"/>
      <c r="AB181" s="241"/>
      <c r="AC181" s="241"/>
      <c r="AD181" s="241"/>
      <c r="AE181" s="241" t="s">
        <v>3099</v>
      </c>
      <c r="AF181" s="241"/>
      <c r="AG181" s="241"/>
      <c r="AH181" s="241"/>
      <c r="AI181" s="241"/>
      <c r="AJ181" s="241"/>
      <c r="AK181" s="241"/>
      <c r="AL181" s="241"/>
      <c r="AM181" s="241"/>
      <c r="AN181" s="241"/>
      <c r="AO181" s="241"/>
      <c r="AP181" s="241"/>
      <c r="AQ181" s="241"/>
      <c r="AR181" s="241"/>
      <c r="AS181" s="241"/>
      <c r="AT181" s="241" t="s">
        <v>2743</v>
      </c>
      <c r="AU181" s="241"/>
      <c r="AV181" s="241"/>
      <c r="AW181" s="241"/>
      <c r="AX181" s="241"/>
      <c r="AY181" s="241"/>
      <c r="AZ181" s="241"/>
      <c r="BA181" s="241"/>
      <c r="BB181" s="242"/>
      <c r="BC181" s="242"/>
      <c r="BD181" s="242"/>
      <c r="BE181" s="242"/>
      <c r="BF181" s="242"/>
      <c r="BG181" s="242"/>
      <c r="BH181" s="242"/>
      <c r="BI181" s="242"/>
    </row>
    <row r="182" spans="1:61" ht="18" customHeight="1">
      <c r="A182" s="241"/>
      <c r="B182" s="241"/>
      <c r="C182" s="241"/>
      <c r="D182" s="241"/>
      <c r="E182" s="241"/>
      <c r="F182" s="241"/>
      <c r="G182" s="241"/>
      <c r="H182" s="241" t="s">
        <v>2699</v>
      </c>
      <c r="I182" s="241"/>
      <c r="J182" s="241"/>
      <c r="K182" s="241"/>
      <c r="L182" s="241"/>
      <c r="M182" s="241"/>
      <c r="N182" s="241"/>
      <c r="O182" s="241"/>
      <c r="P182" s="241"/>
      <c r="Q182" s="241"/>
      <c r="R182" s="241"/>
      <c r="S182" s="241"/>
      <c r="T182" s="241"/>
      <c r="U182" s="241"/>
      <c r="V182" s="241"/>
      <c r="W182" s="241"/>
      <c r="X182" s="241"/>
      <c r="Y182" s="241"/>
      <c r="Z182" s="241"/>
      <c r="AA182" s="241"/>
      <c r="AB182" s="241"/>
      <c r="AC182" s="241"/>
      <c r="AD182" s="241"/>
      <c r="AE182" s="241" t="s">
        <v>3100</v>
      </c>
      <c r="AF182" s="241"/>
      <c r="AG182" s="241"/>
      <c r="AH182" s="241"/>
      <c r="AI182" s="241"/>
      <c r="AJ182" s="241"/>
      <c r="AK182" s="241"/>
      <c r="AL182" s="241"/>
      <c r="AM182" s="241"/>
      <c r="AN182" s="241"/>
      <c r="AO182" s="241"/>
      <c r="AP182" s="241"/>
      <c r="AQ182" s="241"/>
      <c r="AR182" s="241"/>
      <c r="AS182" s="241"/>
      <c r="AT182" s="241" t="s">
        <v>2713</v>
      </c>
      <c r="AU182" s="241"/>
      <c r="AV182" s="241"/>
      <c r="AW182" s="241"/>
      <c r="AX182" s="241"/>
      <c r="AY182" s="241"/>
      <c r="AZ182" s="241"/>
      <c r="BA182" s="241"/>
      <c r="BB182" s="242"/>
      <c r="BC182" s="242"/>
      <c r="BD182" s="242"/>
      <c r="BE182" s="242"/>
      <c r="BF182" s="242"/>
      <c r="BG182" s="242"/>
      <c r="BH182" s="242"/>
      <c r="BI182" s="242"/>
    </row>
    <row r="183" spans="1:61" ht="18" customHeight="1">
      <c r="A183" s="241"/>
      <c r="B183" s="241"/>
      <c r="C183" s="241"/>
      <c r="D183" s="241"/>
      <c r="E183" s="241"/>
      <c r="F183" s="241"/>
      <c r="G183" s="241"/>
      <c r="H183" s="241" t="s">
        <v>3101</v>
      </c>
      <c r="I183" s="241"/>
      <c r="J183" s="241"/>
      <c r="K183" s="241"/>
      <c r="L183" s="241"/>
      <c r="M183" s="241"/>
      <c r="N183" s="241"/>
      <c r="O183" s="241"/>
      <c r="P183" s="241"/>
      <c r="Q183" s="241"/>
      <c r="R183" s="241"/>
      <c r="S183" s="241"/>
      <c r="T183" s="241"/>
      <c r="U183" s="241"/>
      <c r="V183" s="241"/>
      <c r="W183" s="241"/>
      <c r="X183" s="241"/>
      <c r="Y183" s="241"/>
      <c r="Z183" s="241"/>
      <c r="AA183" s="241"/>
      <c r="AB183" s="241"/>
      <c r="AC183" s="241"/>
      <c r="AD183" s="241"/>
      <c r="AE183" s="241" t="s">
        <v>3102</v>
      </c>
      <c r="AF183" s="241"/>
      <c r="AG183" s="241"/>
      <c r="AH183" s="241"/>
      <c r="AI183" s="241"/>
      <c r="AJ183" s="241"/>
      <c r="AK183" s="241"/>
      <c r="AL183" s="241"/>
      <c r="AM183" s="241"/>
      <c r="AN183" s="241"/>
      <c r="AO183" s="241"/>
      <c r="AP183" s="241"/>
      <c r="AQ183" s="241"/>
      <c r="AR183" s="241"/>
      <c r="AS183" s="241"/>
      <c r="AT183" s="241"/>
      <c r="AU183" s="241"/>
      <c r="AV183" s="241"/>
      <c r="AW183" s="241"/>
      <c r="AX183" s="241"/>
      <c r="AY183" s="241"/>
      <c r="AZ183" s="241"/>
      <c r="BA183" s="241"/>
      <c r="BB183" s="242"/>
      <c r="BC183" s="242"/>
      <c r="BD183" s="242"/>
      <c r="BE183" s="242"/>
      <c r="BF183" s="242"/>
      <c r="BG183" s="242"/>
      <c r="BH183" s="242"/>
      <c r="BI183" s="242"/>
    </row>
    <row r="184" spans="1:61" ht="18" customHeight="1">
      <c r="A184" s="241"/>
      <c r="B184" s="241"/>
      <c r="C184" s="241"/>
      <c r="D184" s="241"/>
      <c r="E184" s="241"/>
      <c r="F184" s="241"/>
      <c r="G184" s="241"/>
      <c r="H184" s="241" t="s">
        <v>2750</v>
      </c>
      <c r="I184" s="241"/>
      <c r="J184" s="241"/>
      <c r="K184" s="241"/>
      <c r="L184" s="241"/>
      <c r="M184" s="241"/>
      <c r="N184" s="241"/>
      <c r="O184" s="241"/>
      <c r="P184" s="241"/>
      <c r="Q184" s="241"/>
      <c r="R184" s="241"/>
      <c r="S184" s="241"/>
      <c r="T184" s="241"/>
      <c r="U184" s="241"/>
      <c r="V184" s="241"/>
      <c r="W184" s="241"/>
      <c r="X184" s="241"/>
      <c r="Y184" s="241"/>
      <c r="Z184" s="241"/>
      <c r="AA184" s="241"/>
      <c r="AB184" s="241"/>
      <c r="AC184" s="241"/>
      <c r="AD184" s="241"/>
      <c r="AE184" s="241" t="s">
        <v>3103</v>
      </c>
      <c r="AF184" s="241"/>
      <c r="AG184" s="241"/>
      <c r="AH184" s="241"/>
      <c r="AI184" s="241"/>
      <c r="AJ184" s="241"/>
      <c r="AK184" s="241"/>
      <c r="AL184" s="241"/>
      <c r="AM184" s="241"/>
      <c r="AN184" s="241"/>
      <c r="AO184" s="241"/>
      <c r="AP184" s="241"/>
      <c r="AQ184" s="241"/>
      <c r="AR184" s="241"/>
      <c r="AS184" s="241"/>
      <c r="AT184" s="241" t="s">
        <v>2700</v>
      </c>
      <c r="AU184" s="241"/>
      <c r="AV184" s="241"/>
      <c r="AW184" s="241"/>
      <c r="AX184" s="241"/>
      <c r="AY184" s="241"/>
      <c r="AZ184" s="241"/>
      <c r="BA184" s="241"/>
      <c r="BB184" s="242"/>
      <c r="BC184" s="242"/>
      <c r="BD184" s="242"/>
      <c r="BE184" s="242"/>
      <c r="BF184" s="242"/>
      <c r="BG184" s="242"/>
      <c r="BH184" s="242"/>
      <c r="BI184" s="242"/>
    </row>
    <row r="185" spans="1:61" ht="18" customHeight="1">
      <c r="A185" s="241"/>
      <c r="B185" s="241"/>
      <c r="C185" s="241"/>
      <c r="D185" s="241"/>
      <c r="E185" s="241"/>
      <c r="F185" s="241"/>
      <c r="G185" s="241"/>
      <c r="H185" s="241" t="s">
        <v>2753</v>
      </c>
      <c r="I185" s="241"/>
      <c r="J185" s="241"/>
      <c r="K185" s="241"/>
      <c r="L185" s="241"/>
      <c r="M185" s="241"/>
      <c r="N185" s="241"/>
      <c r="O185" s="241"/>
      <c r="P185" s="241"/>
      <c r="Q185" s="241"/>
      <c r="R185" s="241"/>
      <c r="S185" s="241"/>
      <c r="T185" s="241"/>
      <c r="U185" s="241"/>
      <c r="V185" s="241"/>
      <c r="W185" s="241"/>
      <c r="X185" s="241"/>
      <c r="Y185" s="241"/>
      <c r="Z185" s="241"/>
      <c r="AA185" s="241"/>
      <c r="AB185" s="241"/>
      <c r="AC185" s="241"/>
      <c r="AD185" s="241"/>
      <c r="AE185" s="241" t="s">
        <v>3104</v>
      </c>
      <c r="AF185" s="241"/>
      <c r="AG185" s="241"/>
      <c r="AH185" s="241"/>
      <c r="AI185" s="241"/>
      <c r="AJ185" s="241"/>
      <c r="AK185" s="241"/>
      <c r="AL185" s="241"/>
      <c r="AM185" s="241"/>
      <c r="AN185" s="241"/>
      <c r="AO185" s="241"/>
      <c r="AP185" s="241"/>
      <c r="AQ185" s="241"/>
      <c r="AR185" s="241"/>
      <c r="AS185" s="241"/>
      <c r="AT185" s="241" t="s">
        <v>3105</v>
      </c>
      <c r="AU185" s="241"/>
      <c r="AV185" s="241"/>
      <c r="AW185" s="241"/>
      <c r="AX185" s="241"/>
      <c r="AY185" s="241"/>
      <c r="AZ185" s="241"/>
      <c r="BA185" s="241"/>
      <c r="BB185" s="242"/>
      <c r="BC185" s="242"/>
      <c r="BD185" s="242"/>
      <c r="BE185" s="242"/>
      <c r="BF185" s="242"/>
      <c r="BG185" s="242"/>
      <c r="BH185" s="242"/>
      <c r="BI185" s="242"/>
    </row>
    <row r="186" spans="1:61" ht="18" customHeight="1">
      <c r="A186" s="241"/>
      <c r="B186" s="241"/>
      <c r="C186" s="241"/>
      <c r="D186" s="241"/>
      <c r="E186" s="241"/>
      <c r="F186" s="241"/>
      <c r="G186" s="241"/>
      <c r="H186" s="241" t="s">
        <v>2757</v>
      </c>
      <c r="I186" s="241"/>
      <c r="J186" s="241"/>
      <c r="K186" s="241"/>
      <c r="L186" s="241"/>
      <c r="M186" s="241"/>
      <c r="N186" s="241"/>
      <c r="O186" s="241"/>
      <c r="P186" s="241"/>
      <c r="Q186" s="241"/>
      <c r="R186" s="241"/>
      <c r="S186" s="241"/>
      <c r="T186" s="241"/>
      <c r="U186" s="241"/>
      <c r="V186" s="241"/>
      <c r="W186" s="241"/>
      <c r="X186" s="241"/>
      <c r="Y186" s="241"/>
      <c r="Z186" s="241"/>
      <c r="AA186" s="241"/>
      <c r="AB186" s="241"/>
      <c r="AC186" s="241"/>
      <c r="AD186" s="241"/>
      <c r="AE186" s="241" t="s">
        <v>3106</v>
      </c>
      <c r="AF186" s="241"/>
      <c r="AG186" s="241"/>
      <c r="AH186" s="241"/>
      <c r="AI186" s="241"/>
      <c r="AJ186" s="241"/>
      <c r="AK186" s="241"/>
      <c r="AL186" s="241"/>
      <c r="AM186" s="241"/>
      <c r="AN186" s="241"/>
      <c r="AO186" s="241"/>
      <c r="AP186" s="241"/>
      <c r="AQ186" s="241"/>
      <c r="AR186" s="241"/>
      <c r="AS186" s="241"/>
      <c r="AT186" s="241" t="s">
        <v>2760</v>
      </c>
      <c r="AU186" s="241"/>
      <c r="AV186" s="241"/>
      <c r="AW186" s="241"/>
      <c r="AX186" s="241"/>
      <c r="AY186" s="241"/>
      <c r="AZ186" s="241"/>
      <c r="BA186" s="241"/>
      <c r="BB186" s="242"/>
      <c r="BC186" s="242"/>
      <c r="BD186" s="242"/>
      <c r="BE186" s="242"/>
      <c r="BF186" s="242"/>
      <c r="BG186" s="242"/>
      <c r="BH186" s="242"/>
      <c r="BI186" s="242"/>
    </row>
    <row r="187" spans="1:61" ht="18" customHeight="1">
      <c r="A187" s="241"/>
      <c r="B187" s="241"/>
      <c r="C187" s="241"/>
      <c r="D187" s="241"/>
      <c r="E187" s="241"/>
      <c r="F187" s="241"/>
      <c r="G187" s="241"/>
      <c r="H187" s="241" t="s">
        <v>2762</v>
      </c>
      <c r="I187" s="241"/>
      <c r="J187" s="241"/>
      <c r="K187" s="241"/>
      <c r="L187" s="241"/>
      <c r="M187" s="241"/>
      <c r="N187" s="241"/>
      <c r="O187" s="241"/>
      <c r="P187" s="241"/>
      <c r="Q187" s="241"/>
      <c r="R187" s="241"/>
      <c r="S187" s="241"/>
      <c r="T187" s="241"/>
      <c r="U187" s="241"/>
      <c r="V187" s="241"/>
      <c r="W187" s="241"/>
      <c r="X187" s="241"/>
      <c r="Y187" s="241"/>
      <c r="Z187" s="241"/>
      <c r="AA187" s="241"/>
      <c r="AB187" s="241"/>
      <c r="AC187" s="241"/>
      <c r="AD187" s="241"/>
      <c r="AE187" s="241" t="s">
        <v>3107</v>
      </c>
      <c r="AF187" s="241"/>
      <c r="AG187" s="241"/>
      <c r="AH187" s="241"/>
      <c r="AI187" s="241"/>
      <c r="AJ187" s="241"/>
      <c r="AK187" s="241"/>
      <c r="AL187" s="241"/>
      <c r="AM187" s="241"/>
      <c r="AN187" s="241"/>
      <c r="AO187" s="241"/>
      <c r="AP187" s="241"/>
      <c r="AQ187" s="241"/>
      <c r="AR187" s="241"/>
      <c r="AS187" s="241"/>
      <c r="AT187" s="241" t="s">
        <v>3108</v>
      </c>
      <c r="AU187" s="241"/>
      <c r="AV187" s="241"/>
      <c r="AW187" s="241"/>
      <c r="AX187" s="241"/>
      <c r="AY187" s="241"/>
      <c r="AZ187" s="241"/>
      <c r="BA187" s="241"/>
      <c r="BB187" s="242"/>
      <c r="BC187" s="242"/>
      <c r="BD187" s="242"/>
      <c r="BE187" s="242"/>
      <c r="BF187" s="242"/>
      <c r="BG187" s="242"/>
      <c r="BH187" s="242"/>
      <c r="BI187" s="242"/>
    </row>
    <row r="188" spans="1:61" ht="18" customHeight="1">
      <c r="A188" s="241"/>
      <c r="B188" s="241"/>
      <c r="C188" s="241"/>
      <c r="D188" s="241"/>
      <c r="E188" s="241"/>
      <c r="F188" s="241"/>
      <c r="G188" s="241"/>
      <c r="H188" s="241" t="s">
        <v>2766</v>
      </c>
      <c r="I188" s="241"/>
      <c r="J188" s="241"/>
      <c r="K188" s="241"/>
      <c r="L188" s="241"/>
      <c r="M188" s="241"/>
      <c r="N188" s="241"/>
      <c r="O188" s="241"/>
      <c r="P188" s="241"/>
      <c r="Q188" s="241"/>
      <c r="R188" s="241"/>
      <c r="S188" s="241"/>
      <c r="T188" s="241"/>
      <c r="U188" s="241"/>
      <c r="V188" s="241"/>
      <c r="W188" s="241"/>
      <c r="X188" s="241"/>
      <c r="Y188" s="241"/>
      <c r="Z188" s="241"/>
      <c r="AA188" s="241"/>
      <c r="AB188" s="241"/>
      <c r="AC188" s="241"/>
      <c r="AD188" s="241"/>
      <c r="AE188" s="241" t="s">
        <v>3109</v>
      </c>
      <c r="AF188" s="241"/>
      <c r="AG188" s="241"/>
      <c r="AH188" s="241"/>
      <c r="AI188" s="241"/>
      <c r="AJ188" s="241"/>
      <c r="AK188" s="241"/>
      <c r="AL188" s="241"/>
      <c r="AM188" s="241"/>
      <c r="AN188" s="241"/>
      <c r="AO188" s="241"/>
      <c r="AP188" s="241"/>
      <c r="AQ188" s="241"/>
      <c r="AR188" s="241"/>
      <c r="AS188" s="241"/>
      <c r="AT188" s="241" t="s">
        <v>2713</v>
      </c>
      <c r="AU188" s="241"/>
      <c r="AV188" s="241"/>
      <c r="AW188" s="241"/>
      <c r="AX188" s="241"/>
      <c r="AY188" s="241"/>
      <c r="AZ188" s="241"/>
      <c r="BA188" s="241"/>
      <c r="BB188" s="242"/>
      <c r="BC188" s="242"/>
      <c r="BD188" s="242"/>
      <c r="BE188" s="242"/>
      <c r="BF188" s="242"/>
      <c r="BG188" s="242"/>
      <c r="BH188" s="242"/>
      <c r="BI188" s="242"/>
    </row>
    <row r="189" spans="1:61" ht="18" customHeight="1">
      <c r="A189" s="241"/>
      <c r="B189" s="241"/>
      <c r="C189" s="241"/>
      <c r="D189" s="241"/>
      <c r="E189" s="241"/>
      <c r="F189" s="241"/>
      <c r="G189" s="241"/>
      <c r="H189" s="241" t="s">
        <v>2769</v>
      </c>
      <c r="I189" s="241"/>
      <c r="J189" s="241"/>
      <c r="K189" s="241"/>
      <c r="L189" s="241"/>
      <c r="M189" s="241"/>
      <c r="N189" s="241"/>
      <c r="O189" s="241"/>
      <c r="P189" s="241"/>
      <c r="Q189" s="241"/>
      <c r="R189" s="241"/>
      <c r="S189" s="241"/>
      <c r="T189" s="241"/>
      <c r="U189" s="241"/>
      <c r="V189" s="241"/>
      <c r="W189" s="241"/>
      <c r="X189" s="241"/>
      <c r="Y189" s="241"/>
      <c r="Z189" s="241"/>
      <c r="AA189" s="241"/>
      <c r="AB189" s="241"/>
      <c r="AC189" s="241"/>
      <c r="AD189" s="241"/>
      <c r="AE189" s="241" t="s">
        <v>3110</v>
      </c>
      <c r="AF189" s="241"/>
      <c r="AG189" s="241"/>
      <c r="AH189" s="241"/>
      <c r="AI189" s="241"/>
      <c r="AJ189" s="241"/>
      <c r="AK189" s="241"/>
      <c r="AL189" s="241"/>
      <c r="AM189" s="241"/>
      <c r="AN189" s="241"/>
      <c r="AO189" s="241"/>
      <c r="AP189" s="241"/>
      <c r="AQ189" s="241"/>
      <c r="AR189" s="241"/>
      <c r="AS189" s="241"/>
      <c r="AT189" s="241"/>
      <c r="AU189" s="241"/>
      <c r="AV189" s="241"/>
      <c r="AW189" s="241"/>
      <c r="AX189" s="241"/>
      <c r="AY189" s="241"/>
      <c r="AZ189" s="241"/>
      <c r="BA189" s="241"/>
      <c r="BB189" s="242"/>
      <c r="BC189" s="242"/>
      <c r="BD189" s="242"/>
      <c r="BE189" s="242"/>
      <c r="BF189" s="242"/>
      <c r="BG189" s="242"/>
      <c r="BH189" s="242"/>
      <c r="BI189" s="242"/>
    </row>
    <row r="190" spans="1:61" ht="18" customHeight="1">
      <c r="A190" s="241"/>
      <c r="B190" s="241"/>
      <c r="C190" s="241"/>
      <c r="D190" s="241"/>
      <c r="E190" s="241"/>
      <c r="F190" s="241"/>
      <c r="G190" s="241"/>
      <c r="H190" s="241" t="s">
        <v>2773</v>
      </c>
      <c r="I190" s="241"/>
      <c r="J190" s="241"/>
      <c r="K190" s="241"/>
      <c r="L190" s="241"/>
      <c r="M190" s="241"/>
      <c r="N190" s="241"/>
      <c r="O190" s="241"/>
      <c r="P190" s="241"/>
      <c r="Q190" s="241"/>
      <c r="R190" s="241"/>
      <c r="S190" s="241"/>
      <c r="T190" s="241"/>
      <c r="U190" s="241"/>
      <c r="V190" s="241"/>
      <c r="W190" s="241"/>
      <c r="X190" s="241"/>
      <c r="Y190" s="241"/>
      <c r="Z190" s="241"/>
      <c r="AA190" s="241"/>
      <c r="AB190" s="241"/>
      <c r="AC190" s="241"/>
      <c r="AD190" s="241"/>
      <c r="AE190" s="241" t="s">
        <v>3111</v>
      </c>
      <c r="AF190" s="241"/>
      <c r="AG190" s="241"/>
      <c r="AH190" s="241"/>
      <c r="AI190" s="241"/>
      <c r="AJ190" s="241"/>
      <c r="AK190" s="241"/>
      <c r="AL190" s="241"/>
      <c r="AM190" s="241"/>
      <c r="AN190" s="241"/>
      <c r="AO190" s="241"/>
      <c r="AP190" s="241"/>
      <c r="AQ190" s="241"/>
      <c r="AR190" s="241"/>
      <c r="AS190" s="241"/>
      <c r="AT190" s="241" t="s">
        <v>2700</v>
      </c>
      <c r="AU190" s="241"/>
      <c r="AV190" s="241"/>
      <c r="AW190" s="241"/>
      <c r="AX190" s="241"/>
      <c r="AY190" s="241"/>
      <c r="AZ190" s="241"/>
      <c r="BA190" s="241"/>
      <c r="BB190" s="242"/>
      <c r="BC190" s="242"/>
      <c r="BD190" s="242"/>
      <c r="BE190" s="242"/>
      <c r="BF190" s="242"/>
      <c r="BG190" s="242"/>
      <c r="BH190" s="242"/>
      <c r="BI190" s="242"/>
    </row>
    <row r="191" spans="1:61" ht="18" customHeight="1">
      <c r="A191" s="241"/>
      <c r="B191" s="241"/>
      <c r="C191" s="241"/>
      <c r="D191" s="241"/>
      <c r="E191" s="241"/>
      <c r="F191" s="241"/>
      <c r="G191" s="241"/>
      <c r="H191" s="241"/>
      <c r="I191" s="241"/>
      <c r="J191" s="241"/>
      <c r="K191" s="241"/>
      <c r="L191" s="241"/>
      <c r="M191" s="241"/>
      <c r="N191" s="241"/>
      <c r="O191" s="241"/>
      <c r="P191" s="241"/>
      <c r="Q191" s="241"/>
      <c r="R191" s="241"/>
      <c r="S191" s="241"/>
      <c r="T191" s="241"/>
      <c r="U191" s="241"/>
      <c r="V191" s="241"/>
      <c r="W191" s="241"/>
      <c r="X191" s="241"/>
      <c r="Y191" s="241"/>
      <c r="Z191" s="241"/>
      <c r="AA191" s="241"/>
      <c r="AB191" s="241"/>
      <c r="AC191" s="241"/>
      <c r="AD191" s="241"/>
      <c r="AE191" s="241" t="s">
        <v>3112</v>
      </c>
      <c r="AF191" s="241"/>
      <c r="AG191" s="241"/>
      <c r="AH191" s="241"/>
      <c r="AI191" s="241"/>
      <c r="AJ191" s="241"/>
      <c r="AK191" s="241"/>
      <c r="AL191" s="241"/>
      <c r="AM191" s="241"/>
      <c r="AN191" s="241"/>
      <c r="AO191" s="241"/>
      <c r="AP191" s="241"/>
      <c r="AQ191" s="241"/>
      <c r="AR191" s="241"/>
      <c r="AS191" s="241"/>
      <c r="AT191" s="241" t="s">
        <v>3113</v>
      </c>
      <c r="AU191" s="241"/>
      <c r="AV191" s="241"/>
      <c r="AW191" s="241"/>
      <c r="AX191" s="241"/>
      <c r="AY191" s="241"/>
      <c r="AZ191" s="241"/>
      <c r="BA191" s="241"/>
      <c r="BB191" s="242"/>
      <c r="BC191" s="242"/>
      <c r="BD191" s="242"/>
      <c r="BE191" s="242"/>
      <c r="BF191" s="242"/>
      <c r="BG191" s="242"/>
      <c r="BH191" s="242"/>
      <c r="BI191" s="242"/>
    </row>
    <row r="192" spans="1:61" ht="18" customHeight="1">
      <c r="A192" s="241"/>
      <c r="B192" s="241"/>
      <c r="C192" s="241"/>
      <c r="D192" s="241"/>
      <c r="E192" s="241"/>
      <c r="F192" s="241"/>
      <c r="G192" s="241"/>
      <c r="H192" s="241" t="s">
        <v>2699</v>
      </c>
      <c r="I192" s="241"/>
      <c r="J192" s="241"/>
      <c r="K192" s="241"/>
      <c r="L192" s="241"/>
      <c r="M192" s="241"/>
      <c r="N192" s="241"/>
      <c r="O192" s="241"/>
      <c r="P192" s="241"/>
      <c r="Q192" s="241"/>
      <c r="R192" s="241"/>
      <c r="S192" s="241"/>
      <c r="T192" s="241"/>
      <c r="U192" s="241"/>
      <c r="V192" s="241"/>
      <c r="W192" s="241"/>
      <c r="X192" s="241"/>
      <c r="Y192" s="241"/>
      <c r="Z192" s="241"/>
      <c r="AA192" s="241"/>
      <c r="AB192" s="241"/>
      <c r="AC192" s="241"/>
      <c r="AD192" s="241"/>
      <c r="AE192" s="241" t="s">
        <v>3114</v>
      </c>
      <c r="AF192" s="241"/>
      <c r="AG192" s="241"/>
      <c r="AH192" s="241"/>
      <c r="AI192" s="241"/>
      <c r="AJ192" s="241"/>
      <c r="AK192" s="241"/>
      <c r="AL192" s="241"/>
      <c r="AM192" s="241"/>
      <c r="AN192" s="241"/>
      <c r="AO192" s="241"/>
      <c r="AP192" s="241"/>
      <c r="AQ192" s="241"/>
      <c r="AR192" s="241"/>
      <c r="AS192" s="241"/>
      <c r="AT192" s="241" t="s">
        <v>2760</v>
      </c>
      <c r="AU192" s="241"/>
      <c r="AV192" s="241"/>
      <c r="AW192" s="241"/>
      <c r="AX192" s="241"/>
      <c r="AY192" s="241"/>
      <c r="AZ192" s="241"/>
      <c r="BA192" s="241"/>
      <c r="BB192" s="242"/>
      <c r="BC192" s="242"/>
      <c r="BD192" s="242"/>
      <c r="BE192" s="242"/>
      <c r="BF192" s="242"/>
      <c r="BG192" s="242"/>
      <c r="BH192" s="242"/>
      <c r="BI192" s="242"/>
    </row>
    <row r="193" spans="1:61" ht="18" customHeight="1">
      <c r="A193" s="241"/>
      <c r="B193" s="241"/>
      <c r="C193" s="241"/>
      <c r="D193" s="241"/>
      <c r="E193" s="241"/>
      <c r="F193" s="241"/>
      <c r="G193" s="241"/>
      <c r="H193" s="241" t="s">
        <v>3115</v>
      </c>
      <c r="I193" s="241"/>
      <c r="J193" s="241"/>
      <c r="K193" s="241"/>
      <c r="L193" s="241"/>
      <c r="M193" s="241"/>
      <c r="N193" s="241"/>
      <c r="O193" s="241"/>
      <c r="P193" s="241"/>
      <c r="Q193" s="241"/>
      <c r="R193" s="241"/>
      <c r="S193" s="241"/>
      <c r="T193" s="241"/>
      <c r="U193" s="241"/>
      <c r="V193" s="241"/>
      <c r="W193" s="241"/>
      <c r="X193" s="241"/>
      <c r="Y193" s="241"/>
      <c r="Z193" s="241"/>
      <c r="AA193" s="241"/>
      <c r="AB193" s="241"/>
      <c r="AC193" s="241"/>
      <c r="AD193" s="241"/>
      <c r="AE193" s="241" t="s">
        <v>3116</v>
      </c>
      <c r="AF193" s="241"/>
      <c r="AG193" s="241"/>
      <c r="AH193" s="241"/>
      <c r="AI193" s="241"/>
      <c r="AJ193" s="241"/>
      <c r="AK193" s="241"/>
      <c r="AL193" s="241"/>
      <c r="AM193" s="241"/>
      <c r="AN193" s="241"/>
      <c r="AO193" s="241"/>
      <c r="AP193" s="241"/>
      <c r="AQ193" s="241"/>
      <c r="AR193" s="241"/>
      <c r="AS193" s="241"/>
      <c r="AT193" s="241" t="s">
        <v>3108</v>
      </c>
      <c r="AU193" s="241"/>
      <c r="AV193" s="241"/>
      <c r="AW193" s="241"/>
      <c r="AX193" s="241"/>
      <c r="AY193" s="241"/>
      <c r="AZ193" s="241"/>
      <c r="BA193" s="241"/>
      <c r="BB193" s="242"/>
      <c r="BC193" s="242"/>
      <c r="BD193" s="242"/>
      <c r="BE193" s="242"/>
      <c r="BF193" s="242"/>
      <c r="BG193" s="242"/>
      <c r="BH193" s="242"/>
      <c r="BI193" s="242"/>
    </row>
    <row r="194" spans="1:61" ht="18" customHeight="1">
      <c r="A194" s="241"/>
      <c r="B194" s="241"/>
      <c r="C194" s="241"/>
      <c r="D194" s="241"/>
      <c r="E194" s="241"/>
      <c r="F194" s="241"/>
      <c r="G194" s="241"/>
      <c r="H194" s="241" t="s">
        <v>2750</v>
      </c>
      <c r="I194" s="241"/>
      <c r="J194" s="241"/>
      <c r="K194" s="241"/>
      <c r="L194" s="241"/>
      <c r="M194" s="241"/>
      <c r="N194" s="241"/>
      <c r="O194" s="241"/>
      <c r="P194" s="241"/>
      <c r="Q194" s="241"/>
      <c r="R194" s="241"/>
      <c r="S194" s="241"/>
      <c r="T194" s="241"/>
      <c r="U194" s="241"/>
      <c r="V194" s="241"/>
      <c r="W194" s="241"/>
      <c r="X194" s="241"/>
      <c r="Y194" s="241"/>
      <c r="Z194" s="241"/>
      <c r="AA194" s="241"/>
      <c r="AB194" s="241"/>
      <c r="AC194" s="241"/>
      <c r="AD194" s="241"/>
      <c r="AE194" s="241" t="s">
        <v>3117</v>
      </c>
      <c r="AF194" s="241"/>
      <c r="AG194" s="241"/>
      <c r="AH194" s="241"/>
      <c r="AI194" s="241"/>
      <c r="AJ194" s="241"/>
      <c r="AK194" s="241"/>
      <c r="AL194" s="241"/>
      <c r="AM194" s="241"/>
      <c r="AN194" s="241"/>
      <c r="AO194" s="241"/>
      <c r="AP194" s="241"/>
      <c r="AQ194" s="241"/>
      <c r="AR194" s="241"/>
      <c r="AS194" s="241"/>
      <c r="AT194" s="241" t="s">
        <v>2713</v>
      </c>
      <c r="AU194" s="241"/>
      <c r="AV194" s="241"/>
      <c r="AW194" s="241"/>
      <c r="AX194" s="241"/>
      <c r="AY194" s="241"/>
      <c r="AZ194" s="241"/>
      <c r="BA194" s="241"/>
      <c r="BB194" s="242"/>
      <c r="BC194" s="242"/>
      <c r="BD194" s="242"/>
      <c r="BE194" s="242"/>
      <c r="BF194" s="242"/>
      <c r="BG194" s="242"/>
      <c r="BH194" s="242"/>
      <c r="BI194" s="242"/>
    </row>
    <row r="195" spans="1:61" ht="18" customHeight="1">
      <c r="A195" s="241"/>
      <c r="B195" s="241"/>
      <c r="C195" s="241"/>
      <c r="D195" s="241"/>
      <c r="E195" s="241"/>
      <c r="F195" s="241"/>
      <c r="G195" s="241"/>
      <c r="H195" s="241" t="s">
        <v>2753</v>
      </c>
      <c r="I195" s="241"/>
      <c r="J195" s="241"/>
      <c r="K195" s="241"/>
      <c r="L195" s="241"/>
      <c r="M195" s="241"/>
      <c r="N195" s="241"/>
      <c r="O195" s="241"/>
      <c r="P195" s="241"/>
      <c r="Q195" s="241"/>
      <c r="R195" s="241"/>
      <c r="S195" s="241"/>
      <c r="T195" s="241"/>
      <c r="U195" s="241"/>
      <c r="V195" s="241"/>
      <c r="W195" s="241"/>
      <c r="X195" s="241"/>
      <c r="Y195" s="241"/>
      <c r="Z195" s="241"/>
      <c r="AA195" s="241"/>
      <c r="AB195" s="241"/>
      <c r="AC195" s="241"/>
      <c r="AD195" s="241"/>
      <c r="AE195" s="241" t="s">
        <v>3118</v>
      </c>
      <c r="AF195" s="241"/>
      <c r="AG195" s="241"/>
      <c r="AH195" s="241"/>
      <c r="AI195" s="241"/>
      <c r="AJ195" s="241"/>
      <c r="AK195" s="241"/>
      <c r="AL195" s="241"/>
      <c r="AM195" s="241"/>
      <c r="AN195" s="241"/>
      <c r="AO195" s="241"/>
      <c r="AP195" s="241"/>
      <c r="AQ195" s="241"/>
      <c r="AR195" s="241"/>
      <c r="AS195" s="241"/>
      <c r="AT195" s="241"/>
      <c r="AU195" s="241"/>
      <c r="AV195" s="241"/>
      <c r="AW195" s="241"/>
      <c r="AX195" s="241"/>
      <c r="AY195" s="241"/>
      <c r="AZ195" s="241"/>
      <c r="BA195" s="241"/>
      <c r="BB195" s="242"/>
      <c r="BC195" s="242"/>
      <c r="BD195" s="242"/>
      <c r="BE195" s="242"/>
      <c r="BF195" s="242"/>
      <c r="BG195" s="242"/>
      <c r="BH195" s="242"/>
      <c r="BI195" s="242"/>
    </row>
    <row r="196" spans="1:61" ht="18" customHeight="1">
      <c r="A196" s="241"/>
      <c r="B196" s="241"/>
      <c r="C196" s="241"/>
      <c r="D196" s="241"/>
      <c r="E196" s="241"/>
      <c r="F196" s="241"/>
      <c r="G196" s="241"/>
      <c r="H196" s="241" t="s">
        <v>2757</v>
      </c>
      <c r="I196" s="241"/>
      <c r="J196" s="241"/>
      <c r="K196" s="241"/>
      <c r="L196" s="241"/>
      <c r="M196" s="241"/>
      <c r="N196" s="241"/>
      <c r="O196" s="241"/>
      <c r="P196" s="241"/>
      <c r="Q196" s="241"/>
      <c r="R196" s="241"/>
      <c r="S196" s="241"/>
      <c r="T196" s="241"/>
      <c r="U196" s="241"/>
      <c r="V196" s="241"/>
      <c r="W196" s="241"/>
      <c r="X196" s="241"/>
      <c r="Y196" s="241"/>
      <c r="Z196" s="241"/>
      <c r="AA196" s="241"/>
      <c r="AB196" s="241"/>
      <c r="AC196" s="241"/>
      <c r="AD196" s="241"/>
      <c r="AE196" s="241" t="s">
        <v>3119</v>
      </c>
      <c r="AF196" s="241"/>
      <c r="AG196" s="241"/>
      <c r="AH196" s="241"/>
      <c r="AI196" s="241"/>
      <c r="AJ196" s="241"/>
      <c r="AK196" s="241"/>
      <c r="AL196" s="241"/>
      <c r="AM196" s="241"/>
      <c r="AN196" s="241"/>
      <c r="AO196" s="241"/>
      <c r="AP196" s="241"/>
      <c r="AQ196" s="241"/>
      <c r="AR196" s="241"/>
      <c r="AS196" s="241"/>
      <c r="AT196" s="241" t="s">
        <v>2700</v>
      </c>
      <c r="AU196" s="241"/>
      <c r="AV196" s="241"/>
      <c r="AW196" s="241"/>
      <c r="AX196" s="241"/>
      <c r="AY196" s="241"/>
      <c r="AZ196" s="241"/>
      <c r="BA196" s="241"/>
      <c r="BB196" s="242"/>
      <c r="BC196" s="242"/>
      <c r="BD196" s="242"/>
      <c r="BE196" s="242"/>
      <c r="BF196" s="242"/>
      <c r="BG196" s="242"/>
      <c r="BH196" s="242"/>
      <c r="BI196" s="242"/>
    </row>
    <row r="197" spans="1:61" ht="18" customHeight="1">
      <c r="A197" s="241"/>
      <c r="B197" s="241"/>
      <c r="C197" s="241"/>
      <c r="D197" s="241"/>
      <c r="E197" s="241"/>
      <c r="F197" s="241"/>
      <c r="G197" s="241"/>
      <c r="H197" s="241" t="s">
        <v>2762</v>
      </c>
      <c r="I197" s="241"/>
      <c r="J197" s="241"/>
      <c r="K197" s="241"/>
      <c r="L197" s="241"/>
      <c r="M197" s="241"/>
      <c r="N197" s="241"/>
      <c r="O197" s="241"/>
      <c r="P197" s="241"/>
      <c r="Q197" s="241"/>
      <c r="R197" s="241"/>
      <c r="S197" s="241"/>
      <c r="T197" s="241"/>
      <c r="U197" s="241"/>
      <c r="V197" s="241"/>
      <c r="W197" s="241"/>
      <c r="X197" s="241"/>
      <c r="Y197" s="241"/>
      <c r="Z197" s="241"/>
      <c r="AA197" s="241"/>
      <c r="AB197" s="241"/>
      <c r="AC197" s="241"/>
      <c r="AD197" s="241"/>
      <c r="AE197" s="241" t="s">
        <v>3120</v>
      </c>
      <c r="AF197" s="241"/>
      <c r="AG197" s="241"/>
      <c r="AH197" s="241"/>
      <c r="AI197" s="241"/>
      <c r="AJ197" s="241"/>
      <c r="AK197" s="241"/>
      <c r="AL197" s="241"/>
      <c r="AM197" s="241"/>
      <c r="AN197" s="241"/>
      <c r="AO197" s="241"/>
      <c r="AP197" s="241"/>
      <c r="AQ197" s="241"/>
      <c r="AR197" s="241"/>
      <c r="AS197" s="241"/>
      <c r="AT197" s="241" t="s">
        <v>3121</v>
      </c>
      <c r="AU197" s="241"/>
      <c r="AV197" s="241"/>
      <c r="AW197" s="241"/>
      <c r="AX197" s="241"/>
      <c r="AY197" s="241"/>
      <c r="AZ197" s="241"/>
      <c r="BA197" s="241"/>
      <c r="BB197" s="242"/>
      <c r="BC197" s="242"/>
      <c r="BD197" s="242"/>
      <c r="BE197" s="242"/>
      <c r="BF197" s="242"/>
      <c r="BG197" s="242"/>
      <c r="BH197" s="242"/>
      <c r="BI197" s="242"/>
    </row>
    <row r="198" spans="1:61" ht="18" customHeight="1">
      <c r="A198" s="241"/>
      <c r="B198" s="241"/>
      <c r="C198" s="241"/>
      <c r="D198" s="241"/>
      <c r="E198" s="241"/>
      <c r="F198" s="241"/>
      <c r="G198" s="241"/>
      <c r="H198" s="241" t="s">
        <v>2766</v>
      </c>
      <c r="I198" s="241"/>
      <c r="J198" s="241"/>
      <c r="K198" s="241"/>
      <c r="L198" s="241"/>
      <c r="M198" s="241"/>
      <c r="N198" s="241"/>
      <c r="O198" s="241"/>
      <c r="P198" s="241"/>
      <c r="Q198" s="241"/>
      <c r="R198" s="241"/>
      <c r="S198" s="241"/>
      <c r="T198" s="241"/>
      <c r="U198" s="241"/>
      <c r="V198" s="241"/>
      <c r="W198" s="241"/>
      <c r="X198" s="241"/>
      <c r="Y198" s="241"/>
      <c r="Z198" s="241"/>
      <c r="AA198" s="241"/>
      <c r="AB198" s="241"/>
      <c r="AC198" s="241"/>
      <c r="AD198" s="241"/>
      <c r="AE198" s="241" t="s">
        <v>3122</v>
      </c>
      <c r="AF198" s="241"/>
      <c r="AG198" s="241"/>
      <c r="AH198" s="241"/>
      <c r="AI198" s="241"/>
      <c r="AJ198" s="241"/>
      <c r="AK198" s="241"/>
      <c r="AL198" s="241"/>
      <c r="AM198" s="241"/>
      <c r="AN198" s="241"/>
      <c r="AO198" s="241"/>
      <c r="AP198" s="241"/>
      <c r="AQ198" s="241"/>
      <c r="AR198" s="241"/>
      <c r="AS198" s="241"/>
      <c r="AT198" s="241" t="s">
        <v>2760</v>
      </c>
      <c r="AU198" s="241"/>
      <c r="AV198" s="241"/>
      <c r="AW198" s="241"/>
      <c r="AX198" s="241"/>
      <c r="AY198" s="241"/>
      <c r="AZ198" s="241"/>
      <c r="BA198" s="241"/>
      <c r="BB198" s="242"/>
      <c r="BC198" s="242"/>
      <c r="BD198" s="242"/>
      <c r="BE198" s="242"/>
      <c r="BF198" s="242"/>
      <c r="BG198" s="242"/>
      <c r="BH198" s="242"/>
      <c r="BI198" s="242"/>
    </row>
    <row r="199" spans="1:61" ht="18" customHeight="1">
      <c r="A199" s="241"/>
      <c r="B199" s="241"/>
      <c r="C199" s="241"/>
      <c r="D199" s="241"/>
      <c r="E199" s="241"/>
      <c r="F199" s="241"/>
      <c r="G199" s="241"/>
      <c r="H199" s="241" t="s">
        <v>2769</v>
      </c>
      <c r="I199" s="241"/>
      <c r="J199" s="241"/>
      <c r="K199" s="241"/>
      <c r="L199" s="241"/>
      <c r="M199" s="241"/>
      <c r="N199" s="241"/>
      <c r="O199" s="241"/>
      <c r="P199" s="241"/>
      <c r="Q199" s="241"/>
      <c r="R199" s="241"/>
      <c r="S199" s="241"/>
      <c r="T199" s="241"/>
      <c r="U199" s="241"/>
      <c r="V199" s="241"/>
      <c r="W199" s="241"/>
      <c r="X199" s="241"/>
      <c r="Y199" s="241"/>
      <c r="Z199" s="241"/>
      <c r="AA199" s="241"/>
      <c r="AB199" s="241"/>
      <c r="AC199" s="241"/>
      <c r="AD199" s="241"/>
      <c r="AE199" s="241" t="s">
        <v>3123</v>
      </c>
      <c r="AF199" s="241"/>
      <c r="AG199" s="241"/>
      <c r="AH199" s="241"/>
      <c r="AI199" s="241"/>
      <c r="AJ199" s="241"/>
      <c r="AK199" s="241"/>
      <c r="AL199" s="241"/>
      <c r="AM199" s="241"/>
      <c r="AN199" s="241"/>
      <c r="AO199" s="241"/>
      <c r="AP199" s="241"/>
      <c r="AQ199" s="241"/>
      <c r="AR199" s="241"/>
      <c r="AS199" s="241"/>
      <c r="AT199" s="241" t="s">
        <v>3124</v>
      </c>
      <c r="AU199" s="241"/>
      <c r="AV199" s="241"/>
      <c r="AW199" s="241"/>
      <c r="AX199" s="241"/>
      <c r="AY199" s="241"/>
      <c r="AZ199" s="241"/>
      <c r="BA199" s="241"/>
      <c r="BB199" s="242"/>
      <c r="BC199" s="242"/>
      <c r="BD199" s="242"/>
      <c r="BE199" s="242"/>
      <c r="BF199" s="242"/>
      <c r="BG199" s="242"/>
      <c r="BH199" s="242"/>
      <c r="BI199" s="242"/>
    </row>
    <row r="200" spans="1:61" ht="18" customHeight="1">
      <c r="A200" s="241"/>
      <c r="B200" s="241"/>
      <c r="C200" s="241"/>
      <c r="D200" s="241"/>
      <c r="E200" s="241"/>
      <c r="F200" s="241"/>
      <c r="G200" s="241"/>
      <c r="H200" s="241" t="s">
        <v>2773</v>
      </c>
      <c r="I200" s="241"/>
      <c r="J200" s="241"/>
      <c r="K200" s="241"/>
      <c r="L200" s="241"/>
      <c r="M200" s="241"/>
      <c r="N200" s="241"/>
      <c r="O200" s="241"/>
      <c r="P200" s="241"/>
      <c r="Q200" s="241"/>
      <c r="R200" s="241"/>
      <c r="S200" s="241"/>
      <c r="T200" s="241"/>
      <c r="U200" s="241"/>
      <c r="V200" s="241"/>
      <c r="W200" s="241"/>
      <c r="X200" s="241"/>
      <c r="Y200" s="241"/>
      <c r="Z200" s="241"/>
      <c r="AA200" s="241"/>
      <c r="AB200" s="241"/>
      <c r="AC200" s="241"/>
      <c r="AD200" s="241"/>
      <c r="AE200" s="241" t="s">
        <v>3125</v>
      </c>
      <c r="AF200" s="241"/>
      <c r="AG200" s="241"/>
      <c r="AH200" s="241"/>
      <c r="AI200" s="241"/>
      <c r="AJ200" s="241"/>
      <c r="AK200" s="241"/>
      <c r="AL200" s="241"/>
      <c r="AM200" s="241"/>
      <c r="AN200" s="241"/>
      <c r="AO200" s="241"/>
      <c r="AP200" s="241"/>
      <c r="AQ200" s="241"/>
      <c r="AR200" s="241"/>
      <c r="AS200" s="241"/>
      <c r="AT200" s="241" t="s">
        <v>2713</v>
      </c>
      <c r="AU200" s="241"/>
      <c r="AV200" s="241"/>
      <c r="AW200" s="241"/>
      <c r="AX200" s="241"/>
      <c r="AY200" s="241"/>
      <c r="AZ200" s="241"/>
      <c r="BA200" s="241"/>
      <c r="BB200" s="242"/>
      <c r="BC200" s="242"/>
      <c r="BD200" s="242"/>
      <c r="BE200" s="242"/>
      <c r="BF200" s="242"/>
      <c r="BG200" s="242"/>
      <c r="BH200" s="242"/>
      <c r="BI200" s="242"/>
    </row>
    <row r="201" spans="1:61" ht="18" customHeight="1">
      <c r="A201" s="241"/>
      <c r="B201" s="241"/>
      <c r="C201" s="241"/>
      <c r="D201" s="241"/>
      <c r="E201" s="241"/>
      <c r="F201" s="241"/>
      <c r="G201" s="241"/>
      <c r="H201" s="241"/>
      <c r="I201" s="241"/>
      <c r="J201" s="241"/>
      <c r="K201" s="241"/>
      <c r="L201" s="241"/>
      <c r="M201" s="241"/>
      <c r="N201" s="241"/>
      <c r="O201" s="241"/>
      <c r="P201" s="241"/>
      <c r="Q201" s="241"/>
      <c r="R201" s="241"/>
      <c r="S201" s="241"/>
      <c r="T201" s="241"/>
      <c r="U201" s="241"/>
      <c r="V201" s="241"/>
      <c r="W201" s="241"/>
      <c r="X201" s="241"/>
      <c r="Y201" s="241"/>
      <c r="Z201" s="241"/>
      <c r="AA201" s="241"/>
      <c r="AB201" s="241"/>
      <c r="AC201" s="241"/>
      <c r="AD201" s="241"/>
      <c r="AE201" s="241" t="s">
        <v>3126</v>
      </c>
      <c r="AF201" s="241"/>
      <c r="AG201" s="241"/>
      <c r="AH201" s="241"/>
      <c r="AI201" s="241"/>
      <c r="AJ201" s="241"/>
      <c r="AK201" s="241"/>
      <c r="AL201" s="241"/>
      <c r="AM201" s="241"/>
      <c r="AN201" s="241"/>
      <c r="AO201" s="241"/>
      <c r="AP201" s="241"/>
      <c r="AQ201" s="241"/>
      <c r="AR201" s="241"/>
      <c r="AS201" s="241"/>
      <c r="AT201" s="241"/>
      <c r="AU201" s="241"/>
      <c r="AV201" s="241"/>
      <c r="AW201" s="241"/>
      <c r="AX201" s="241"/>
      <c r="AY201" s="241"/>
      <c r="AZ201" s="241"/>
      <c r="BA201" s="241"/>
      <c r="BB201" s="242"/>
      <c r="BC201" s="242"/>
      <c r="BD201" s="242"/>
      <c r="BE201" s="242"/>
      <c r="BF201" s="242"/>
      <c r="BG201" s="242"/>
      <c r="BH201" s="242"/>
      <c r="BI201" s="242"/>
    </row>
    <row r="202" spans="1:61" ht="18" customHeight="1">
      <c r="A202" s="241"/>
      <c r="B202" s="241"/>
      <c r="C202" s="241"/>
      <c r="D202" s="241"/>
      <c r="E202" s="241"/>
      <c r="F202" s="241"/>
      <c r="G202" s="241"/>
      <c r="H202" s="241" t="s">
        <v>2699</v>
      </c>
      <c r="I202" s="241"/>
      <c r="J202" s="241"/>
      <c r="K202" s="241"/>
      <c r="L202" s="241"/>
      <c r="M202" s="241"/>
      <c r="N202" s="241"/>
      <c r="O202" s="241"/>
      <c r="P202" s="241"/>
      <c r="Q202" s="241"/>
      <c r="R202" s="241"/>
      <c r="S202" s="241"/>
      <c r="T202" s="241"/>
      <c r="U202" s="241"/>
      <c r="V202" s="241"/>
      <c r="W202" s="241"/>
      <c r="X202" s="241"/>
      <c r="Y202" s="241"/>
      <c r="Z202" s="241"/>
      <c r="AA202" s="241"/>
      <c r="AB202" s="241"/>
      <c r="AC202" s="241"/>
      <c r="AD202" s="241"/>
      <c r="AE202" s="241" t="s">
        <v>3127</v>
      </c>
      <c r="AF202" s="241"/>
      <c r="AG202" s="241"/>
      <c r="AH202" s="241"/>
      <c r="AI202" s="241"/>
      <c r="AJ202" s="241"/>
      <c r="AK202" s="241"/>
      <c r="AL202" s="241"/>
      <c r="AM202" s="241"/>
      <c r="AN202" s="241"/>
      <c r="AO202" s="241"/>
      <c r="AP202" s="241"/>
      <c r="AQ202" s="241"/>
      <c r="AR202" s="241"/>
      <c r="AS202" s="241"/>
      <c r="AT202" s="241" t="s">
        <v>2450</v>
      </c>
      <c r="AU202" s="241"/>
      <c r="AV202" s="241"/>
      <c r="AW202" s="241"/>
      <c r="AX202" s="241"/>
      <c r="AY202" s="241"/>
      <c r="AZ202" s="241"/>
      <c r="BA202" s="241"/>
      <c r="BB202" s="242"/>
      <c r="BC202" s="242"/>
      <c r="BD202" s="242"/>
      <c r="BE202" s="242"/>
      <c r="BF202" s="242"/>
      <c r="BG202" s="242"/>
      <c r="BH202" s="242"/>
      <c r="BI202" s="242"/>
    </row>
    <row r="203" spans="1:61" ht="18" customHeight="1">
      <c r="A203" s="241"/>
      <c r="B203" s="241"/>
      <c r="C203" s="241"/>
      <c r="D203" s="241"/>
      <c r="E203" s="241"/>
      <c r="F203" s="241"/>
      <c r="G203" s="241"/>
      <c r="H203" s="241" t="s">
        <v>3128</v>
      </c>
      <c r="I203" s="241"/>
      <c r="J203" s="241"/>
      <c r="K203" s="241"/>
      <c r="L203" s="241"/>
      <c r="M203" s="241"/>
      <c r="N203" s="241"/>
      <c r="O203" s="241"/>
      <c r="P203" s="241"/>
      <c r="Q203" s="241"/>
      <c r="R203" s="241"/>
      <c r="S203" s="241"/>
      <c r="T203" s="241"/>
      <c r="U203" s="241"/>
      <c r="V203" s="241"/>
      <c r="W203" s="241"/>
      <c r="X203" s="241"/>
      <c r="Y203" s="241"/>
      <c r="Z203" s="241"/>
      <c r="AA203" s="241"/>
      <c r="AB203" s="241"/>
      <c r="AC203" s="241"/>
      <c r="AD203" s="241"/>
      <c r="AE203" s="241" t="s">
        <v>3129</v>
      </c>
      <c r="AF203" s="241"/>
      <c r="AG203" s="241"/>
      <c r="AH203" s="241"/>
      <c r="AI203" s="241"/>
      <c r="AJ203" s="241"/>
      <c r="AK203" s="241"/>
      <c r="AL203" s="241"/>
      <c r="AM203" s="241"/>
      <c r="AN203" s="241"/>
      <c r="AO203" s="241"/>
      <c r="AP203" s="241"/>
      <c r="AQ203" s="241"/>
      <c r="AR203" s="241"/>
      <c r="AS203" s="241"/>
      <c r="AT203" s="241" t="s">
        <v>3022</v>
      </c>
      <c r="AU203" s="241"/>
      <c r="AV203" s="241"/>
      <c r="AW203" s="241"/>
      <c r="AX203" s="241"/>
      <c r="AY203" s="241"/>
      <c r="AZ203" s="241"/>
      <c r="BA203" s="241"/>
      <c r="BB203" s="242"/>
      <c r="BC203" s="242"/>
      <c r="BD203" s="242"/>
      <c r="BE203" s="242"/>
      <c r="BF203" s="242"/>
      <c r="BG203" s="242"/>
      <c r="BH203" s="242"/>
      <c r="BI203" s="242"/>
    </row>
    <row r="204" spans="1:61" ht="18" customHeight="1">
      <c r="A204" s="241"/>
      <c r="B204" s="241"/>
      <c r="C204" s="241"/>
      <c r="D204" s="241"/>
      <c r="E204" s="241"/>
      <c r="F204" s="241"/>
      <c r="G204" s="241"/>
      <c r="H204" s="241" t="s">
        <v>2750</v>
      </c>
      <c r="I204" s="241"/>
      <c r="J204" s="241"/>
      <c r="K204" s="241"/>
      <c r="L204" s="241"/>
      <c r="M204" s="241"/>
      <c r="N204" s="241"/>
      <c r="O204" s="241"/>
      <c r="P204" s="241"/>
      <c r="Q204" s="241"/>
      <c r="R204" s="241"/>
      <c r="S204" s="241"/>
      <c r="T204" s="241"/>
      <c r="U204" s="241"/>
      <c r="V204" s="241"/>
      <c r="W204" s="241"/>
      <c r="X204" s="241"/>
      <c r="Y204" s="241"/>
      <c r="Z204" s="241"/>
      <c r="AA204" s="241"/>
      <c r="AB204" s="241"/>
      <c r="AC204" s="241"/>
      <c r="AD204" s="241"/>
      <c r="AE204" s="241" t="s">
        <v>3130</v>
      </c>
      <c r="AF204" s="241"/>
      <c r="AG204" s="241"/>
      <c r="AH204" s="241"/>
      <c r="AI204" s="241"/>
      <c r="AJ204" s="241"/>
      <c r="AK204" s="241"/>
      <c r="AL204" s="241"/>
      <c r="AM204" s="241"/>
      <c r="AN204" s="241"/>
      <c r="AO204" s="241"/>
      <c r="AP204" s="241"/>
      <c r="AQ204" s="241"/>
      <c r="AR204" s="241"/>
      <c r="AS204" s="241"/>
      <c r="AT204" s="241" t="s">
        <v>2450</v>
      </c>
      <c r="AU204" s="241"/>
      <c r="AV204" s="241"/>
      <c r="AW204" s="241"/>
      <c r="AX204" s="241"/>
      <c r="AY204" s="241"/>
      <c r="AZ204" s="241"/>
      <c r="BA204" s="241"/>
      <c r="BB204" s="242"/>
      <c r="BC204" s="242"/>
      <c r="BD204" s="242"/>
      <c r="BE204" s="242"/>
      <c r="BF204" s="242"/>
      <c r="BG204" s="242"/>
      <c r="BH204" s="242"/>
      <c r="BI204" s="242"/>
    </row>
    <row r="205" spans="1:61" ht="18" customHeight="1">
      <c r="A205" s="241"/>
      <c r="B205" s="241"/>
      <c r="C205" s="241"/>
      <c r="D205" s="241"/>
      <c r="E205" s="241"/>
      <c r="F205" s="241"/>
      <c r="G205" s="241"/>
      <c r="H205" s="241" t="s">
        <v>2753</v>
      </c>
      <c r="I205" s="241"/>
      <c r="J205" s="241"/>
      <c r="K205" s="241"/>
      <c r="L205" s="241"/>
      <c r="M205" s="241"/>
      <c r="N205" s="241"/>
      <c r="O205" s="241"/>
      <c r="P205" s="241"/>
      <c r="Q205" s="241"/>
      <c r="R205" s="241"/>
      <c r="S205" s="241"/>
      <c r="T205" s="241"/>
      <c r="U205" s="241"/>
      <c r="V205" s="241"/>
      <c r="W205" s="241"/>
      <c r="X205" s="241"/>
      <c r="Y205" s="241"/>
      <c r="Z205" s="241"/>
      <c r="AA205" s="241"/>
      <c r="AB205" s="241"/>
      <c r="AC205" s="241"/>
      <c r="AD205" s="241"/>
      <c r="AE205" s="241" t="s">
        <v>3131</v>
      </c>
      <c r="AF205" s="241"/>
      <c r="AG205" s="241"/>
      <c r="AH205" s="241"/>
      <c r="AI205" s="241"/>
      <c r="AJ205" s="241"/>
      <c r="AK205" s="241"/>
      <c r="AL205" s="241"/>
      <c r="AM205" s="241"/>
      <c r="AN205" s="241"/>
      <c r="AO205" s="241"/>
      <c r="AP205" s="241"/>
      <c r="AQ205" s="241"/>
      <c r="AR205" s="241"/>
      <c r="AS205" s="241"/>
      <c r="AT205" s="241" t="s">
        <v>3027</v>
      </c>
      <c r="AU205" s="241"/>
      <c r="AV205" s="241"/>
      <c r="AW205" s="241"/>
      <c r="AX205" s="241"/>
      <c r="AY205" s="241"/>
      <c r="AZ205" s="241"/>
      <c r="BA205" s="241"/>
      <c r="BB205" s="242"/>
      <c r="BC205" s="242"/>
      <c r="BD205" s="242"/>
      <c r="BE205" s="242"/>
      <c r="BF205" s="242"/>
      <c r="BG205" s="242"/>
      <c r="BH205" s="242"/>
      <c r="BI205" s="242"/>
    </row>
    <row r="206" spans="1:61" ht="18" customHeight="1">
      <c r="A206" s="241"/>
      <c r="B206" s="241"/>
      <c r="C206" s="241"/>
      <c r="D206" s="241"/>
      <c r="E206" s="241"/>
      <c r="F206" s="241"/>
      <c r="G206" s="241"/>
      <c r="H206" s="241" t="s">
        <v>2757</v>
      </c>
      <c r="I206" s="241"/>
      <c r="J206" s="241"/>
      <c r="K206" s="241"/>
      <c r="L206" s="241"/>
      <c r="M206" s="241"/>
      <c r="N206" s="241"/>
      <c r="O206" s="241"/>
      <c r="P206" s="241"/>
      <c r="Q206" s="241"/>
      <c r="R206" s="241"/>
      <c r="S206" s="241"/>
      <c r="T206" s="241"/>
      <c r="U206" s="241"/>
      <c r="V206" s="241"/>
      <c r="W206" s="241"/>
      <c r="X206" s="241"/>
      <c r="Y206" s="241"/>
      <c r="Z206" s="241"/>
      <c r="AA206" s="241"/>
      <c r="AB206" s="241"/>
      <c r="AC206" s="241"/>
      <c r="AD206" s="241"/>
      <c r="AE206" s="241" t="s">
        <v>3132</v>
      </c>
      <c r="AF206" s="241"/>
      <c r="AG206" s="241"/>
      <c r="AH206" s="241"/>
      <c r="AI206" s="241"/>
      <c r="AJ206" s="241"/>
      <c r="AK206" s="241"/>
      <c r="AL206" s="241"/>
      <c r="AM206" s="241"/>
      <c r="AN206" s="241"/>
      <c r="AO206" s="241"/>
      <c r="AP206" s="241"/>
      <c r="AQ206" s="241"/>
      <c r="AR206" s="241"/>
      <c r="AS206" s="241"/>
      <c r="AT206" s="241" t="s">
        <v>3133</v>
      </c>
      <c r="AU206" s="241"/>
      <c r="AV206" s="241"/>
      <c r="AW206" s="241"/>
      <c r="AX206" s="241"/>
      <c r="AY206" s="241"/>
      <c r="AZ206" s="241"/>
      <c r="BA206" s="241"/>
      <c r="BB206" s="242"/>
      <c r="BC206" s="242"/>
      <c r="BD206" s="242"/>
      <c r="BE206" s="242"/>
      <c r="BF206" s="242"/>
      <c r="BG206" s="242"/>
      <c r="BH206" s="242"/>
      <c r="BI206" s="242"/>
    </row>
    <row r="207" spans="1:61" ht="18" customHeight="1">
      <c r="A207" s="241"/>
      <c r="B207" s="241"/>
      <c r="C207" s="241"/>
      <c r="D207" s="241"/>
      <c r="E207" s="241"/>
      <c r="F207" s="241"/>
      <c r="G207" s="241"/>
      <c r="H207" s="241" t="s">
        <v>2762</v>
      </c>
      <c r="I207" s="241"/>
      <c r="J207" s="241"/>
      <c r="K207" s="241"/>
      <c r="L207" s="241"/>
      <c r="M207" s="241"/>
      <c r="N207" s="241"/>
      <c r="O207" s="241"/>
      <c r="P207" s="241"/>
      <c r="Q207" s="241"/>
      <c r="R207" s="241"/>
      <c r="S207" s="241"/>
      <c r="T207" s="241"/>
      <c r="U207" s="241"/>
      <c r="V207" s="241"/>
      <c r="W207" s="241"/>
      <c r="X207" s="241"/>
      <c r="Y207" s="241"/>
      <c r="Z207" s="241"/>
      <c r="AA207" s="241"/>
      <c r="AB207" s="241"/>
      <c r="AC207" s="241"/>
      <c r="AD207" s="241"/>
      <c r="AE207" s="241" t="s">
        <v>3134</v>
      </c>
      <c r="AF207" s="241"/>
      <c r="AG207" s="241"/>
      <c r="AH207" s="241"/>
      <c r="AI207" s="241"/>
      <c r="AJ207" s="241"/>
      <c r="AK207" s="241"/>
      <c r="AL207" s="241"/>
      <c r="AM207" s="241"/>
      <c r="AN207" s="241"/>
      <c r="AO207" s="241"/>
      <c r="AP207" s="241"/>
      <c r="AQ207" s="241"/>
      <c r="AR207" s="241"/>
      <c r="AS207" s="241"/>
      <c r="AT207" s="241" t="s">
        <v>3135</v>
      </c>
      <c r="AU207" s="241"/>
      <c r="AV207" s="241"/>
      <c r="AW207" s="241"/>
      <c r="AX207" s="241"/>
      <c r="AY207" s="241"/>
      <c r="AZ207" s="241"/>
      <c r="BA207" s="241"/>
      <c r="BB207" s="242"/>
      <c r="BC207" s="242"/>
      <c r="BD207" s="242"/>
      <c r="BE207" s="242"/>
      <c r="BF207" s="242"/>
      <c r="BG207" s="242"/>
      <c r="BH207" s="242"/>
      <c r="BI207" s="242"/>
    </row>
    <row r="208" spans="1:61" ht="18" customHeight="1">
      <c r="A208" s="241"/>
      <c r="B208" s="241"/>
      <c r="C208" s="241"/>
      <c r="D208" s="241"/>
      <c r="E208" s="241"/>
      <c r="F208" s="241"/>
      <c r="G208" s="241"/>
      <c r="H208" s="241" t="s">
        <v>2766</v>
      </c>
      <c r="I208" s="241"/>
      <c r="J208" s="241"/>
      <c r="K208" s="241"/>
      <c r="L208" s="241"/>
      <c r="M208" s="241"/>
      <c r="N208" s="241"/>
      <c r="O208" s="241"/>
      <c r="P208" s="241"/>
      <c r="Q208" s="241"/>
      <c r="R208" s="241"/>
      <c r="S208" s="241"/>
      <c r="T208" s="241"/>
      <c r="U208" s="241"/>
      <c r="V208" s="241"/>
      <c r="W208" s="241"/>
      <c r="X208" s="241"/>
      <c r="Y208" s="241"/>
      <c r="Z208" s="241"/>
      <c r="AA208" s="241"/>
      <c r="AB208" s="241"/>
      <c r="AC208" s="241"/>
      <c r="AD208" s="241"/>
      <c r="AE208" s="241" t="s">
        <v>3136</v>
      </c>
      <c r="AF208" s="241"/>
      <c r="AG208" s="241"/>
      <c r="AH208" s="241"/>
      <c r="AI208" s="241"/>
      <c r="AJ208" s="241"/>
      <c r="AK208" s="241"/>
      <c r="AL208" s="241"/>
      <c r="AM208" s="241"/>
      <c r="AN208" s="241"/>
      <c r="AO208" s="241"/>
      <c r="AP208" s="241"/>
      <c r="AQ208" s="241"/>
      <c r="AR208" s="241"/>
      <c r="AS208" s="241"/>
      <c r="AT208" s="241" t="s">
        <v>3038</v>
      </c>
      <c r="AU208" s="241"/>
      <c r="AV208" s="241"/>
      <c r="AW208" s="241"/>
      <c r="AX208" s="241"/>
      <c r="AY208" s="241"/>
      <c r="AZ208" s="241"/>
      <c r="BA208" s="241"/>
      <c r="BB208" s="242"/>
      <c r="BC208" s="242"/>
      <c r="BD208" s="242"/>
      <c r="BE208" s="242"/>
      <c r="BF208" s="242"/>
      <c r="BG208" s="242"/>
      <c r="BH208" s="242"/>
      <c r="BI208" s="242"/>
    </row>
    <row r="209" spans="1:61" ht="18" customHeight="1">
      <c r="A209" s="241"/>
      <c r="B209" s="241"/>
      <c r="C209" s="241"/>
      <c r="D209" s="241"/>
      <c r="E209" s="241"/>
      <c r="F209" s="241"/>
      <c r="G209" s="241"/>
      <c r="H209" s="241" t="s">
        <v>2769</v>
      </c>
      <c r="I209" s="241"/>
      <c r="J209" s="241"/>
      <c r="K209" s="241"/>
      <c r="L209" s="241"/>
      <c r="M209" s="241"/>
      <c r="N209" s="241"/>
      <c r="O209" s="241"/>
      <c r="P209" s="241"/>
      <c r="Q209" s="241"/>
      <c r="R209" s="241"/>
      <c r="S209" s="241"/>
      <c r="T209" s="241"/>
      <c r="U209" s="241"/>
      <c r="V209" s="241"/>
      <c r="W209" s="241"/>
      <c r="X209" s="241"/>
      <c r="Y209" s="241"/>
      <c r="Z209" s="241"/>
      <c r="AA209" s="241"/>
      <c r="AB209" s="241"/>
      <c r="AC209" s="241"/>
      <c r="AD209" s="241"/>
      <c r="AE209" s="241" t="s">
        <v>3137</v>
      </c>
      <c r="AF209" s="241"/>
      <c r="AG209" s="241"/>
      <c r="AH209" s="241"/>
      <c r="AI209" s="241"/>
      <c r="AJ209" s="241"/>
      <c r="AK209" s="241"/>
      <c r="AL209" s="241"/>
      <c r="AM209" s="241"/>
      <c r="AN209" s="241"/>
      <c r="AO209" s="241"/>
      <c r="AP209" s="241"/>
      <c r="AQ209" s="241"/>
      <c r="AR209" s="241"/>
      <c r="AS209" s="241"/>
      <c r="AT209" s="241" t="s">
        <v>2450</v>
      </c>
      <c r="AU209" s="241"/>
      <c r="AV209" s="241"/>
      <c r="AW209" s="241"/>
      <c r="AX209" s="241"/>
      <c r="AY209" s="241"/>
      <c r="AZ209" s="241"/>
      <c r="BA209" s="241"/>
      <c r="BB209" s="242"/>
      <c r="BC209" s="242"/>
      <c r="BD209" s="242"/>
      <c r="BE209" s="242"/>
      <c r="BF209" s="242"/>
      <c r="BG209" s="242"/>
      <c r="BH209" s="242"/>
      <c r="BI209" s="242"/>
    </row>
    <row r="210" spans="1:61" ht="18" customHeight="1">
      <c r="A210" s="241"/>
      <c r="B210" s="241"/>
      <c r="C210" s="241"/>
      <c r="D210" s="241"/>
      <c r="E210" s="241"/>
      <c r="F210" s="241"/>
      <c r="G210" s="241"/>
      <c r="H210" s="241" t="s">
        <v>2773</v>
      </c>
      <c r="I210" s="241"/>
      <c r="J210" s="241"/>
      <c r="K210" s="241"/>
      <c r="L210" s="241"/>
      <c r="M210" s="241"/>
      <c r="N210" s="241"/>
      <c r="O210" s="241"/>
      <c r="P210" s="241"/>
      <c r="Q210" s="241"/>
      <c r="R210" s="241"/>
      <c r="S210" s="241"/>
      <c r="T210" s="241"/>
      <c r="U210" s="241"/>
      <c r="V210" s="241"/>
      <c r="W210" s="241"/>
      <c r="X210" s="241"/>
      <c r="Y210" s="241"/>
      <c r="Z210" s="241"/>
      <c r="AA210" s="241"/>
      <c r="AB210" s="241"/>
      <c r="AC210" s="241"/>
      <c r="AD210" s="241"/>
      <c r="AE210" s="241" t="s">
        <v>3138</v>
      </c>
      <c r="AF210" s="241"/>
      <c r="AG210" s="241"/>
      <c r="AH210" s="241"/>
      <c r="AI210" s="241"/>
      <c r="AJ210" s="241"/>
      <c r="AK210" s="241"/>
      <c r="AL210" s="241"/>
      <c r="AM210" s="241"/>
      <c r="AN210" s="241"/>
      <c r="AO210" s="241"/>
      <c r="AP210" s="241"/>
      <c r="AQ210" s="241"/>
      <c r="AR210" s="241"/>
      <c r="AS210" s="241"/>
      <c r="AT210" s="241"/>
      <c r="AU210" s="241"/>
      <c r="AV210" s="241"/>
      <c r="AW210" s="241"/>
      <c r="AX210" s="241"/>
      <c r="AY210" s="241"/>
      <c r="AZ210" s="241"/>
      <c r="BA210" s="241"/>
      <c r="BB210" s="242"/>
      <c r="BC210" s="242"/>
      <c r="BD210" s="242"/>
      <c r="BE210" s="242"/>
      <c r="BF210" s="242"/>
      <c r="BG210" s="242"/>
      <c r="BH210" s="242"/>
      <c r="BI210" s="242"/>
    </row>
    <row r="211" spans="1:61" ht="18" customHeight="1">
      <c r="A211" s="241"/>
      <c r="B211" s="241"/>
      <c r="C211" s="241"/>
      <c r="D211" s="241"/>
      <c r="E211" s="241"/>
      <c r="F211" s="241"/>
      <c r="G211" s="241"/>
      <c r="H211" s="241"/>
      <c r="I211" s="241"/>
      <c r="J211" s="241"/>
      <c r="K211" s="241"/>
      <c r="L211" s="241"/>
      <c r="M211" s="241"/>
      <c r="N211" s="241"/>
      <c r="O211" s="241"/>
      <c r="P211" s="241"/>
      <c r="Q211" s="241"/>
      <c r="R211" s="241"/>
      <c r="S211" s="241"/>
      <c r="T211" s="241"/>
      <c r="U211" s="241"/>
      <c r="V211" s="241"/>
      <c r="W211" s="241"/>
      <c r="X211" s="241"/>
      <c r="Y211" s="241"/>
      <c r="Z211" s="241"/>
      <c r="AA211" s="241"/>
      <c r="AB211" s="241"/>
      <c r="AC211" s="241"/>
      <c r="AD211" s="241"/>
      <c r="AE211" s="241" t="s">
        <v>3139</v>
      </c>
      <c r="AF211" s="241"/>
      <c r="AG211" s="241"/>
      <c r="AH211" s="241"/>
      <c r="AI211" s="241"/>
      <c r="AJ211" s="241"/>
      <c r="AK211" s="241"/>
      <c r="AL211" s="241"/>
      <c r="AM211" s="241"/>
      <c r="AN211" s="241"/>
      <c r="AO211" s="241"/>
      <c r="AP211" s="241"/>
      <c r="AQ211" s="241"/>
      <c r="AR211" s="241"/>
      <c r="AS211" s="241"/>
      <c r="AT211" s="241" t="s">
        <v>2450</v>
      </c>
      <c r="AU211" s="241"/>
      <c r="AV211" s="241"/>
      <c r="AW211" s="241"/>
      <c r="AX211" s="241"/>
      <c r="AY211" s="241"/>
      <c r="AZ211" s="241"/>
      <c r="BA211" s="241"/>
      <c r="BB211" s="242"/>
      <c r="BC211" s="242"/>
      <c r="BD211" s="242"/>
      <c r="BE211" s="242"/>
      <c r="BF211" s="242"/>
      <c r="BG211" s="242"/>
      <c r="BH211" s="242"/>
      <c r="BI211" s="242"/>
    </row>
    <row r="212" spans="1:61" ht="18" customHeight="1">
      <c r="A212" s="241"/>
      <c r="B212" s="241"/>
      <c r="C212" s="241"/>
      <c r="D212" s="241"/>
      <c r="E212" s="241"/>
      <c r="F212" s="241"/>
      <c r="G212" s="241"/>
      <c r="H212" s="241" t="s">
        <v>2699</v>
      </c>
      <c r="I212" s="241"/>
      <c r="J212" s="241"/>
      <c r="K212" s="241"/>
      <c r="L212" s="241"/>
      <c r="M212" s="241"/>
      <c r="N212" s="241"/>
      <c r="O212" s="241"/>
      <c r="P212" s="241"/>
      <c r="Q212" s="241"/>
      <c r="R212" s="241"/>
      <c r="S212" s="241"/>
      <c r="T212" s="241"/>
      <c r="U212" s="241"/>
      <c r="V212" s="241"/>
      <c r="W212" s="241"/>
      <c r="X212" s="241"/>
      <c r="Y212" s="241"/>
      <c r="Z212" s="241"/>
      <c r="AA212" s="241"/>
      <c r="AB212" s="241"/>
      <c r="AC212" s="241"/>
      <c r="AD212" s="241"/>
      <c r="AE212" s="241" t="s">
        <v>3140</v>
      </c>
      <c r="AF212" s="241"/>
      <c r="AG212" s="241"/>
      <c r="AH212" s="241"/>
      <c r="AI212" s="241"/>
      <c r="AJ212" s="241"/>
      <c r="AK212" s="241"/>
      <c r="AL212" s="241"/>
      <c r="AM212" s="241"/>
      <c r="AN212" s="241"/>
      <c r="AO212" s="241"/>
      <c r="AP212" s="241"/>
      <c r="AQ212" s="241"/>
      <c r="AR212" s="241"/>
      <c r="AS212" s="241"/>
      <c r="AT212" s="241" t="s">
        <v>2860</v>
      </c>
      <c r="AU212" s="241"/>
      <c r="AV212" s="241"/>
      <c r="AW212" s="241"/>
      <c r="AX212" s="241"/>
      <c r="AY212" s="241"/>
      <c r="AZ212" s="241"/>
      <c r="BA212" s="241"/>
      <c r="BB212" s="242"/>
      <c r="BC212" s="242"/>
      <c r="BD212" s="242"/>
      <c r="BE212" s="242"/>
      <c r="BF212" s="242"/>
      <c r="BG212" s="242"/>
      <c r="BH212" s="242"/>
      <c r="BI212" s="242"/>
    </row>
    <row r="213" spans="1:61" ht="18" customHeight="1">
      <c r="A213" s="241"/>
      <c r="B213" s="241"/>
      <c r="C213" s="241"/>
      <c r="D213" s="241"/>
      <c r="E213" s="241"/>
      <c r="F213" s="241"/>
      <c r="G213" s="241"/>
      <c r="H213" s="241" t="s">
        <v>3141</v>
      </c>
      <c r="I213" s="241"/>
      <c r="J213" s="241"/>
      <c r="K213" s="241"/>
      <c r="L213" s="241"/>
      <c r="M213" s="241"/>
      <c r="N213" s="241"/>
      <c r="O213" s="241"/>
      <c r="P213" s="241"/>
      <c r="Q213" s="241"/>
      <c r="R213" s="241"/>
      <c r="S213" s="241"/>
      <c r="T213" s="241"/>
      <c r="U213" s="241"/>
      <c r="V213" s="241"/>
      <c r="W213" s="241"/>
      <c r="X213" s="241"/>
      <c r="Y213" s="241"/>
      <c r="Z213" s="241"/>
      <c r="AA213" s="241"/>
      <c r="AB213" s="241"/>
      <c r="AC213" s="241"/>
      <c r="AD213" s="241"/>
      <c r="AE213" s="241" t="s">
        <v>3142</v>
      </c>
      <c r="AF213" s="241"/>
      <c r="AG213" s="241"/>
      <c r="AH213" s="241"/>
      <c r="AI213" s="241"/>
      <c r="AJ213" s="241"/>
      <c r="AK213" s="241"/>
      <c r="AL213" s="241"/>
      <c r="AM213" s="241"/>
      <c r="AN213" s="241"/>
      <c r="AO213" s="241"/>
      <c r="AP213" s="241"/>
      <c r="AQ213" s="241"/>
      <c r="AR213" s="241"/>
      <c r="AS213" s="241"/>
      <c r="AT213" s="241" t="s">
        <v>2700</v>
      </c>
      <c r="AU213" s="241"/>
      <c r="AV213" s="241"/>
      <c r="AW213" s="241"/>
      <c r="AX213" s="241"/>
      <c r="AY213" s="241"/>
      <c r="AZ213" s="241"/>
      <c r="BA213" s="241"/>
      <c r="BB213" s="242"/>
      <c r="BC213" s="242"/>
      <c r="BD213" s="242"/>
      <c r="BE213" s="242"/>
      <c r="BF213" s="242"/>
      <c r="BG213" s="242"/>
      <c r="BH213" s="242"/>
      <c r="BI213" s="242"/>
    </row>
    <row r="214" spans="1:61" ht="18" customHeight="1">
      <c r="A214" s="241"/>
      <c r="B214" s="241"/>
      <c r="C214" s="241"/>
      <c r="D214" s="241"/>
      <c r="E214" s="241"/>
      <c r="F214" s="241"/>
      <c r="G214" s="241"/>
      <c r="H214" s="241" t="s">
        <v>2750</v>
      </c>
      <c r="I214" s="241"/>
      <c r="J214" s="241"/>
      <c r="K214" s="241"/>
      <c r="L214" s="241"/>
      <c r="M214" s="241"/>
      <c r="N214" s="241"/>
      <c r="O214" s="241"/>
      <c r="P214" s="241"/>
      <c r="Q214" s="241"/>
      <c r="R214" s="241"/>
      <c r="S214" s="241"/>
      <c r="T214" s="241"/>
      <c r="U214" s="241"/>
      <c r="V214" s="241"/>
      <c r="W214" s="241"/>
      <c r="X214" s="241"/>
      <c r="Y214" s="241"/>
      <c r="Z214" s="241"/>
      <c r="AA214" s="241"/>
      <c r="AB214" s="241"/>
      <c r="AC214" s="241"/>
      <c r="AD214" s="241"/>
      <c r="AE214" s="241" t="s">
        <v>3143</v>
      </c>
      <c r="AF214" s="241"/>
      <c r="AG214" s="241"/>
      <c r="AH214" s="241"/>
      <c r="AI214" s="241"/>
      <c r="AJ214" s="241"/>
      <c r="AK214" s="241"/>
      <c r="AL214" s="241"/>
      <c r="AM214" s="241"/>
      <c r="AN214" s="241"/>
      <c r="AO214" s="241"/>
      <c r="AP214" s="241"/>
      <c r="AQ214" s="241"/>
      <c r="AR214" s="241"/>
      <c r="AS214" s="241"/>
      <c r="AT214" s="241" t="s">
        <v>3144</v>
      </c>
      <c r="AU214" s="241"/>
      <c r="AV214" s="241"/>
      <c r="AW214" s="241"/>
      <c r="AX214" s="241"/>
      <c r="AY214" s="241"/>
      <c r="AZ214" s="241"/>
      <c r="BA214" s="241"/>
      <c r="BB214" s="242"/>
      <c r="BC214" s="242"/>
      <c r="BD214" s="242"/>
      <c r="BE214" s="242"/>
      <c r="BF214" s="242"/>
      <c r="BG214" s="242"/>
      <c r="BH214" s="242"/>
      <c r="BI214" s="242"/>
    </row>
    <row r="215" spans="1:61" ht="18" customHeight="1">
      <c r="A215" s="241"/>
      <c r="B215" s="241"/>
      <c r="C215" s="241"/>
      <c r="D215" s="241"/>
      <c r="E215" s="241"/>
      <c r="F215" s="241"/>
      <c r="G215" s="241"/>
      <c r="H215" s="241" t="s">
        <v>2753</v>
      </c>
      <c r="I215" s="241"/>
      <c r="J215" s="241"/>
      <c r="K215" s="241"/>
      <c r="L215" s="241"/>
      <c r="M215" s="241"/>
      <c r="N215" s="241"/>
      <c r="O215" s="241"/>
      <c r="P215" s="241"/>
      <c r="Q215" s="241"/>
      <c r="R215" s="241"/>
      <c r="S215" s="241"/>
      <c r="T215" s="241"/>
      <c r="U215" s="241"/>
      <c r="V215" s="241"/>
      <c r="W215" s="241"/>
      <c r="X215" s="241"/>
      <c r="Y215" s="241"/>
      <c r="Z215" s="241"/>
      <c r="AA215" s="241"/>
      <c r="AB215" s="241"/>
      <c r="AC215" s="241"/>
      <c r="AD215" s="241"/>
      <c r="AE215" s="241" t="s">
        <v>3145</v>
      </c>
      <c r="AF215" s="241"/>
      <c r="AG215" s="241"/>
      <c r="AH215" s="241"/>
      <c r="AI215" s="241"/>
      <c r="AJ215" s="241"/>
      <c r="AK215" s="241"/>
      <c r="AL215" s="241"/>
      <c r="AM215" s="241"/>
      <c r="AN215" s="241"/>
      <c r="AO215" s="241"/>
      <c r="AP215" s="241"/>
      <c r="AQ215" s="241"/>
      <c r="AR215" s="241"/>
      <c r="AS215" s="241"/>
      <c r="AT215" s="241" t="s">
        <v>2868</v>
      </c>
      <c r="AU215" s="241"/>
      <c r="AV215" s="241"/>
      <c r="AW215" s="241"/>
      <c r="AX215" s="241"/>
      <c r="AY215" s="241"/>
      <c r="AZ215" s="241"/>
      <c r="BA215" s="241"/>
      <c r="BB215" s="242"/>
      <c r="BC215" s="242"/>
      <c r="BD215" s="242"/>
      <c r="BE215" s="242"/>
      <c r="BF215" s="242"/>
      <c r="BG215" s="242"/>
      <c r="BH215" s="242"/>
      <c r="BI215" s="242"/>
    </row>
    <row r="216" spans="1:61" ht="18" customHeight="1">
      <c r="A216" s="241"/>
      <c r="B216" s="241"/>
      <c r="C216" s="241"/>
      <c r="D216" s="241"/>
      <c r="E216" s="241"/>
      <c r="F216" s="241"/>
      <c r="G216" s="241"/>
      <c r="H216" s="241" t="s">
        <v>2757</v>
      </c>
      <c r="I216" s="241"/>
      <c r="J216" s="241"/>
      <c r="K216" s="241"/>
      <c r="L216" s="241"/>
      <c r="M216" s="241"/>
      <c r="N216" s="241"/>
      <c r="O216" s="241"/>
      <c r="P216" s="241"/>
      <c r="Q216" s="241"/>
      <c r="R216" s="241"/>
      <c r="S216" s="241"/>
      <c r="T216" s="241"/>
      <c r="U216" s="241"/>
      <c r="V216" s="241"/>
      <c r="W216" s="241"/>
      <c r="X216" s="241"/>
      <c r="Y216" s="241"/>
      <c r="Z216" s="241"/>
      <c r="AA216" s="241"/>
      <c r="AB216" s="241"/>
      <c r="AC216" s="241"/>
      <c r="AD216" s="241"/>
      <c r="AE216" s="241" t="s">
        <v>3146</v>
      </c>
      <c r="AF216" s="241"/>
      <c r="AG216" s="241"/>
      <c r="AH216" s="241"/>
      <c r="AI216" s="241"/>
      <c r="AJ216" s="241"/>
      <c r="AK216" s="241"/>
      <c r="AL216" s="241"/>
      <c r="AM216" s="241"/>
      <c r="AN216" s="241"/>
      <c r="AO216" s="241"/>
      <c r="AP216" s="241"/>
      <c r="AQ216" s="241"/>
      <c r="AR216" s="241"/>
      <c r="AS216" s="241"/>
      <c r="AT216" s="241" t="s">
        <v>3147</v>
      </c>
      <c r="AU216" s="241"/>
      <c r="AV216" s="241"/>
      <c r="AW216" s="241"/>
      <c r="AX216" s="241"/>
      <c r="AY216" s="241"/>
      <c r="AZ216" s="241"/>
      <c r="BA216" s="241"/>
      <c r="BB216" s="242"/>
      <c r="BC216" s="242"/>
      <c r="BD216" s="242"/>
      <c r="BE216" s="242"/>
      <c r="BF216" s="242"/>
      <c r="BG216" s="242"/>
      <c r="BH216" s="242"/>
      <c r="BI216" s="242"/>
    </row>
    <row r="217" spans="1:61" ht="18" customHeight="1">
      <c r="A217" s="241"/>
      <c r="B217" s="241"/>
      <c r="C217" s="241"/>
      <c r="D217" s="241"/>
      <c r="E217" s="241"/>
      <c r="F217" s="241"/>
      <c r="G217" s="241"/>
      <c r="H217" s="241" t="s">
        <v>2762</v>
      </c>
      <c r="I217" s="241"/>
      <c r="J217" s="241"/>
      <c r="K217" s="241"/>
      <c r="L217" s="241"/>
      <c r="M217" s="241"/>
      <c r="N217" s="241"/>
      <c r="O217" s="241"/>
      <c r="P217" s="241"/>
      <c r="Q217" s="241"/>
      <c r="R217" s="241"/>
      <c r="S217" s="241"/>
      <c r="T217" s="241"/>
      <c r="U217" s="241"/>
      <c r="V217" s="241"/>
      <c r="W217" s="241"/>
      <c r="X217" s="241"/>
      <c r="Y217" s="241"/>
      <c r="Z217" s="241"/>
      <c r="AA217" s="241"/>
      <c r="AB217" s="241"/>
      <c r="AC217" s="241"/>
      <c r="AD217" s="241"/>
      <c r="AE217" s="241" t="s">
        <v>3148</v>
      </c>
      <c r="AF217" s="241"/>
      <c r="AG217" s="241"/>
      <c r="AH217" s="241"/>
      <c r="AI217" s="241"/>
      <c r="AJ217" s="241"/>
      <c r="AK217" s="241"/>
      <c r="AL217" s="241"/>
      <c r="AM217" s="241"/>
      <c r="AN217" s="241"/>
      <c r="AO217" s="241"/>
      <c r="AP217" s="241"/>
      <c r="AQ217" s="241"/>
      <c r="AR217" s="241"/>
      <c r="AS217" s="241"/>
      <c r="AT217" s="241" t="s">
        <v>2450</v>
      </c>
      <c r="AU217" s="241"/>
      <c r="AV217" s="241"/>
      <c r="AW217" s="241"/>
      <c r="AX217" s="241"/>
      <c r="AY217" s="241"/>
      <c r="AZ217" s="241"/>
      <c r="BA217" s="241"/>
      <c r="BB217" s="242"/>
      <c r="BC217" s="242"/>
      <c r="BD217" s="242"/>
      <c r="BE217" s="242"/>
      <c r="BF217" s="242"/>
      <c r="BG217" s="242"/>
      <c r="BH217" s="242"/>
      <c r="BI217" s="242"/>
    </row>
    <row r="218" spans="1:61" ht="18" customHeight="1">
      <c r="A218" s="241"/>
      <c r="B218" s="241"/>
      <c r="C218" s="241"/>
      <c r="D218" s="241"/>
      <c r="E218" s="241"/>
      <c r="F218" s="241"/>
      <c r="G218" s="241"/>
      <c r="H218" s="241" t="s">
        <v>2766</v>
      </c>
      <c r="I218" s="241"/>
      <c r="J218" s="241"/>
      <c r="K218" s="241"/>
      <c r="L218" s="241"/>
      <c r="M218" s="241"/>
      <c r="N218" s="241"/>
      <c r="O218" s="241"/>
      <c r="P218" s="241"/>
      <c r="Q218" s="241"/>
      <c r="R218" s="241"/>
      <c r="S218" s="241"/>
      <c r="T218" s="241"/>
      <c r="U218" s="241"/>
      <c r="V218" s="241"/>
      <c r="W218" s="241"/>
      <c r="X218" s="241"/>
      <c r="Y218" s="241"/>
      <c r="Z218" s="241"/>
      <c r="AA218" s="241"/>
      <c r="AB218" s="241"/>
      <c r="AC218" s="241"/>
      <c r="AD218" s="241"/>
      <c r="AE218" s="241" t="s">
        <v>3149</v>
      </c>
      <c r="AF218" s="241"/>
      <c r="AG218" s="241"/>
      <c r="AH218" s="241"/>
      <c r="AI218" s="241"/>
      <c r="AJ218" s="241"/>
      <c r="AK218" s="241"/>
      <c r="AL218" s="241"/>
      <c r="AM218" s="241"/>
      <c r="AN218" s="241"/>
      <c r="AO218" s="241"/>
      <c r="AP218" s="241"/>
      <c r="AQ218" s="241"/>
      <c r="AR218" s="241"/>
      <c r="AS218" s="241"/>
      <c r="AT218" s="241" t="s">
        <v>3150</v>
      </c>
      <c r="AU218" s="241"/>
      <c r="AV218" s="241"/>
      <c r="AW218" s="241"/>
      <c r="AX218" s="241"/>
      <c r="AY218" s="241"/>
      <c r="AZ218" s="241"/>
      <c r="BA218" s="241"/>
      <c r="BB218" s="242"/>
      <c r="BC218" s="242"/>
      <c r="BD218" s="242"/>
      <c r="BE218" s="242"/>
      <c r="BF218" s="242"/>
      <c r="BG218" s="242"/>
      <c r="BH218" s="242"/>
      <c r="BI218" s="242"/>
    </row>
    <row r="219" spans="1:61" ht="18" customHeight="1">
      <c r="A219" s="112"/>
      <c r="B219" s="112"/>
      <c r="C219" s="112"/>
      <c r="D219" s="112"/>
      <c r="E219" s="112"/>
      <c r="F219" s="112"/>
      <c r="G219" s="112"/>
      <c r="H219" s="112" t="s">
        <v>2769</v>
      </c>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t="s">
        <v>3151</v>
      </c>
      <c r="AF219" s="112"/>
      <c r="AG219" s="112"/>
      <c r="AH219" s="112"/>
      <c r="AI219" s="112"/>
      <c r="AJ219" s="112"/>
      <c r="AK219" s="112"/>
      <c r="AL219" s="112"/>
      <c r="AM219" s="112"/>
      <c r="AN219" s="112"/>
      <c r="AO219" s="112"/>
      <c r="AP219" s="112"/>
      <c r="AQ219" s="112"/>
      <c r="AR219" s="112"/>
      <c r="AS219" s="112"/>
      <c r="AT219" s="112"/>
      <c r="AU219" s="112"/>
      <c r="AV219" s="112"/>
      <c r="AW219" s="112"/>
      <c r="AX219" s="112"/>
      <c r="AY219" s="112"/>
      <c r="AZ219" s="112"/>
      <c r="BA219" s="112"/>
      <c r="BB219" s="105"/>
      <c r="BC219" s="105"/>
      <c r="BD219" s="105"/>
      <c r="BE219" s="105"/>
      <c r="BF219" s="105"/>
      <c r="BG219" s="105"/>
      <c r="BH219" s="105"/>
      <c r="BI219" s="105"/>
    </row>
    <row r="220" spans="1:61" ht="18" customHeight="1">
      <c r="A220" s="112"/>
      <c r="B220" s="112"/>
      <c r="C220" s="112"/>
      <c r="D220" s="112"/>
      <c r="E220" s="112"/>
      <c r="F220" s="112"/>
      <c r="G220" s="112"/>
      <c r="H220" s="112" t="s">
        <v>2773</v>
      </c>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t="s">
        <v>3152</v>
      </c>
      <c r="AF220" s="112"/>
      <c r="AG220" s="112"/>
      <c r="AH220" s="112"/>
      <c r="AI220" s="112"/>
      <c r="AJ220" s="112"/>
      <c r="AK220" s="112"/>
      <c r="AL220" s="112"/>
      <c r="AM220" s="112"/>
      <c r="AN220" s="112"/>
      <c r="AO220" s="112"/>
      <c r="AP220" s="112"/>
      <c r="AQ220" s="112"/>
      <c r="AR220" s="112"/>
      <c r="AS220" s="112"/>
      <c r="AT220" s="112"/>
      <c r="AU220" s="112"/>
      <c r="AV220" s="112"/>
      <c r="AW220" s="112"/>
      <c r="AX220" s="112"/>
      <c r="AY220" s="112"/>
      <c r="AZ220" s="112"/>
      <c r="BA220" s="112"/>
      <c r="BB220" s="105"/>
      <c r="BC220" s="105"/>
      <c r="BD220" s="105"/>
      <c r="BE220" s="105"/>
      <c r="BF220" s="105"/>
      <c r="BG220" s="105"/>
      <c r="BH220" s="105"/>
      <c r="BI220" s="105"/>
    </row>
    <row r="221" spans="1:61" ht="18" customHeight="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t="s">
        <v>3153</v>
      </c>
      <c r="AF221" s="112"/>
      <c r="AG221" s="112"/>
      <c r="AH221" s="112"/>
      <c r="AI221" s="112"/>
      <c r="AJ221" s="112"/>
      <c r="AK221" s="112"/>
      <c r="AL221" s="112"/>
      <c r="AM221" s="112"/>
      <c r="AN221" s="112"/>
      <c r="AO221" s="112"/>
      <c r="AP221" s="112"/>
      <c r="AQ221" s="112"/>
      <c r="AR221" s="112"/>
      <c r="AS221" s="112"/>
      <c r="AT221" s="112"/>
      <c r="AU221" s="112"/>
      <c r="AV221" s="112"/>
      <c r="AW221" s="112"/>
      <c r="AX221" s="112"/>
      <c r="AY221" s="112"/>
      <c r="AZ221" s="112"/>
      <c r="BA221" s="112"/>
      <c r="BB221" s="105"/>
      <c r="BC221" s="105"/>
      <c r="BD221" s="105"/>
      <c r="BE221" s="105"/>
      <c r="BF221" s="105"/>
      <c r="BG221" s="105"/>
      <c r="BH221" s="105"/>
      <c r="BI221" s="105"/>
    </row>
    <row r="222" spans="1:61" ht="18" customHeight="1">
      <c r="A222" s="112"/>
      <c r="B222" s="112"/>
      <c r="C222" s="112"/>
      <c r="D222" s="112"/>
      <c r="E222" s="112"/>
      <c r="F222" s="112"/>
      <c r="G222" s="112"/>
      <c r="H222" s="112" t="s">
        <v>2699</v>
      </c>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t="s">
        <v>3154</v>
      </c>
      <c r="AF222" s="112"/>
      <c r="AG222" s="112"/>
      <c r="AH222" s="112"/>
      <c r="AI222" s="112"/>
      <c r="AJ222" s="112"/>
      <c r="AK222" s="112"/>
      <c r="AL222" s="112"/>
      <c r="AM222" s="112"/>
      <c r="AN222" s="112"/>
      <c r="AO222" s="112"/>
      <c r="AP222" s="112"/>
      <c r="AQ222" s="112"/>
      <c r="AR222" s="112"/>
      <c r="AS222" s="112"/>
      <c r="AT222" s="112"/>
      <c r="AU222" s="112"/>
      <c r="AV222" s="112"/>
      <c r="AW222" s="112"/>
      <c r="AX222" s="112"/>
      <c r="AY222" s="112"/>
      <c r="AZ222" s="112"/>
      <c r="BA222" s="112"/>
      <c r="BB222" s="105"/>
      <c r="BC222" s="105"/>
      <c r="BD222" s="105"/>
      <c r="BE222" s="105"/>
      <c r="BF222" s="105"/>
      <c r="BG222" s="105"/>
      <c r="BH222" s="105"/>
      <c r="BI222" s="105"/>
    </row>
    <row r="223" spans="1:61" ht="18" customHeight="1">
      <c r="A223" s="112"/>
      <c r="B223" s="112"/>
      <c r="C223" s="112"/>
      <c r="D223" s="112"/>
      <c r="E223" s="112"/>
      <c r="F223" s="112"/>
      <c r="G223" s="112"/>
      <c r="H223" s="112" t="s">
        <v>3155</v>
      </c>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t="s">
        <v>3156</v>
      </c>
      <c r="AF223" s="112"/>
      <c r="AG223" s="112"/>
      <c r="AH223" s="112"/>
      <c r="AI223" s="112"/>
      <c r="AJ223" s="112"/>
      <c r="AK223" s="112"/>
      <c r="AL223" s="112"/>
      <c r="AM223" s="112"/>
      <c r="AN223" s="112"/>
      <c r="AO223" s="112"/>
      <c r="AP223" s="112"/>
      <c r="AQ223" s="112"/>
      <c r="AR223" s="112"/>
      <c r="AS223" s="112"/>
      <c r="AT223" s="112"/>
      <c r="AU223" s="112"/>
      <c r="AV223" s="112"/>
      <c r="AW223" s="112"/>
      <c r="AX223" s="112"/>
      <c r="AY223" s="112"/>
      <c r="AZ223" s="112"/>
      <c r="BA223" s="112"/>
      <c r="BB223" s="105"/>
      <c r="BC223" s="105"/>
      <c r="BD223" s="105"/>
      <c r="BE223" s="105"/>
      <c r="BF223" s="105"/>
      <c r="BG223" s="105"/>
      <c r="BH223" s="105"/>
      <c r="BI223" s="105"/>
    </row>
    <row r="224" spans="1:61" ht="18" customHeight="1">
      <c r="A224" s="112"/>
      <c r="B224" s="112"/>
      <c r="C224" s="112"/>
      <c r="D224" s="112"/>
      <c r="E224" s="112"/>
      <c r="F224" s="112"/>
      <c r="G224" s="112"/>
      <c r="H224" s="112" t="s">
        <v>2750</v>
      </c>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t="s">
        <v>3157</v>
      </c>
      <c r="AF224" s="112"/>
      <c r="AG224" s="112"/>
      <c r="AH224" s="112"/>
      <c r="AI224" s="112"/>
      <c r="AJ224" s="112"/>
      <c r="AK224" s="112"/>
      <c r="AL224" s="112"/>
      <c r="AM224" s="112"/>
      <c r="AN224" s="112"/>
      <c r="AO224" s="112"/>
      <c r="AP224" s="112"/>
      <c r="AQ224" s="112"/>
      <c r="AR224" s="112"/>
      <c r="AS224" s="112"/>
      <c r="AT224" s="112"/>
      <c r="AU224" s="112"/>
      <c r="AV224" s="112"/>
      <c r="AW224" s="112"/>
      <c r="AX224" s="112"/>
      <c r="AY224" s="112"/>
      <c r="AZ224" s="112"/>
      <c r="BA224" s="112"/>
      <c r="BB224" s="105"/>
      <c r="BC224" s="105"/>
      <c r="BD224" s="105"/>
      <c r="BE224" s="105"/>
      <c r="BF224" s="105"/>
      <c r="BG224" s="105"/>
      <c r="BH224" s="105"/>
      <c r="BI224" s="105"/>
    </row>
    <row r="225" spans="1:61" ht="18" customHeight="1">
      <c r="A225" s="112"/>
      <c r="B225" s="112"/>
      <c r="C225" s="112"/>
      <c r="D225" s="112"/>
      <c r="E225" s="112"/>
      <c r="F225" s="112"/>
      <c r="G225" s="112"/>
      <c r="H225" s="112" t="s">
        <v>2753</v>
      </c>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t="s">
        <v>3158</v>
      </c>
      <c r="AF225" s="112"/>
      <c r="AG225" s="112"/>
      <c r="AH225" s="112"/>
      <c r="AI225" s="112"/>
      <c r="AJ225" s="112"/>
      <c r="AK225" s="112"/>
      <c r="AL225" s="112"/>
      <c r="AM225" s="112"/>
      <c r="AN225" s="112"/>
      <c r="AO225" s="112"/>
      <c r="AP225" s="112"/>
      <c r="AQ225" s="112"/>
      <c r="AR225" s="112"/>
      <c r="AS225" s="112"/>
      <c r="AT225" s="112"/>
      <c r="AU225" s="112"/>
      <c r="AV225" s="112"/>
      <c r="AW225" s="112"/>
      <c r="AX225" s="112"/>
      <c r="AY225" s="112"/>
      <c r="AZ225" s="112"/>
      <c r="BA225" s="112"/>
      <c r="BB225" s="105"/>
      <c r="BC225" s="105"/>
      <c r="BD225" s="105"/>
      <c r="BE225" s="105"/>
      <c r="BF225" s="105"/>
      <c r="BG225" s="105"/>
      <c r="BH225" s="105"/>
      <c r="BI225" s="105"/>
    </row>
    <row r="226" spans="1:61" ht="18" customHeight="1">
      <c r="A226" s="112"/>
      <c r="B226" s="112"/>
      <c r="C226" s="112"/>
      <c r="D226" s="112"/>
      <c r="E226" s="112"/>
      <c r="F226" s="112"/>
      <c r="G226" s="112"/>
      <c r="H226" s="112" t="s">
        <v>2757</v>
      </c>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t="s">
        <v>3159</v>
      </c>
      <c r="AF226" s="112"/>
      <c r="AG226" s="112"/>
      <c r="AH226" s="112"/>
      <c r="AI226" s="112"/>
      <c r="AJ226" s="112"/>
      <c r="AK226" s="112"/>
      <c r="AL226" s="112"/>
      <c r="AM226" s="112"/>
      <c r="AN226" s="112"/>
      <c r="AO226" s="112"/>
      <c r="AP226" s="112"/>
      <c r="AQ226" s="112"/>
      <c r="AR226" s="112"/>
      <c r="AS226" s="112"/>
      <c r="AT226" s="112"/>
      <c r="AU226" s="112"/>
      <c r="AV226" s="112"/>
      <c r="AW226" s="112"/>
      <c r="AX226" s="112"/>
      <c r="AY226" s="112"/>
      <c r="AZ226" s="112"/>
      <c r="BA226" s="112"/>
      <c r="BB226" s="105"/>
      <c r="BC226" s="105"/>
      <c r="BD226" s="105"/>
      <c r="BE226" s="105"/>
      <c r="BF226" s="105"/>
      <c r="BG226" s="105"/>
      <c r="BH226" s="105"/>
      <c r="BI226" s="105"/>
    </row>
    <row r="227" spans="1:61" ht="18" customHeight="1">
      <c r="A227" s="112"/>
      <c r="B227" s="112"/>
      <c r="C227" s="112"/>
      <c r="D227" s="112"/>
      <c r="E227" s="112"/>
      <c r="F227" s="112"/>
      <c r="G227" s="112"/>
      <c r="H227" s="112" t="s">
        <v>2762</v>
      </c>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t="s">
        <v>3160</v>
      </c>
      <c r="AF227" s="112"/>
      <c r="AG227" s="112"/>
      <c r="AH227" s="112"/>
      <c r="AI227" s="112"/>
      <c r="AJ227" s="112"/>
      <c r="AK227" s="112"/>
      <c r="AL227" s="112"/>
      <c r="AM227" s="112"/>
      <c r="AN227" s="112"/>
      <c r="AO227" s="112"/>
      <c r="AP227" s="112"/>
      <c r="AQ227" s="112"/>
      <c r="AR227" s="112"/>
      <c r="AS227" s="112"/>
      <c r="AT227" s="112"/>
      <c r="AU227" s="112"/>
      <c r="AV227" s="112"/>
      <c r="AW227" s="112"/>
      <c r="AX227" s="112"/>
      <c r="AY227" s="112"/>
      <c r="AZ227" s="112"/>
      <c r="BA227" s="112"/>
      <c r="BB227" s="105"/>
      <c r="BC227" s="105"/>
      <c r="BD227" s="105"/>
      <c r="BE227" s="105"/>
      <c r="BF227" s="105"/>
      <c r="BG227" s="105"/>
      <c r="BH227" s="105"/>
      <c r="BI227" s="105"/>
    </row>
    <row r="228" spans="1:61" ht="18" customHeight="1">
      <c r="A228" s="112"/>
      <c r="B228" s="112"/>
      <c r="C228" s="112"/>
      <c r="D228" s="112"/>
      <c r="E228" s="112"/>
      <c r="F228" s="112"/>
      <c r="G228" s="112"/>
      <c r="H228" s="112" t="s">
        <v>2766</v>
      </c>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t="s">
        <v>3161</v>
      </c>
      <c r="AF228" s="112"/>
      <c r="AG228" s="112"/>
      <c r="AH228" s="112"/>
      <c r="AI228" s="112"/>
      <c r="AJ228" s="112"/>
      <c r="AK228" s="112"/>
      <c r="AL228" s="112"/>
      <c r="AM228" s="112"/>
      <c r="AN228" s="112"/>
      <c r="AO228" s="112"/>
      <c r="AP228" s="112"/>
      <c r="AQ228" s="112"/>
      <c r="AR228" s="112"/>
      <c r="AS228" s="112"/>
      <c r="AT228" s="112"/>
      <c r="AU228" s="112"/>
      <c r="AV228" s="112"/>
      <c r="AW228" s="112"/>
      <c r="AX228" s="112"/>
      <c r="AY228" s="112"/>
      <c r="AZ228" s="112"/>
      <c r="BA228" s="112"/>
      <c r="BB228" s="105"/>
      <c r="BC228" s="105"/>
      <c r="BD228" s="105"/>
      <c r="BE228" s="105"/>
      <c r="BF228" s="105"/>
      <c r="BG228" s="105"/>
      <c r="BH228" s="105"/>
      <c r="BI228" s="105"/>
    </row>
    <row r="229" spans="1:61" ht="18" customHeight="1">
      <c r="A229" s="112"/>
      <c r="B229" s="112"/>
      <c r="C229" s="112"/>
      <c r="D229" s="112"/>
      <c r="E229" s="112"/>
      <c r="F229" s="112"/>
      <c r="G229" s="112"/>
      <c r="H229" s="112" t="s">
        <v>2769</v>
      </c>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t="s">
        <v>3162</v>
      </c>
      <c r="AF229" s="112"/>
      <c r="AG229" s="112"/>
      <c r="AH229" s="112"/>
      <c r="AI229" s="112"/>
      <c r="AJ229" s="112"/>
      <c r="AK229" s="112"/>
      <c r="AL229" s="112"/>
      <c r="AM229" s="112"/>
      <c r="AN229" s="112"/>
      <c r="AO229" s="112"/>
      <c r="AP229" s="112"/>
      <c r="AQ229" s="112"/>
      <c r="AR229" s="112"/>
      <c r="AS229" s="112"/>
      <c r="AT229" s="112"/>
      <c r="AU229" s="112"/>
      <c r="AV229" s="112"/>
      <c r="AW229" s="112"/>
      <c r="AX229" s="112"/>
      <c r="AY229" s="112"/>
      <c r="AZ229" s="112"/>
      <c r="BA229" s="112"/>
      <c r="BB229" s="105"/>
      <c r="BC229" s="105"/>
      <c r="BD229" s="105"/>
      <c r="BE229" s="105"/>
      <c r="BF229" s="105"/>
      <c r="BG229" s="105"/>
      <c r="BH229" s="105"/>
      <c r="BI229" s="105"/>
    </row>
    <row r="230" spans="1:61" ht="18" customHeight="1">
      <c r="A230" s="112"/>
      <c r="B230" s="112"/>
      <c r="C230" s="112"/>
      <c r="D230" s="112"/>
      <c r="E230" s="112"/>
      <c r="F230" s="112"/>
      <c r="G230" s="112"/>
      <c r="H230" s="112" t="s">
        <v>2773</v>
      </c>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t="s">
        <v>3163</v>
      </c>
      <c r="AF230" s="112"/>
      <c r="AG230" s="112"/>
      <c r="AH230" s="112"/>
      <c r="AI230" s="112"/>
      <c r="AJ230" s="112"/>
      <c r="AK230" s="112"/>
      <c r="AL230" s="112"/>
      <c r="AM230" s="112"/>
      <c r="AN230" s="112"/>
      <c r="AO230" s="112"/>
      <c r="AP230" s="112"/>
      <c r="AQ230" s="112"/>
      <c r="AR230" s="112"/>
      <c r="AS230" s="112"/>
      <c r="AT230" s="112"/>
      <c r="AU230" s="112"/>
      <c r="AV230" s="112"/>
      <c r="AW230" s="112"/>
      <c r="AX230" s="112"/>
      <c r="AY230" s="112"/>
      <c r="AZ230" s="112"/>
      <c r="BA230" s="112"/>
      <c r="BB230" s="105"/>
      <c r="BC230" s="105"/>
      <c r="BD230" s="105"/>
      <c r="BE230" s="105"/>
      <c r="BF230" s="105"/>
      <c r="BG230" s="105"/>
      <c r="BH230" s="105"/>
      <c r="BI230" s="105"/>
    </row>
    <row r="231" spans="1:61" ht="18" customHeight="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t="s">
        <v>3164</v>
      </c>
      <c r="AF231" s="112"/>
      <c r="AG231" s="112"/>
      <c r="AH231" s="112"/>
      <c r="AI231" s="112"/>
      <c r="AJ231" s="112"/>
      <c r="AK231" s="112"/>
      <c r="AL231" s="112"/>
      <c r="AM231" s="112"/>
      <c r="AN231" s="112"/>
      <c r="AO231" s="112"/>
      <c r="AP231" s="112"/>
      <c r="AQ231" s="112"/>
      <c r="AR231" s="112"/>
      <c r="AS231" s="112"/>
      <c r="AT231" s="112"/>
      <c r="AU231" s="112"/>
      <c r="AV231" s="112"/>
      <c r="AW231" s="112"/>
      <c r="AX231" s="112"/>
      <c r="AY231" s="112"/>
      <c r="AZ231" s="112"/>
      <c r="BA231" s="112"/>
      <c r="BB231" s="105"/>
      <c r="BC231" s="105"/>
      <c r="BD231" s="105"/>
      <c r="BE231" s="105"/>
      <c r="BF231" s="105"/>
      <c r="BG231" s="105"/>
      <c r="BH231" s="105"/>
      <c r="BI231" s="105"/>
    </row>
    <row r="232" spans="1:61" ht="18" customHeight="1">
      <c r="A232" s="112"/>
      <c r="B232" s="112"/>
      <c r="C232" s="112"/>
      <c r="D232" s="112"/>
      <c r="E232" s="112"/>
      <c r="F232" s="112"/>
      <c r="G232" s="112"/>
      <c r="H232" s="112" t="s">
        <v>2699</v>
      </c>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t="s">
        <v>3165</v>
      </c>
      <c r="AF232" s="112"/>
      <c r="AG232" s="112"/>
      <c r="AH232" s="112"/>
      <c r="AI232" s="112"/>
      <c r="AJ232" s="112"/>
      <c r="AK232" s="112"/>
      <c r="AL232" s="112"/>
      <c r="AM232" s="112"/>
      <c r="AN232" s="112"/>
      <c r="AO232" s="112"/>
      <c r="AP232" s="112"/>
      <c r="AQ232" s="112"/>
      <c r="AR232" s="112"/>
      <c r="AS232" s="112"/>
      <c r="AT232" s="112"/>
      <c r="AU232" s="112"/>
      <c r="AV232" s="112"/>
      <c r="AW232" s="112"/>
      <c r="AX232" s="112"/>
      <c r="AY232" s="112"/>
      <c r="AZ232" s="112"/>
      <c r="BA232" s="112"/>
      <c r="BB232" s="105"/>
      <c r="BC232" s="105"/>
      <c r="BD232" s="105"/>
      <c r="BE232" s="105"/>
      <c r="BF232" s="105"/>
      <c r="BG232" s="105"/>
      <c r="BH232" s="105"/>
      <c r="BI232" s="105"/>
    </row>
    <row r="233" spans="1:61" ht="18" customHeight="1">
      <c r="A233" s="112"/>
      <c r="B233" s="112"/>
      <c r="C233" s="112"/>
      <c r="D233" s="112"/>
      <c r="E233" s="112"/>
      <c r="F233" s="112"/>
      <c r="G233" s="112"/>
      <c r="H233" s="112" t="s">
        <v>3166</v>
      </c>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t="s">
        <v>3167</v>
      </c>
      <c r="AF233" s="112"/>
      <c r="AG233" s="112"/>
      <c r="AH233" s="112"/>
      <c r="AI233" s="112"/>
      <c r="AJ233" s="112"/>
      <c r="AK233" s="112"/>
      <c r="AL233" s="112"/>
      <c r="AM233" s="112"/>
      <c r="AN233" s="112"/>
      <c r="AO233" s="112"/>
      <c r="AP233" s="112"/>
      <c r="AQ233" s="112"/>
      <c r="AR233" s="112"/>
      <c r="AS233" s="112"/>
      <c r="AT233" s="112"/>
      <c r="AU233" s="112"/>
      <c r="AV233" s="112"/>
      <c r="AW233" s="112"/>
      <c r="AX233" s="112"/>
      <c r="AY233" s="112"/>
      <c r="AZ233" s="112"/>
      <c r="BA233" s="112"/>
      <c r="BB233" s="105"/>
      <c r="BC233" s="105"/>
      <c r="BD233" s="105"/>
      <c r="BE233" s="105"/>
      <c r="BF233" s="105"/>
      <c r="BG233" s="105"/>
      <c r="BH233" s="105"/>
      <c r="BI233" s="105"/>
    </row>
    <row r="234" spans="1:61" ht="18" customHeight="1">
      <c r="A234" s="112"/>
      <c r="B234" s="112"/>
      <c r="C234" s="112"/>
      <c r="D234" s="112"/>
      <c r="E234" s="112"/>
      <c r="F234" s="112"/>
      <c r="G234" s="112"/>
      <c r="H234" s="112" t="s">
        <v>2750</v>
      </c>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t="s">
        <v>3168</v>
      </c>
      <c r="AF234" s="112"/>
      <c r="AG234" s="112"/>
      <c r="AH234" s="112"/>
      <c r="AI234" s="112"/>
      <c r="AJ234" s="112"/>
      <c r="AK234" s="112"/>
      <c r="AL234" s="112"/>
      <c r="AM234" s="112"/>
      <c r="AN234" s="112"/>
      <c r="AO234" s="112"/>
      <c r="AP234" s="112"/>
      <c r="AQ234" s="112"/>
      <c r="AR234" s="112"/>
      <c r="AS234" s="112"/>
      <c r="AT234" s="112"/>
      <c r="AU234" s="112"/>
      <c r="AV234" s="112"/>
      <c r="AW234" s="112"/>
      <c r="AX234" s="112"/>
      <c r="AY234" s="112"/>
      <c r="AZ234" s="112"/>
      <c r="BA234" s="112"/>
      <c r="BB234" s="105"/>
      <c r="BC234" s="105"/>
      <c r="BD234" s="105"/>
      <c r="BE234" s="105"/>
      <c r="BF234" s="105"/>
      <c r="BG234" s="105"/>
      <c r="BH234" s="105"/>
      <c r="BI234" s="105"/>
    </row>
    <row r="235" spans="1:61" ht="18" customHeight="1">
      <c r="A235" s="112"/>
      <c r="B235" s="112"/>
      <c r="C235" s="112"/>
      <c r="D235" s="112"/>
      <c r="E235" s="112"/>
      <c r="F235" s="112"/>
      <c r="G235" s="112"/>
      <c r="H235" s="112" t="s">
        <v>2753</v>
      </c>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t="s">
        <v>3169</v>
      </c>
      <c r="AF235" s="112"/>
      <c r="AG235" s="112"/>
      <c r="AH235" s="112"/>
      <c r="AI235" s="112"/>
      <c r="AJ235" s="112"/>
      <c r="AK235" s="112"/>
      <c r="AL235" s="112"/>
      <c r="AM235" s="112"/>
      <c r="AN235" s="112"/>
      <c r="AO235" s="112"/>
      <c r="AP235" s="112"/>
      <c r="AQ235" s="112"/>
      <c r="AR235" s="112"/>
      <c r="AS235" s="112"/>
      <c r="AT235" s="112"/>
      <c r="AU235" s="112"/>
      <c r="AV235" s="112"/>
      <c r="AW235" s="112"/>
      <c r="AX235" s="112"/>
      <c r="AY235" s="112"/>
      <c r="AZ235" s="112"/>
      <c r="BA235" s="112"/>
      <c r="BB235" s="105"/>
      <c r="BC235" s="105"/>
      <c r="BD235" s="105"/>
      <c r="BE235" s="105"/>
      <c r="BF235" s="105"/>
      <c r="BG235" s="105"/>
      <c r="BH235" s="105"/>
      <c r="BI235" s="105"/>
    </row>
    <row r="236" spans="1:61" ht="18" customHeight="1">
      <c r="A236" s="112"/>
      <c r="B236" s="112"/>
      <c r="C236" s="112"/>
      <c r="D236" s="112"/>
      <c r="E236" s="112"/>
      <c r="F236" s="112"/>
      <c r="G236" s="112"/>
      <c r="H236" s="112" t="s">
        <v>2757</v>
      </c>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t="s">
        <v>3170</v>
      </c>
      <c r="AF236" s="112"/>
      <c r="AG236" s="112"/>
      <c r="AH236" s="112"/>
      <c r="AI236" s="112"/>
      <c r="AJ236" s="112"/>
      <c r="AK236" s="112"/>
      <c r="AL236" s="112"/>
      <c r="AM236" s="112"/>
      <c r="AN236" s="112"/>
      <c r="AO236" s="112"/>
      <c r="AP236" s="112"/>
      <c r="AQ236" s="112"/>
      <c r="AR236" s="112"/>
      <c r="AS236" s="112"/>
      <c r="AT236" s="112"/>
      <c r="AU236" s="112"/>
      <c r="AV236" s="112"/>
      <c r="AW236" s="112"/>
      <c r="AX236" s="112"/>
      <c r="AY236" s="112"/>
      <c r="AZ236" s="112"/>
      <c r="BA236" s="112"/>
      <c r="BB236" s="105"/>
      <c r="BC236" s="105"/>
      <c r="BD236" s="105"/>
      <c r="BE236" s="105"/>
      <c r="BF236" s="105"/>
      <c r="BG236" s="105"/>
      <c r="BH236" s="105"/>
      <c r="BI236" s="105"/>
    </row>
    <row r="237" spans="1:61" ht="18" customHeight="1">
      <c r="A237" s="112"/>
      <c r="B237" s="112"/>
      <c r="C237" s="112"/>
      <c r="D237" s="112"/>
      <c r="E237" s="112"/>
      <c r="F237" s="112"/>
      <c r="G237" s="112"/>
      <c r="H237" s="112" t="s">
        <v>2762</v>
      </c>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t="s">
        <v>3171</v>
      </c>
      <c r="AF237" s="112"/>
      <c r="AG237" s="112"/>
      <c r="AH237" s="112"/>
      <c r="AI237" s="112"/>
      <c r="AJ237" s="112"/>
      <c r="AK237" s="112"/>
      <c r="AL237" s="112"/>
      <c r="AM237" s="112"/>
      <c r="AN237" s="112"/>
      <c r="AO237" s="112"/>
      <c r="AP237" s="112"/>
      <c r="AQ237" s="112"/>
      <c r="AR237" s="112"/>
      <c r="AS237" s="112"/>
      <c r="AT237" s="112"/>
      <c r="AU237" s="112"/>
      <c r="AV237" s="112"/>
      <c r="AW237" s="112"/>
      <c r="AX237" s="112"/>
      <c r="AY237" s="112"/>
      <c r="AZ237" s="112"/>
      <c r="BA237" s="112"/>
      <c r="BB237" s="105"/>
      <c r="BC237" s="105"/>
      <c r="BD237" s="105"/>
      <c r="BE237" s="105"/>
      <c r="BF237" s="105"/>
      <c r="BG237" s="105"/>
      <c r="BH237" s="105"/>
      <c r="BI237" s="105"/>
    </row>
    <row r="238" spans="1:61" ht="18" customHeight="1">
      <c r="A238" s="112"/>
      <c r="B238" s="112"/>
      <c r="C238" s="112"/>
      <c r="D238" s="112"/>
      <c r="E238" s="112"/>
      <c r="F238" s="112"/>
      <c r="G238" s="112"/>
      <c r="H238" s="112" t="s">
        <v>2766</v>
      </c>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t="s">
        <v>3172</v>
      </c>
      <c r="AF238" s="112"/>
      <c r="AG238" s="112"/>
      <c r="AH238" s="112"/>
      <c r="AI238" s="112"/>
      <c r="AJ238" s="112"/>
      <c r="AK238" s="112"/>
      <c r="AL238" s="112"/>
      <c r="AM238" s="112"/>
      <c r="AN238" s="112"/>
      <c r="AO238" s="112"/>
      <c r="AP238" s="112"/>
      <c r="AQ238" s="112"/>
      <c r="AR238" s="112"/>
      <c r="AS238" s="112"/>
      <c r="AT238" s="112"/>
      <c r="AU238" s="112"/>
      <c r="AV238" s="112"/>
      <c r="AW238" s="112"/>
      <c r="AX238" s="112"/>
      <c r="AY238" s="112"/>
      <c r="AZ238" s="112"/>
      <c r="BA238" s="112"/>
      <c r="BB238" s="105"/>
      <c r="BC238" s="105"/>
      <c r="BD238" s="105"/>
      <c r="BE238" s="105"/>
      <c r="BF238" s="105"/>
      <c r="BG238" s="105"/>
      <c r="BH238" s="105"/>
      <c r="BI238" s="105"/>
    </row>
    <row r="239" spans="1:61" ht="18" customHeight="1">
      <c r="A239" s="112"/>
      <c r="B239" s="112"/>
      <c r="C239" s="112"/>
      <c r="D239" s="112"/>
      <c r="E239" s="112"/>
      <c r="F239" s="112"/>
      <c r="G239" s="112"/>
      <c r="H239" s="112" t="s">
        <v>2769</v>
      </c>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t="s">
        <v>3173</v>
      </c>
      <c r="AF239" s="112"/>
      <c r="AG239" s="112"/>
      <c r="AH239" s="112"/>
      <c r="AI239" s="112"/>
      <c r="AJ239" s="112"/>
      <c r="AK239" s="112"/>
      <c r="AL239" s="112"/>
      <c r="AM239" s="112"/>
      <c r="AN239" s="112"/>
      <c r="AO239" s="112"/>
      <c r="AP239" s="112"/>
      <c r="AQ239" s="112"/>
      <c r="AR239" s="112"/>
      <c r="AS239" s="112"/>
      <c r="AT239" s="112"/>
      <c r="AU239" s="112"/>
      <c r="AV239" s="112"/>
      <c r="AW239" s="112"/>
      <c r="AX239" s="112"/>
      <c r="AY239" s="112"/>
      <c r="AZ239" s="112"/>
      <c r="BA239" s="112"/>
      <c r="BB239" s="105"/>
      <c r="BC239" s="105"/>
      <c r="BD239" s="105"/>
      <c r="BE239" s="105"/>
      <c r="BF239" s="105"/>
      <c r="BG239" s="105"/>
      <c r="BH239" s="105"/>
      <c r="BI239" s="105"/>
    </row>
    <row r="240" spans="1:61" ht="18" customHeight="1">
      <c r="A240" s="112"/>
      <c r="B240" s="112"/>
      <c r="C240" s="112"/>
      <c r="D240" s="112"/>
      <c r="E240" s="112"/>
      <c r="F240" s="112"/>
      <c r="G240" s="112"/>
      <c r="H240" s="112" t="s">
        <v>2773</v>
      </c>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t="s">
        <v>3174</v>
      </c>
      <c r="AF240" s="112"/>
      <c r="AG240" s="112"/>
      <c r="AH240" s="112"/>
      <c r="AI240" s="112"/>
      <c r="AJ240" s="112"/>
      <c r="AK240" s="112"/>
      <c r="AL240" s="112"/>
      <c r="AM240" s="112"/>
      <c r="AN240" s="112"/>
      <c r="AO240" s="112"/>
      <c r="AP240" s="112"/>
      <c r="AQ240" s="112"/>
      <c r="AR240" s="112"/>
      <c r="AS240" s="112"/>
      <c r="AT240" s="112"/>
      <c r="AU240" s="112"/>
      <c r="AV240" s="112"/>
      <c r="AW240" s="112"/>
      <c r="AX240" s="112"/>
      <c r="AY240" s="112"/>
      <c r="AZ240" s="112"/>
      <c r="BA240" s="112"/>
      <c r="BB240" s="105"/>
      <c r="BC240" s="105"/>
      <c r="BD240" s="105"/>
      <c r="BE240" s="105"/>
      <c r="BF240" s="105"/>
      <c r="BG240" s="105"/>
      <c r="BH240" s="105"/>
      <c r="BI240" s="105"/>
    </row>
    <row r="241" spans="1:61" ht="18" customHeight="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t="s">
        <v>3175</v>
      </c>
      <c r="AF241" s="112"/>
      <c r="AG241" s="112"/>
      <c r="AH241" s="112"/>
      <c r="AI241" s="112"/>
      <c r="AJ241" s="112"/>
      <c r="AK241" s="112"/>
      <c r="AL241" s="112"/>
      <c r="AM241" s="112"/>
      <c r="AN241" s="112"/>
      <c r="AO241" s="112"/>
      <c r="AP241" s="112"/>
      <c r="AQ241" s="112"/>
      <c r="AR241" s="112"/>
      <c r="AS241" s="112"/>
      <c r="AT241" s="112"/>
      <c r="AU241" s="112"/>
      <c r="AV241" s="112"/>
      <c r="AW241" s="112"/>
      <c r="AX241" s="112"/>
      <c r="AY241" s="112"/>
      <c r="AZ241" s="112"/>
      <c r="BA241" s="112"/>
      <c r="BB241" s="105"/>
      <c r="BC241" s="105"/>
      <c r="BD241" s="105"/>
      <c r="BE241" s="105"/>
      <c r="BF241" s="105"/>
      <c r="BG241" s="105"/>
      <c r="BH241" s="105"/>
      <c r="BI241" s="105"/>
    </row>
    <row r="242" spans="1:61" ht="18" customHeight="1">
      <c r="A242" s="112"/>
      <c r="B242" s="112"/>
      <c r="C242" s="112"/>
      <c r="D242" s="112"/>
      <c r="E242" s="112"/>
      <c r="F242" s="112"/>
      <c r="G242" s="112"/>
      <c r="H242" s="112" t="s">
        <v>2699</v>
      </c>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t="s">
        <v>3176</v>
      </c>
      <c r="AF242" s="112"/>
      <c r="AG242" s="112"/>
      <c r="AH242" s="112"/>
      <c r="AI242" s="112"/>
      <c r="AJ242" s="112"/>
      <c r="AK242" s="112"/>
      <c r="AL242" s="112"/>
      <c r="AM242" s="112"/>
      <c r="AN242" s="112"/>
      <c r="AO242" s="112"/>
      <c r="AP242" s="112"/>
      <c r="AQ242" s="112"/>
      <c r="AR242" s="112"/>
      <c r="AS242" s="112"/>
      <c r="AT242" s="112"/>
      <c r="AU242" s="112"/>
      <c r="AV242" s="112"/>
      <c r="AW242" s="112"/>
      <c r="AX242" s="112"/>
      <c r="AY242" s="112"/>
      <c r="AZ242" s="112"/>
      <c r="BA242" s="112"/>
      <c r="BB242" s="105"/>
      <c r="BC242" s="105"/>
      <c r="BD242" s="105"/>
      <c r="BE242" s="105"/>
      <c r="BF242" s="105"/>
      <c r="BG242" s="105"/>
      <c r="BH242" s="105"/>
      <c r="BI242" s="105"/>
    </row>
    <row r="243" spans="1:61" ht="18" customHeight="1">
      <c r="A243" s="112"/>
      <c r="B243" s="112"/>
      <c r="C243" s="112"/>
      <c r="D243" s="112"/>
      <c r="E243" s="112"/>
      <c r="F243" s="112"/>
      <c r="G243" s="112"/>
      <c r="H243" s="112" t="s">
        <v>3177</v>
      </c>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t="s">
        <v>3178</v>
      </c>
      <c r="AF243" s="112"/>
      <c r="AG243" s="112"/>
      <c r="AH243" s="112"/>
      <c r="AI243" s="112"/>
      <c r="AJ243" s="112"/>
      <c r="AK243" s="112"/>
      <c r="AL243" s="112"/>
      <c r="AM243" s="112"/>
      <c r="AN243" s="112"/>
      <c r="AO243" s="112"/>
      <c r="AP243" s="112"/>
      <c r="AQ243" s="112"/>
      <c r="AR243" s="112"/>
      <c r="AS243" s="112"/>
      <c r="AT243" s="112"/>
      <c r="AU243" s="112"/>
      <c r="AV243" s="112"/>
      <c r="AW243" s="112"/>
      <c r="AX243" s="112"/>
      <c r="AY243" s="112"/>
      <c r="AZ243" s="112"/>
      <c r="BA243" s="112"/>
      <c r="BB243" s="105"/>
      <c r="BC243" s="105"/>
      <c r="BD243" s="105"/>
      <c r="BE243" s="105"/>
      <c r="BF243" s="105"/>
      <c r="BG243" s="105"/>
      <c r="BH243" s="105"/>
      <c r="BI243" s="105"/>
    </row>
    <row r="244" spans="1:61" ht="18" customHeight="1">
      <c r="A244" s="112"/>
      <c r="B244" s="112"/>
      <c r="C244" s="112"/>
      <c r="D244" s="112"/>
      <c r="E244" s="112"/>
      <c r="F244" s="112"/>
      <c r="G244" s="112"/>
      <c r="H244" s="112" t="s">
        <v>2750</v>
      </c>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t="s">
        <v>3179</v>
      </c>
      <c r="AF244" s="112"/>
      <c r="AG244" s="112"/>
      <c r="AH244" s="112"/>
      <c r="AI244" s="112"/>
      <c r="AJ244" s="112"/>
      <c r="AK244" s="112"/>
      <c r="AL244" s="112"/>
      <c r="AM244" s="112"/>
      <c r="AN244" s="112"/>
      <c r="AO244" s="112"/>
      <c r="AP244" s="112"/>
      <c r="AQ244" s="112"/>
      <c r="AR244" s="112"/>
      <c r="AS244" s="112"/>
      <c r="AT244" s="112"/>
      <c r="AU244" s="112"/>
      <c r="AV244" s="112"/>
      <c r="AW244" s="112"/>
      <c r="AX244" s="112"/>
      <c r="AY244" s="112"/>
      <c r="AZ244" s="112"/>
      <c r="BA244" s="112"/>
      <c r="BB244" s="105"/>
      <c r="BC244" s="105"/>
      <c r="BD244" s="105"/>
      <c r="BE244" s="105"/>
      <c r="BF244" s="105"/>
      <c r="BG244" s="105"/>
      <c r="BH244" s="105"/>
      <c r="BI244" s="105"/>
    </row>
    <row r="245" spans="1:61" ht="18" customHeight="1">
      <c r="A245" s="112"/>
      <c r="B245" s="112"/>
      <c r="C245" s="112"/>
      <c r="D245" s="112"/>
      <c r="E245" s="112"/>
      <c r="F245" s="112"/>
      <c r="G245" s="112"/>
      <c r="H245" s="112" t="s">
        <v>2753</v>
      </c>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t="s">
        <v>3180</v>
      </c>
      <c r="AF245" s="112"/>
      <c r="AG245" s="112"/>
      <c r="AH245" s="112"/>
      <c r="AI245" s="112"/>
      <c r="AJ245" s="112"/>
      <c r="AK245" s="112"/>
      <c r="AL245" s="112"/>
      <c r="AM245" s="112"/>
      <c r="AN245" s="112"/>
      <c r="AO245" s="112"/>
      <c r="AP245" s="112"/>
      <c r="AQ245" s="112"/>
      <c r="AR245" s="112"/>
      <c r="AS245" s="112"/>
      <c r="AT245" s="112"/>
      <c r="AU245" s="112"/>
      <c r="AV245" s="112"/>
      <c r="AW245" s="112"/>
      <c r="AX245" s="112"/>
      <c r="AY245" s="112"/>
      <c r="AZ245" s="112"/>
      <c r="BA245" s="112"/>
      <c r="BB245" s="105"/>
      <c r="BC245" s="105"/>
      <c r="BD245" s="105"/>
      <c r="BE245" s="105"/>
      <c r="BF245" s="105"/>
      <c r="BG245" s="105"/>
      <c r="BH245" s="105"/>
      <c r="BI245" s="105"/>
    </row>
    <row r="246" spans="1:61" ht="18" customHeight="1">
      <c r="A246" s="112"/>
      <c r="B246" s="112"/>
      <c r="C246" s="112"/>
      <c r="D246" s="112"/>
      <c r="E246" s="112"/>
      <c r="F246" s="112"/>
      <c r="G246" s="112"/>
      <c r="H246" s="112" t="s">
        <v>2757</v>
      </c>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t="s">
        <v>3181</v>
      </c>
      <c r="AF246" s="112"/>
      <c r="AG246" s="112"/>
      <c r="AH246" s="112"/>
      <c r="AI246" s="112"/>
      <c r="AJ246" s="112"/>
      <c r="AK246" s="112"/>
      <c r="AL246" s="112"/>
      <c r="AM246" s="112"/>
      <c r="AN246" s="112"/>
      <c r="AO246" s="112"/>
      <c r="AP246" s="112"/>
      <c r="AQ246" s="112"/>
      <c r="AR246" s="112"/>
      <c r="AS246" s="112"/>
      <c r="AT246" s="112"/>
      <c r="AU246" s="112"/>
      <c r="AV246" s="112"/>
      <c r="AW246" s="112"/>
      <c r="AX246" s="112"/>
      <c r="AY246" s="112"/>
      <c r="AZ246" s="112"/>
      <c r="BA246" s="112"/>
      <c r="BB246" s="105"/>
      <c r="BC246" s="105"/>
      <c r="BD246" s="105"/>
      <c r="BE246" s="105"/>
      <c r="BF246" s="105"/>
      <c r="BG246" s="105"/>
      <c r="BH246" s="105"/>
      <c r="BI246" s="105"/>
    </row>
    <row r="247" spans="1:61" ht="18" customHeight="1">
      <c r="A247" s="112"/>
      <c r="B247" s="112"/>
      <c r="C247" s="112"/>
      <c r="D247" s="112"/>
      <c r="E247" s="112"/>
      <c r="F247" s="112"/>
      <c r="G247" s="112"/>
      <c r="H247" s="112" t="s">
        <v>2762</v>
      </c>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t="s">
        <v>3182</v>
      </c>
      <c r="AF247" s="112"/>
      <c r="AG247" s="112"/>
      <c r="AH247" s="112"/>
      <c r="AI247" s="112"/>
      <c r="AJ247" s="112"/>
      <c r="AK247" s="112"/>
      <c r="AL247" s="112"/>
      <c r="AM247" s="112"/>
      <c r="AN247" s="112"/>
      <c r="AO247" s="112"/>
      <c r="AP247" s="112"/>
      <c r="AQ247" s="112"/>
      <c r="AR247" s="112"/>
      <c r="AS247" s="112"/>
      <c r="AT247" s="112"/>
      <c r="AU247" s="112"/>
      <c r="AV247" s="112"/>
      <c r="AW247" s="112"/>
      <c r="AX247" s="112"/>
      <c r="AY247" s="112"/>
      <c r="AZ247" s="112"/>
      <c r="BA247" s="112"/>
      <c r="BB247" s="105"/>
      <c r="BC247" s="105"/>
      <c r="BD247" s="105"/>
      <c r="BE247" s="105"/>
      <c r="BF247" s="105"/>
      <c r="BG247" s="105"/>
      <c r="BH247" s="105"/>
      <c r="BI247" s="105"/>
    </row>
    <row r="248" spans="1:61" ht="18" customHeight="1">
      <c r="A248" s="112"/>
      <c r="B248" s="112"/>
      <c r="C248" s="112"/>
      <c r="D248" s="112"/>
      <c r="E248" s="112"/>
      <c r="F248" s="112"/>
      <c r="G248" s="112"/>
      <c r="H248" s="112" t="s">
        <v>2766</v>
      </c>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t="s">
        <v>3183</v>
      </c>
      <c r="AF248" s="112"/>
      <c r="AG248" s="112"/>
      <c r="AH248" s="112"/>
      <c r="AI248" s="112"/>
      <c r="AJ248" s="112"/>
      <c r="AK248" s="112"/>
      <c r="AL248" s="112"/>
      <c r="AM248" s="112"/>
      <c r="AN248" s="112"/>
      <c r="AO248" s="112"/>
      <c r="AP248" s="112"/>
      <c r="AQ248" s="112"/>
      <c r="AR248" s="112"/>
      <c r="AS248" s="112"/>
      <c r="AT248" s="112"/>
      <c r="AU248" s="112"/>
      <c r="AV248" s="112"/>
      <c r="AW248" s="112"/>
      <c r="AX248" s="112"/>
      <c r="AY248" s="112"/>
      <c r="AZ248" s="112"/>
      <c r="BA248" s="112"/>
      <c r="BB248" s="105"/>
      <c r="BC248" s="105"/>
      <c r="BD248" s="105"/>
      <c r="BE248" s="105"/>
      <c r="BF248" s="105"/>
      <c r="BG248" s="105"/>
      <c r="BH248" s="105"/>
      <c r="BI248" s="105"/>
    </row>
    <row r="249" spans="1:61" ht="18" customHeight="1">
      <c r="A249" s="112"/>
      <c r="B249" s="112"/>
      <c r="C249" s="112"/>
      <c r="D249" s="112"/>
      <c r="E249" s="112"/>
      <c r="F249" s="112"/>
      <c r="G249" s="112"/>
      <c r="H249" s="112" t="s">
        <v>2769</v>
      </c>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t="s">
        <v>3184</v>
      </c>
      <c r="AF249" s="112"/>
      <c r="AG249" s="112"/>
      <c r="AH249" s="112"/>
      <c r="AI249" s="112"/>
      <c r="AJ249" s="112"/>
      <c r="AK249" s="112"/>
      <c r="AL249" s="112"/>
      <c r="AM249" s="112"/>
      <c r="AN249" s="112"/>
      <c r="AO249" s="112"/>
      <c r="AP249" s="112"/>
      <c r="AQ249" s="112"/>
      <c r="AR249" s="112"/>
      <c r="AS249" s="112"/>
      <c r="AT249" s="112"/>
      <c r="AU249" s="112"/>
      <c r="AV249" s="112"/>
      <c r="AW249" s="112"/>
      <c r="AX249" s="112"/>
      <c r="AY249" s="112"/>
      <c r="AZ249" s="112"/>
      <c r="BA249" s="112"/>
      <c r="BB249" s="105"/>
      <c r="BC249" s="105"/>
      <c r="BD249" s="105"/>
      <c r="BE249" s="105"/>
      <c r="BF249" s="105"/>
      <c r="BG249" s="105"/>
      <c r="BH249" s="105"/>
      <c r="BI249" s="105"/>
    </row>
    <row r="250" spans="1:61" ht="18" customHeight="1">
      <c r="A250" s="112"/>
      <c r="B250" s="112"/>
      <c r="C250" s="112"/>
      <c r="D250" s="112"/>
      <c r="E250" s="112"/>
      <c r="F250" s="112"/>
      <c r="G250" s="112"/>
      <c r="H250" s="112" t="s">
        <v>2773</v>
      </c>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t="s">
        <v>3185</v>
      </c>
      <c r="AF250" s="112"/>
      <c r="AG250" s="112"/>
      <c r="AH250" s="112"/>
      <c r="AI250" s="112"/>
      <c r="AJ250" s="112"/>
      <c r="AK250" s="112"/>
      <c r="AL250" s="112"/>
      <c r="AM250" s="112"/>
      <c r="AN250" s="112"/>
      <c r="AO250" s="112"/>
      <c r="AP250" s="112"/>
      <c r="AQ250" s="112"/>
      <c r="AR250" s="112"/>
      <c r="AS250" s="112"/>
      <c r="AT250" s="112"/>
      <c r="AU250" s="112"/>
      <c r="AV250" s="112"/>
      <c r="AW250" s="112"/>
      <c r="AX250" s="112"/>
      <c r="AY250" s="112"/>
      <c r="AZ250" s="112"/>
      <c r="BA250" s="112"/>
      <c r="BB250" s="105"/>
      <c r="BC250" s="105"/>
      <c r="BD250" s="105"/>
      <c r="BE250" s="105"/>
      <c r="BF250" s="105"/>
      <c r="BG250" s="105"/>
      <c r="BH250" s="105"/>
      <c r="BI250" s="105"/>
    </row>
    <row r="251" spans="1:61" ht="18" customHeight="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t="s">
        <v>3186</v>
      </c>
      <c r="AF251" s="112"/>
      <c r="AG251" s="112"/>
      <c r="AH251" s="112"/>
      <c r="AI251" s="112"/>
      <c r="AJ251" s="112"/>
      <c r="AK251" s="112"/>
      <c r="AL251" s="112"/>
      <c r="AM251" s="112"/>
      <c r="AN251" s="112"/>
      <c r="AO251" s="112"/>
      <c r="AP251" s="112"/>
      <c r="AQ251" s="112"/>
      <c r="AR251" s="112"/>
      <c r="AS251" s="112"/>
      <c r="AT251" s="112"/>
      <c r="AU251" s="112"/>
      <c r="AV251" s="112"/>
      <c r="AW251" s="112"/>
      <c r="AX251" s="112"/>
      <c r="AY251" s="112"/>
      <c r="AZ251" s="112"/>
      <c r="BA251" s="112"/>
      <c r="BB251" s="105"/>
      <c r="BC251" s="105"/>
      <c r="BD251" s="105"/>
      <c r="BE251" s="105"/>
      <c r="BF251" s="105"/>
      <c r="BG251" s="105"/>
      <c r="BH251" s="105"/>
      <c r="BI251" s="105"/>
    </row>
    <row r="252" spans="1:61" ht="18" customHeight="1">
      <c r="A252" s="112"/>
      <c r="B252" s="112"/>
      <c r="C252" s="112"/>
      <c r="D252" s="112"/>
      <c r="E252" s="112"/>
      <c r="F252" s="112"/>
      <c r="G252" s="112"/>
      <c r="H252" s="112" t="s">
        <v>2699</v>
      </c>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t="s">
        <v>3187</v>
      </c>
      <c r="AF252" s="112"/>
      <c r="AG252" s="112"/>
      <c r="AH252" s="112"/>
      <c r="AI252" s="112"/>
      <c r="AJ252" s="112"/>
      <c r="AK252" s="112"/>
      <c r="AL252" s="112"/>
      <c r="AM252" s="112"/>
      <c r="AN252" s="112"/>
      <c r="AO252" s="112"/>
      <c r="AP252" s="112"/>
      <c r="AQ252" s="112"/>
      <c r="AR252" s="112"/>
      <c r="AS252" s="112"/>
      <c r="AT252" s="112"/>
      <c r="AU252" s="112"/>
      <c r="AV252" s="112"/>
      <c r="AW252" s="112"/>
      <c r="AX252" s="112"/>
      <c r="AY252" s="112"/>
      <c r="AZ252" s="112"/>
      <c r="BA252" s="112"/>
      <c r="BB252" s="105"/>
      <c r="BC252" s="105"/>
      <c r="BD252" s="105"/>
      <c r="BE252" s="105"/>
      <c r="BF252" s="105"/>
      <c r="BG252" s="105"/>
      <c r="BH252" s="105"/>
      <c r="BI252" s="105"/>
    </row>
    <row r="253" spans="1:61" ht="18" customHeight="1">
      <c r="A253" s="112"/>
      <c r="B253" s="112"/>
      <c r="C253" s="112"/>
      <c r="D253" s="112"/>
      <c r="E253" s="112"/>
      <c r="F253" s="112"/>
      <c r="G253" s="112"/>
      <c r="H253" s="112" t="s">
        <v>3188</v>
      </c>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t="s">
        <v>3189</v>
      </c>
      <c r="AF253" s="112"/>
      <c r="AG253" s="112"/>
      <c r="AH253" s="112"/>
      <c r="AI253" s="112"/>
      <c r="AJ253" s="112"/>
      <c r="AK253" s="112"/>
      <c r="AL253" s="112"/>
      <c r="AM253" s="112"/>
      <c r="AN253" s="112"/>
      <c r="AO253" s="112"/>
      <c r="AP253" s="112"/>
      <c r="AQ253" s="112"/>
      <c r="AR253" s="112"/>
      <c r="AS253" s="112"/>
      <c r="AT253" s="112"/>
      <c r="AU253" s="112"/>
      <c r="AV253" s="112"/>
      <c r="AW253" s="112"/>
      <c r="AX253" s="112"/>
      <c r="AY253" s="112"/>
      <c r="AZ253" s="112"/>
      <c r="BA253" s="112"/>
      <c r="BB253" s="105"/>
      <c r="BC253" s="105"/>
      <c r="BD253" s="105"/>
      <c r="BE253" s="105"/>
      <c r="BF253" s="105"/>
      <c r="BG253" s="105"/>
      <c r="BH253" s="105"/>
      <c r="BI253" s="105"/>
    </row>
    <row r="254" spans="1:61" ht="18" customHeight="1">
      <c r="A254" s="112"/>
      <c r="B254" s="112"/>
      <c r="C254" s="112"/>
      <c r="D254" s="112"/>
      <c r="E254" s="112"/>
      <c r="F254" s="112"/>
      <c r="G254" s="112"/>
      <c r="H254" s="112" t="s">
        <v>2750</v>
      </c>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t="s">
        <v>3190</v>
      </c>
      <c r="AF254" s="112"/>
      <c r="AG254" s="112"/>
      <c r="AH254" s="112"/>
      <c r="AI254" s="112"/>
      <c r="AJ254" s="112"/>
      <c r="AK254" s="112"/>
      <c r="AL254" s="112"/>
      <c r="AM254" s="112"/>
      <c r="AN254" s="112"/>
      <c r="AO254" s="112"/>
      <c r="AP254" s="112"/>
      <c r="AQ254" s="112"/>
      <c r="AR254" s="112"/>
      <c r="AS254" s="112"/>
      <c r="AT254" s="112"/>
      <c r="AU254" s="112"/>
      <c r="AV254" s="112"/>
      <c r="AW254" s="112"/>
      <c r="AX254" s="112"/>
      <c r="AY254" s="112"/>
      <c r="AZ254" s="112"/>
      <c r="BA254" s="112"/>
      <c r="BB254" s="105"/>
      <c r="BC254" s="105"/>
      <c r="BD254" s="105"/>
      <c r="BE254" s="105"/>
      <c r="BF254" s="105"/>
      <c r="BG254" s="105"/>
      <c r="BH254" s="105"/>
      <c r="BI254" s="105"/>
    </row>
    <row r="255" spans="1:61" ht="18" customHeight="1">
      <c r="A255" s="112"/>
      <c r="B255" s="112"/>
      <c r="C255" s="112"/>
      <c r="D255" s="112"/>
      <c r="E255" s="112"/>
      <c r="F255" s="112"/>
      <c r="G255" s="112"/>
      <c r="H255" s="112" t="s">
        <v>2753</v>
      </c>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t="s">
        <v>3191</v>
      </c>
      <c r="AF255" s="112"/>
      <c r="AG255" s="112"/>
      <c r="AH255" s="112"/>
      <c r="AI255" s="112"/>
      <c r="AJ255" s="112"/>
      <c r="AK255" s="112"/>
      <c r="AL255" s="112"/>
      <c r="AM255" s="112"/>
      <c r="AN255" s="112"/>
      <c r="AO255" s="112"/>
      <c r="AP255" s="112"/>
      <c r="AQ255" s="112"/>
      <c r="AR255" s="112"/>
      <c r="AS255" s="112"/>
      <c r="AT255" s="112"/>
      <c r="AU255" s="112"/>
      <c r="AV255" s="112"/>
      <c r="AW255" s="112"/>
      <c r="AX255" s="112"/>
      <c r="AY255" s="112"/>
      <c r="AZ255" s="112"/>
      <c r="BA255" s="112"/>
      <c r="BB255" s="105"/>
      <c r="BC255" s="105"/>
      <c r="BD255" s="105"/>
      <c r="BE255" s="105"/>
      <c r="BF255" s="105"/>
      <c r="BG255" s="105"/>
      <c r="BH255" s="105"/>
      <c r="BI255" s="105"/>
    </row>
    <row r="256" spans="1:61" ht="18" customHeight="1">
      <c r="A256" s="112"/>
      <c r="B256" s="112"/>
      <c r="C256" s="112"/>
      <c r="D256" s="112"/>
      <c r="E256" s="112"/>
      <c r="F256" s="112"/>
      <c r="G256" s="112"/>
      <c r="H256" s="112" t="s">
        <v>2757</v>
      </c>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t="s">
        <v>3192</v>
      </c>
      <c r="AF256" s="112"/>
      <c r="AG256" s="112"/>
      <c r="AH256" s="112"/>
      <c r="AI256" s="112"/>
      <c r="AJ256" s="112"/>
      <c r="AK256" s="112"/>
      <c r="AL256" s="112"/>
      <c r="AM256" s="112"/>
      <c r="AN256" s="112"/>
      <c r="AO256" s="112"/>
      <c r="AP256" s="112"/>
      <c r="AQ256" s="112"/>
      <c r="AR256" s="112"/>
      <c r="AS256" s="112"/>
      <c r="AT256" s="112"/>
      <c r="AU256" s="112"/>
      <c r="AV256" s="112"/>
      <c r="AW256" s="112"/>
      <c r="AX256" s="112"/>
      <c r="AY256" s="112"/>
      <c r="AZ256" s="112"/>
      <c r="BA256" s="112"/>
      <c r="BB256" s="105"/>
      <c r="BC256" s="105"/>
      <c r="BD256" s="105"/>
      <c r="BE256" s="105"/>
      <c r="BF256" s="105"/>
      <c r="BG256" s="105"/>
      <c r="BH256" s="105"/>
      <c r="BI256" s="105"/>
    </row>
    <row r="257" spans="1:61" ht="18" customHeight="1">
      <c r="A257" s="112"/>
      <c r="B257" s="112"/>
      <c r="C257" s="112"/>
      <c r="D257" s="112"/>
      <c r="E257" s="112"/>
      <c r="F257" s="112"/>
      <c r="G257" s="112"/>
      <c r="H257" s="112" t="s">
        <v>2762</v>
      </c>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t="s">
        <v>3193</v>
      </c>
      <c r="AF257" s="112"/>
      <c r="AG257" s="112"/>
      <c r="AH257" s="112"/>
      <c r="AI257" s="112"/>
      <c r="AJ257" s="112"/>
      <c r="AK257" s="112"/>
      <c r="AL257" s="112"/>
      <c r="AM257" s="112"/>
      <c r="AN257" s="112"/>
      <c r="AO257" s="112"/>
      <c r="AP257" s="112"/>
      <c r="AQ257" s="112"/>
      <c r="AR257" s="112"/>
      <c r="AS257" s="112"/>
      <c r="AT257" s="112"/>
      <c r="AU257" s="112"/>
      <c r="AV257" s="112"/>
      <c r="AW257" s="112"/>
      <c r="AX257" s="112"/>
      <c r="AY257" s="112"/>
      <c r="AZ257" s="112"/>
      <c r="BA257" s="112"/>
      <c r="BB257" s="105"/>
      <c r="BC257" s="105"/>
      <c r="BD257" s="105"/>
      <c r="BE257" s="105"/>
      <c r="BF257" s="105"/>
      <c r="BG257" s="105"/>
      <c r="BH257" s="105"/>
      <c r="BI257" s="105"/>
    </row>
    <row r="258" spans="1:61" ht="18" customHeight="1">
      <c r="A258" s="112"/>
      <c r="B258" s="112"/>
      <c r="C258" s="112"/>
      <c r="D258" s="112"/>
      <c r="E258" s="112"/>
      <c r="F258" s="112"/>
      <c r="G258" s="112"/>
      <c r="H258" s="112" t="s">
        <v>2766</v>
      </c>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t="s">
        <v>3194</v>
      </c>
      <c r="AF258" s="112"/>
      <c r="AG258" s="112"/>
      <c r="AH258" s="112"/>
      <c r="AI258" s="112"/>
      <c r="AJ258" s="112"/>
      <c r="AK258" s="112"/>
      <c r="AL258" s="112"/>
      <c r="AM258" s="112"/>
      <c r="AN258" s="112"/>
      <c r="AO258" s="112"/>
      <c r="AP258" s="112"/>
      <c r="AQ258" s="112"/>
      <c r="AR258" s="112"/>
      <c r="AS258" s="112"/>
      <c r="AT258" s="112"/>
      <c r="AU258" s="112"/>
      <c r="AV258" s="112"/>
      <c r="AW258" s="112"/>
      <c r="AX258" s="112"/>
      <c r="AY258" s="112"/>
      <c r="AZ258" s="112"/>
      <c r="BA258" s="112"/>
      <c r="BB258" s="105"/>
      <c r="BC258" s="105"/>
      <c r="BD258" s="105"/>
      <c r="BE258" s="105"/>
      <c r="BF258" s="105"/>
      <c r="BG258" s="105"/>
      <c r="BH258" s="105"/>
      <c r="BI258" s="105"/>
    </row>
    <row r="259" spans="1:61" ht="18" customHeight="1">
      <c r="A259" s="112"/>
      <c r="B259" s="112"/>
      <c r="C259" s="112"/>
      <c r="D259" s="112"/>
      <c r="E259" s="112"/>
      <c r="F259" s="112"/>
      <c r="G259" s="112"/>
      <c r="H259" s="112" t="s">
        <v>2769</v>
      </c>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t="s">
        <v>3195</v>
      </c>
      <c r="AF259" s="112"/>
      <c r="AG259" s="112"/>
      <c r="AH259" s="112"/>
      <c r="AI259" s="112"/>
      <c r="AJ259" s="112"/>
      <c r="AK259" s="112"/>
      <c r="AL259" s="112"/>
      <c r="AM259" s="112"/>
      <c r="AN259" s="112"/>
      <c r="AO259" s="112"/>
      <c r="AP259" s="112"/>
      <c r="AQ259" s="112"/>
      <c r="AR259" s="112"/>
      <c r="AS259" s="112"/>
      <c r="AT259" s="112"/>
      <c r="AU259" s="112"/>
      <c r="AV259" s="112"/>
      <c r="AW259" s="112"/>
      <c r="AX259" s="112"/>
      <c r="AY259" s="112"/>
      <c r="AZ259" s="112"/>
      <c r="BA259" s="112"/>
      <c r="BB259" s="105"/>
      <c r="BC259" s="105"/>
      <c r="BD259" s="105"/>
      <c r="BE259" s="105"/>
      <c r="BF259" s="105"/>
      <c r="BG259" s="105"/>
      <c r="BH259" s="105"/>
      <c r="BI259" s="105"/>
    </row>
    <row r="260" spans="1:61" ht="18" customHeight="1">
      <c r="A260" s="112"/>
      <c r="B260" s="112"/>
      <c r="C260" s="112"/>
      <c r="D260" s="112"/>
      <c r="E260" s="112"/>
      <c r="F260" s="112"/>
      <c r="G260" s="112"/>
      <c r="H260" s="112" t="s">
        <v>2773</v>
      </c>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t="s">
        <v>3196</v>
      </c>
      <c r="AF260" s="112"/>
      <c r="AG260" s="112"/>
      <c r="AH260" s="112"/>
      <c r="AI260" s="112"/>
      <c r="AJ260" s="112"/>
      <c r="AK260" s="112"/>
      <c r="AL260" s="112"/>
      <c r="AM260" s="112"/>
      <c r="AN260" s="112"/>
      <c r="AO260" s="112"/>
      <c r="AP260" s="112"/>
      <c r="AQ260" s="112"/>
      <c r="AR260" s="112"/>
      <c r="AS260" s="112"/>
      <c r="AT260" s="112"/>
      <c r="AU260" s="112"/>
      <c r="AV260" s="112"/>
      <c r="AW260" s="112"/>
      <c r="AX260" s="112"/>
      <c r="AY260" s="112"/>
      <c r="AZ260" s="112"/>
      <c r="BA260" s="112"/>
      <c r="BB260" s="105"/>
      <c r="BC260" s="105"/>
      <c r="BD260" s="105"/>
      <c r="BE260" s="105"/>
      <c r="BF260" s="105"/>
      <c r="BG260" s="105"/>
      <c r="BH260" s="105"/>
      <c r="BI260" s="105"/>
    </row>
    <row r="261" spans="1:61" ht="18" customHeight="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t="s">
        <v>3197</v>
      </c>
      <c r="AF261" s="112"/>
      <c r="AG261" s="112"/>
      <c r="AH261" s="112"/>
      <c r="AI261" s="112"/>
      <c r="AJ261" s="112"/>
      <c r="AK261" s="112"/>
      <c r="AL261" s="112"/>
      <c r="AM261" s="112"/>
      <c r="AN261" s="112"/>
      <c r="AO261" s="112"/>
      <c r="AP261" s="112"/>
      <c r="AQ261" s="112"/>
      <c r="AR261" s="112"/>
      <c r="AS261" s="112"/>
      <c r="AT261" s="112"/>
      <c r="AU261" s="112"/>
      <c r="AV261" s="112"/>
      <c r="AW261" s="112"/>
      <c r="AX261" s="112"/>
      <c r="AY261" s="112"/>
      <c r="AZ261" s="112"/>
      <c r="BA261" s="112"/>
      <c r="BB261" s="105"/>
      <c r="BC261" s="105"/>
      <c r="BD261" s="105"/>
      <c r="BE261" s="105"/>
      <c r="BF261" s="105"/>
      <c r="BG261" s="105"/>
      <c r="BH261" s="105"/>
      <c r="BI261" s="105"/>
    </row>
    <row r="262" spans="1:61" ht="18" customHeight="1">
      <c r="A262" s="112"/>
      <c r="B262" s="112"/>
      <c r="C262" s="112"/>
      <c r="D262" s="112"/>
      <c r="E262" s="112"/>
      <c r="F262" s="112"/>
      <c r="G262" s="112"/>
      <c r="H262" s="112" t="s">
        <v>2699</v>
      </c>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t="s">
        <v>3198</v>
      </c>
      <c r="AF262" s="112"/>
      <c r="AG262" s="112"/>
      <c r="AH262" s="112"/>
      <c r="AI262" s="112"/>
      <c r="AJ262" s="112"/>
      <c r="AK262" s="112"/>
      <c r="AL262" s="112"/>
      <c r="AM262" s="112"/>
      <c r="AN262" s="112"/>
      <c r="AO262" s="112"/>
      <c r="AP262" s="112"/>
      <c r="AQ262" s="112"/>
      <c r="AR262" s="112"/>
      <c r="AS262" s="112"/>
      <c r="AT262" s="112"/>
      <c r="AU262" s="112"/>
      <c r="AV262" s="112"/>
      <c r="AW262" s="112"/>
      <c r="AX262" s="112"/>
      <c r="AY262" s="112"/>
      <c r="AZ262" s="112"/>
      <c r="BA262" s="112"/>
      <c r="BB262" s="105"/>
      <c r="BC262" s="105"/>
      <c r="BD262" s="105"/>
      <c r="BE262" s="105"/>
      <c r="BF262" s="105"/>
      <c r="BG262" s="105"/>
      <c r="BH262" s="105"/>
      <c r="BI262" s="105"/>
    </row>
    <row r="263" spans="1:61" ht="18" customHeight="1">
      <c r="A263" s="112"/>
      <c r="B263" s="112"/>
      <c r="C263" s="112"/>
      <c r="D263" s="112"/>
      <c r="E263" s="112"/>
      <c r="F263" s="112"/>
      <c r="G263" s="112"/>
      <c r="H263" s="112" t="s">
        <v>3199</v>
      </c>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t="s">
        <v>3200</v>
      </c>
      <c r="AF263" s="112"/>
      <c r="AG263" s="112"/>
      <c r="AH263" s="112"/>
      <c r="AI263" s="112"/>
      <c r="AJ263" s="112"/>
      <c r="AK263" s="112"/>
      <c r="AL263" s="112"/>
      <c r="AM263" s="112"/>
      <c r="AN263" s="112"/>
      <c r="AO263" s="112"/>
      <c r="AP263" s="112"/>
      <c r="AQ263" s="112"/>
      <c r="AR263" s="112"/>
      <c r="AS263" s="112"/>
      <c r="AT263" s="112"/>
      <c r="AU263" s="112"/>
      <c r="AV263" s="112"/>
      <c r="AW263" s="112"/>
      <c r="AX263" s="112"/>
      <c r="AY263" s="112"/>
      <c r="AZ263" s="112"/>
      <c r="BA263" s="112"/>
      <c r="BB263" s="105"/>
      <c r="BC263" s="105"/>
      <c r="BD263" s="105"/>
      <c r="BE263" s="105"/>
      <c r="BF263" s="105"/>
      <c r="BG263" s="105"/>
      <c r="BH263" s="105"/>
      <c r="BI263" s="105"/>
    </row>
    <row r="264" spans="1:61" ht="18" customHeight="1">
      <c r="A264" s="112"/>
      <c r="B264" s="112"/>
      <c r="C264" s="112"/>
      <c r="D264" s="112"/>
      <c r="E264" s="112"/>
      <c r="F264" s="112"/>
      <c r="G264" s="112"/>
      <c r="H264" s="112" t="s">
        <v>2750</v>
      </c>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t="s">
        <v>3201</v>
      </c>
      <c r="AF264" s="112"/>
      <c r="AG264" s="112"/>
      <c r="AH264" s="112"/>
      <c r="AI264" s="112"/>
      <c r="AJ264" s="112"/>
      <c r="AK264" s="112"/>
      <c r="AL264" s="112"/>
      <c r="AM264" s="112"/>
      <c r="AN264" s="112"/>
      <c r="AO264" s="112"/>
      <c r="AP264" s="112"/>
      <c r="AQ264" s="112"/>
      <c r="AR264" s="112"/>
      <c r="AS264" s="112"/>
      <c r="AT264" s="112"/>
      <c r="AU264" s="112"/>
      <c r="AV264" s="112"/>
      <c r="AW264" s="112"/>
      <c r="AX264" s="112"/>
      <c r="AY264" s="112"/>
      <c r="AZ264" s="112"/>
      <c r="BA264" s="112"/>
      <c r="BB264" s="105"/>
      <c r="BC264" s="105"/>
      <c r="BD264" s="105"/>
      <c r="BE264" s="105"/>
      <c r="BF264" s="105"/>
      <c r="BG264" s="105"/>
      <c r="BH264" s="105"/>
      <c r="BI264" s="105"/>
    </row>
    <row r="265" spans="1:61" ht="18" customHeight="1">
      <c r="A265" s="112"/>
      <c r="B265" s="112"/>
      <c r="C265" s="112"/>
      <c r="D265" s="112"/>
      <c r="E265" s="112"/>
      <c r="F265" s="112"/>
      <c r="G265" s="112"/>
      <c r="H265" s="112" t="s">
        <v>2753</v>
      </c>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t="s">
        <v>3202</v>
      </c>
      <c r="AF265" s="112"/>
      <c r="AG265" s="112"/>
      <c r="AH265" s="112"/>
      <c r="AI265" s="112"/>
      <c r="AJ265" s="112"/>
      <c r="AK265" s="112"/>
      <c r="AL265" s="112"/>
      <c r="AM265" s="112"/>
      <c r="AN265" s="112"/>
      <c r="AO265" s="112"/>
      <c r="AP265" s="112"/>
      <c r="AQ265" s="112"/>
      <c r="AR265" s="112"/>
      <c r="AS265" s="112"/>
      <c r="AT265" s="112"/>
      <c r="AU265" s="112"/>
      <c r="AV265" s="112"/>
      <c r="AW265" s="112"/>
      <c r="AX265" s="112"/>
      <c r="AY265" s="112"/>
      <c r="AZ265" s="112"/>
      <c r="BA265" s="112"/>
      <c r="BB265" s="105"/>
      <c r="BC265" s="105"/>
      <c r="BD265" s="105"/>
      <c r="BE265" s="105"/>
      <c r="BF265" s="105"/>
      <c r="BG265" s="105"/>
      <c r="BH265" s="105"/>
      <c r="BI265" s="105"/>
    </row>
    <row r="266" spans="1:61" ht="18" customHeight="1">
      <c r="A266" s="112"/>
      <c r="B266" s="112"/>
      <c r="C266" s="112"/>
      <c r="D266" s="112"/>
      <c r="E266" s="112"/>
      <c r="F266" s="112"/>
      <c r="G266" s="112"/>
      <c r="H266" s="112" t="s">
        <v>2757</v>
      </c>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t="s">
        <v>3203</v>
      </c>
      <c r="AF266" s="112"/>
      <c r="AG266" s="112"/>
      <c r="AH266" s="112"/>
      <c r="AI266" s="112"/>
      <c r="AJ266" s="112"/>
      <c r="AK266" s="112"/>
      <c r="AL266" s="112"/>
      <c r="AM266" s="112"/>
      <c r="AN266" s="112"/>
      <c r="AO266" s="112"/>
      <c r="AP266" s="112"/>
      <c r="AQ266" s="112"/>
      <c r="AR266" s="112"/>
      <c r="AS266" s="112"/>
      <c r="AT266" s="112"/>
      <c r="AU266" s="112"/>
      <c r="AV266" s="112"/>
      <c r="AW266" s="112"/>
      <c r="AX266" s="112"/>
      <c r="AY266" s="112"/>
      <c r="AZ266" s="112"/>
      <c r="BA266" s="112"/>
      <c r="BB266" s="105"/>
      <c r="BC266" s="105"/>
      <c r="BD266" s="105"/>
      <c r="BE266" s="105"/>
      <c r="BF266" s="105"/>
      <c r="BG266" s="105"/>
      <c r="BH266" s="105"/>
      <c r="BI266" s="105"/>
    </row>
    <row r="267" spans="1:61" ht="18" customHeight="1">
      <c r="A267" s="112"/>
      <c r="B267" s="112"/>
      <c r="C267" s="112"/>
      <c r="D267" s="112"/>
      <c r="E267" s="112"/>
      <c r="F267" s="112"/>
      <c r="G267" s="112"/>
      <c r="H267" s="112" t="s">
        <v>2762</v>
      </c>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t="s">
        <v>3204</v>
      </c>
      <c r="AF267" s="112"/>
      <c r="AG267" s="112"/>
      <c r="AH267" s="112"/>
      <c r="AI267" s="112"/>
      <c r="AJ267" s="112"/>
      <c r="AK267" s="112"/>
      <c r="AL267" s="112"/>
      <c r="AM267" s="112"/>
      <c r="AN267" s="112"/>
      <c r="AO267" s="112"/>
      <c r="AP267" s="112"/>
      <c r="AQ267" s="112"/>
      <c r="AR267" s="112"/>
      <c r="AS267" s="112"/>
      <c r="AT267" s="112"/>
      <c r="AU267" s="112"/>
      <c r="AV267" s="112"/>
      <c r="AW267" s="112"/>
      <c r="AX267" s="112"/>
      <c r="AY267" s="112"/>
      <c r="AZ267" s="112"/>
      <c r="BA267" s="112"/>
      <c r="BB267" s="105"/>
      <c r="BC267" s="105"/>
      <c r="BD267" s="105"/>
      <c r="BE267" s="105"/>
      <c r="BF267" s="105"/>
      <c r="BG267" s="105"/>
      <c r="BH267" s="105"/>
      <c r="BI267" s="105"/>
    </row>
    <row r="268" spans="1:61" ht="18" customHeight="1">
      <c r="A268" s="112"/>
      <c r="B268" s="112"/>
      <c r="C268" s="112"/>
      <c r="D268" s="112"/>
      <c r="E268" s="112"/>
      <c r="F268" s="112"/>
      <c r="G268" s="112"/>
      <c r="H268" s="112" t="s">
        <v>2766</v>
      </c>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t="s">
        <v>3205</v>
      </c>
      <c r="AF268" s="112"/>
      <c r="AG268" s="112"/>
      <c r="AH268" s="112"/>
      <c r="AI268" s="112"/>
      <c r="AJ268" s="112"/>
      <c r="AK268" s="112"/>
      <c r="AL268" s="112"/>
      <c r="AM268" s="112"/>
      <c r="AN268" s="112"/>
      <c r="AO268" s="112"/>
      <c r="AP268" s="112"/>
      <c r="AQ268" s="112"/>
      <c r="AR268" s="112"/>
      <c r="AS268" s="112"/>
      <c r="AT268" s="112"/>
      <c r="AU268" s="112"/>
      <c r="AV268" s="112"/>
      <c r="AW268" s="112"/>
      <c r="AX268" s="112"/>
      <c r="AY268" s="112"/>
      <c r="AZ268" s="112"/>
      <c r="BA268" s="112"/>
      <c r="BB268" s="105"/>
      <c r="BC268" s="105"/>
      <c r="BD268" s="105"/>
      <c r="BE268" s="105"/>
      <c r="BF268" s="105"/>
      <c r="BG268" s="105"/>
      <c r="BH268" s="105"/>
      <c r="BI268" s="105"/>
    </row>
    <row r="269" spans="1:61" ht="18" customHeight="1">
      <c r="A269" s="112"/>
      <c r="B269" s="112"/>
      <c r="C269" s="112"/>
      <c r="D269" s="112"/>
      <c r="E269" s="112"/>
      <c r="F269" s="112"/>
      <c r="G269" s="112"/>
      <c r="H269" s="112" t="s">
        <v>2769</v>
      </c>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t="s">
        <v>3206</v>
      </c>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05"/>
      <c r="BC269" s="105"/>
      <c r="BD269" s="105"/>
      <c r="BE269" s="105"/>
      <c r="BF269" s="105"/>
      <c r="BG269" s="105"/>
      <c r="BH269" s="105"/>
      <c r="BI269" s="105"/>
    </row>
    <row r="270" spans="1:61" ht="18" customHeight="1">
      <c r="A270" s="112"/>
      <c r="B270" s="112"/>
      <c r="C270" s="112"/>
      <c r="D270" s="112"/>
      <c r="E270" s="112"/>
      <c r="F270" s="112"/>
      <c r="G270" s="112"/>
      <c r="H270" s="112" t="s">
        <v>2773</v>
      </c>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t="s">
        <v>3207</v>
      </c>
      <c r="AF270" s="112"/>
      <c r="AG270" s="112"/>
      <c r="AH270" s="112"/>
      <c r="AI270" s="112"/>
      <c r="AJ270" s="112"/>
      <c r="AK270" s="112"/>
      <c r="AL270" s="112"/>
      <c r="AM270" s="112"/>
      <c r="AN270" s="112"/>
      <c r="AO270" s="112"/>
      <c r="AP270" s="112"/>
      <c r="AQ270" s="112"/>
      <c r="AR270" s="112"/>
      <c r="AS270" s="112"/>
      <c r="AT270" s="112"/>
      <c r="AU270" s="112"/>
      <c r="AV270" s="112"/>
      <c r="AW270" s="112"/>
      <c r="AX270" s="112"/>
      <c r="AY270" s="112"/>
      <c r="AZ270" s="112"/>
      <c r="BA270" s="112"/>
      <c r="BB270" s="105"/>
      <c r="BC270" s="105"/>
      <c r="BD270" s="105"/>
      <c r="BE270" s="105"/>
      <c r="BF270" s="105"/>
      <c r="BG270" s="105"/>
      <c r="BH270" s="105"/>
      <c r="BI270" s="105"/>
    </row>
    <row r="271" spans="1:61" ht="18" customHeight="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t="s">
        <v>3208</v>
      </c>
      <c r="AF271" s="112"/>
      <c r="AG271" s="112"/>
      <c r="AH271" s="112"/>
      <c r="AI271" s="112"/>
      <c r="AJ271" s="112"/>
      <c r="AK271" s="112"/>
      <c r="AL271" s="112"/>
      <c r="AM271" s="112"/>
      <c r="AN271" s="112"/>
      <c r="AO271" s="112"/>
      <c r="AP271" s="112"/>
      <c r="AQ271" s="112"/>
      <c r="AR271" s="112"/>
      <c r="AS271" s="112"/>
      <c r="AT271" s="112"/>
      <c r="AU271" s="112"/>
      <c r="AV271" s="112"/>
      <c r="AW271" s="112"/>
      <c r="AX271" s="112"/>
      <c r="AY271" s="112"/>
      <c r="AZ271" s="112"/>
      <c r="BA271" s="112"/>
      <c r="BB271" s="105"/>
      <c r="BC271" s="105"/>
      <c r="BD271" s="105"/>
      <c r="BE271" s="105"/>
      <c r="BF271" s="105"/>
      <c r="BG271" s="105"/>
      <c r="BH271" s="105"/>
      <c r="BI271" s="105"/>
    </row>
    <row r="272" spans="1:61" ht="18" customHeight="1">
      <c r="A272" s="112"/>
      <c r="B272" s="112"/>
      <c r="C272" s="112"/>
      <c r="D272" s="112"/>
      <c r="E272" s="112"/>
      <c r="F272" s="112"/>
      <c r="G272" s="112"/>
      <c r="H272" s="112" t="s">
        <v>2699</v>
      </c>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t="s">
        <v>3209</v>
      </c>
      <c r="AF272" s="112"/>
      <c r="AG272" s="112"/>
      <c r="AH272" s="112"/>
      <c r="AI272" s="112"/>
      <c r="AJ272" s="112"/>
      <c r="AK272" s="112"/>
      <c r="AL272" s="112"/>
      <c r="AM272" s="112"/>
      <c r="AN272" s="112"/>
      <c r="AO272" s="112"/>
      <c r="AP272" s="112"/>
      <c r="AQ272" s="112"/>
      <c r="AR272" s="112"/>
      <c r="AS272" s="112"/>
      <c r="AT272" s="112"/>
      <c r="AU272" s="112"/>
      <c r="AV272" s="112"/>
      <c r="AW272" s="112"/>
      <c r="AX272" s="112"/>
      <c r="AY272" s="112"/>
      <c r="AZ272" s="112"/>
      <c r="BA272" s="112"/>
      <c r="BB272" s="105"/>
      <c r="BC272" s="105"/>
      <c r="BD272" s="105"/>
      <c r="BE272" s="105"/>
      <c r="BF272" s="105"/>
      <c r="BG272" s="105"/>
      <c r="BH272" s="105"/>
      <c r="BI272" s="105"/>
    </row>
    <row r="273" spans="1:61" ht="18" customHeight="1">
      <c r="A273" s="112"/>
      <c r="B273" s="112"/>
      <c r="C273" s="112"/>
      <c r="D273" s="112"/>
      <c r="E273" s="112"/>
      <c r="F273" s="112"/>
      <c r="G273" s="112"/>
      <c r="H273" s="112" t="s">
        <v>3210</v>
      </c>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t="s">
        <v>3211</v>
      </c>
      <c r="AF273" s="112"/>
      <c r="AG273" s="112"/>
      <c r="AH273" s="112"/>
      <c r="AI273" s="112"/>
      <c r="AJ273" s="112"/>
      <c r="AK273" s="112"/>
      <c r="AL273" s="112"/>
      <c r="AM273" s="112"/>
      <c r="AN273" s="112"/>
      <c r="AO273" s="112"/>
      <c r="AP273" s="112"/>
      <c r="AQ273" s="112"/>
      <c r="AR273" s="112"/>
      <c r="AS273" s="112"/>
      <c r="AT273" s="112"/>
      <c r="AU273" s="112"/>
      <c r="AV273" s="112"/>
      <c r="AW273" s="112"/>
      <c r="AX273" s="112"/>
      <c r="AY273" s="112"/>
      <c r="AZ273" s="112"/>
      <c r="BA273" s="112"/>
      <c r="BB273" s="105"/>
      <c r="BC273" s="105"/>
      <c r="BD273" s="105"/>
      <c r="BE273" s="105"/>
      <c r="BF273" s="105"/>
      <c r="BG273" s="105"/>
      <c r="BH273" s="105"/>
      <c r="BI273" s="105"/>
    </row>
    <row r="274" spans="1:61" ht="18" customHeight="1">
      <c r="A274" s="112"/>
      <c r="B274" s="112"/>
      <c r="C274" s="112"/>
      <c r="D274" s="112"/>
      <c r="E274" s="112"/>
      <c r="F274" s="112"/>
      <c r="G274" s="112"/>
      <c r="H274" s="112" t="s">
        <v>2750</v>
      </c>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t="s">
        <v>3212</v>
      </c>
      <c r="AF274" s="112"/>
      <c r="AG274" s="112"/>
      <c r="AH274" s="112"/>
      <c r="AI274" s="112"/>
      <c r="AJ274" s="112"/>
      <c r="AK274" s="112"/>
      <c r="AL274" s="112"/>
      <c r="AM274" s="112"/>
      <c r="AN274" s="112"/>
      <c r="AO274" s="112"/>
      <c r="AP274" s="112"/>
      <c r="AQ274" s="112"/>
      <c r="AR274" s="112"/>
      <c r="AS274" s="112"/>
      <c r="AT274" s="112"/>
      <c r="AU274" s="112"/>
      <c r="AV274" s="112"/>
      <c r="AW274" s="112"/>
      <c r="AX274" s="112"/>
      <c r="AY274" s="112"/>
      <c r="AZ274" s="112"/>
      <c r="BA274" s="112"/>
      <c r="BB274" s="105"/>
      <c r="BC274" s="105"/>
      <c r="BD274" s="105"/>
      <c r="BE274" s="105"/>
      <c r="BF274" s="105"/>
      <c r="BG274" s="105"/>
      <c r="BH274" s="105"/>
      <c r="BI274" s="105"/>
    </row>
    <row r="275" spans="1:61" ht="18" customHeight="1">
      <c r="A275" s="112"/>
      <c r="B275" s="112"/>
      <c r="C275" s="112"/>
      <c r="D275" s="112"/>
      <c r="E275" s="112"/>
      <c r="F275" s="112"/>
      <c r="G275" s="112"/>
      <c r="H275" s="112" t="s">
        <v>2753</v>
      </c>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t="s">
        <v>3213</v>
      </c>
      <c r="AF275" s="112"/>
      <c r="AG275" s="112"/>
      <c r="AH275" s="112"/>
      <c r="AI275" s="112"/>
      <c r="AJ275" s="112"/>
      <c r="AK275" s="112"/>
      <c r="AL275" s="112"/>
      <c r="AM275" s="112"/>
      <c r="AN275" s="112"/>
      <c r="AO275" s="112"/>
      <c r="AP275" s="112"/>
      <c r="AQ275" s="112"/>
      <c r="AR275" s="112"/>
      <c r="AS275" s="112"/>
      <c r="AT275" s="112"/>
      <c r="AU275" s="112"/>
      <c r="AV275" s="112"/>
      <c r="AW275" s="112"/>
      <c r="AX275" s="112"/>
      <c r="AY275" s="112"/>
      <c r="AZ275" s="112"/>
      <c r="BA275" s="112"/>
      <c r="BB275" s="105"/>
      <c r="BC275" s="105"/>
      <c r="BD275" s="105"/>
      <c r="BE275" s="105"/>
      <c r="BF275" s="105"/>
      <c r="BG275" s="105"/>
      <c r="BH275" s="105"/>
      <c r="BI275" s="105"/>
    </row>
    <row r="276" spans="1:61" ht="18" customHeight="1">
      <c r="A276" s="112"/>
      <c r="B276" s="112"/>
      <c r="C276" s="112"/>
      <c r="D276" s="112"/>
      <c r="E276" s="112"/>
      <c r="F276" s="112"/>
      <c r="G276" s="112"/>
      <c r="H276" s="112" t="s">
        <v>2757</v>
      </c>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t="s">
        <v>3214</v>
      </c>
      <c r="AF276" s="112"/>
      <c r="AG276" s="112"/>
      <c r="AH276" s="112"/>
      <c r="AI276" s="112"/>
      <c r="AJ276" s="112"/>
      <c r="AK276" s="112"/>
      <c r="AL276" s="112"/>
      <c r="AM276" s="112"/>
      <c r="AN276" s="112"/>
      <c r="AO276" s="112"/>
      <c r="AP276" s="112"/>
      <c r="AQ276" s="112"/>
      <c r="AR276" s="112"/>
      <c r="AS276" s="112"/>
      <c r="AT276" s="112"/>
      <c r="AU276" s="112"/>
      <c r="AV276" s="112"/>
      <c r="AW276" s="112"/>
      <c r="AX276" s="112"/>
      <c r="AY276" s="112"/>
      <c r="AZ276" s="112"/>
      <c r="BA276" s="112"/>
      <c r="BB276" s="105"/>
      <c r="BC276" s="105"/>
      <c r="BD276" s="105"/>
      <c r="BE276" s="105"/>
      <c r="BF276" s="105"/>
      <c r="BG276" s="105"/>
      <c r="BH276" s="105"/>
      <c r="BI276" s="105"/>
    </row>
    <row r="277" spans="1:61" ht="18" customHeight="1">
      <c r="A277" s="112"/>
      <c r="B277" s="112"/>
      <c r="C277" s="112"/>
      <c r="D277" s="112"/>
      <c r="E277" s="112"/>
      <c r="F277" s="112"/>
      <c r="G277" s="112"/>
      <c r="H277" s="112" t="s">
        <v>2762</v>
      </c>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t="s">
        <v>3215</v>
      </c>
      <c r="AF277" s="112"/>
      <c r="AG277" s="112"/>
      <c r="AH277" s="112"/>
      <c r="AI277" s="112"/>
      <c r="AJ277" s="112"/>
      <c r="AK277" s="112"/>
      <c r="AL277" s="112"/>
      <c r="AM277" s="112"/>
      <c r="AN277" s="112"/>
      <c r="AO277" s="112"/>
      <c r="AP277" s="112"/>
      <c r="AQ277" s="112"/>
      <c r="AR277" s="112"/>
      <c r="AS277" s="112"/>
      <c r="AT277" s="112"/>
      <c r="AU277" s="112"/>
      <c r="AV277" s="112"/>
      <c r="AW277" s="112"/>
      <c r="AX277" s="112"/>
      <c r="AY277" s="112"/>
      <c r="AZ277" s="112"/>
      <c r="BA277" s="112"/>
      <c r="BB277" s="105"/>
      <c r="BC277" s="105"/>
      <c r="BD277" s="105"/>
      <c r="BE277" s="105"/>
      <c r="BF277" s="105"/>
      <c r="BG277" s="105"/>
      <c r="BH277" s="105"/>
      <c r="BI277" s="105"/>
    </row>
    <row r="278" spans="1:61" ht="18" customHeight="1">
      <c r="A278" s="112"/>
      <c r="B278" s="112"/>
      <c r="C278" s="112"/>
      <c r="D278" s="112"/>
      <c r="E278" s="112"/>
      <c r="F278" s="112"/>
      <c r="G278" s="112"/>
      <c r="H278" s="112" t="s">
        <v>2766</v>
      </c>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t="s">
        <v>3216</v>
      </c>
      <c r="AF278" s="112"/>
      <c r="AG278" s="112"/>
      <c r="AH278" s="112"/>
      <c r="AI278" s="112"/>
      <c r="AJ278" s="112"/>
      <c r="AK278" s="112"/>
      <c r="AL278" s="112"/>
      <c r="AM278" s="112"/>
      <c r="AN278" s="112"/>
      <c r="AO278" s="112"/>
      <c r="AP278" s="112"/>
      <c r="AQ278" s="112"/>
      <c r="AR278" s="112"/>
      <c r="AS278" s="112"/>
      <c r="AT278" s="112"/>
      <c r="AU278" s="112"/>
      <c r="AV278" s="112"/>
      <c r="AW278" s="112"/>
      <c r="AX278" s="112"/>
      <c r="AY278" s="112"/>
      <c r="AZ278" s="112"/>
      <c r="BA278" s="112"/>
      <c r="BB278" s="105"/>
      <c r="BC278" s="105"/>
      <c r="BD278" s="105"/>
      <c r="BE278" s="105"/>
      <c r="BF278" s="105"/>
      <c r="BG278" s="105"/>
      <c r="BH278" s="105"/>
      <c r="BI278" s="105"/>
    </row>
    <row r="279" spans="1:61" ht="18" customHeight="1">
      <c r="A279" s="112"/>
      <c r="B279" s="112"/>
      <c r="C279" s="112"/>
      <c r="D279" s="112"/>
      <c r="E279" s="112"/>
      <c r="F279" s="112"/>
      <c r="G279" s="112"/>
      <c r="H279" s="112" t="s">
        <v>2769</v>
      </c>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t="s">
        <v>3217</v>
      </c>
      <c r="AF279" s="112"/>
      <c r="AG279" s="112"/>
      <c r="AH279" s="112"/>
      <c r="AI279" s="112"/>
      <c r="AJ279" s="112"/>
      <c r="AK279" s="112"/>
      <c r="AL279" s="112"/>
      <c r="AM279" s="112"/>
      <c r="AN279" s="112"/>
      <c r="AO279" s="112"/>
      <c r="AP279" s="112"/>
      <c r="AQ279" s="112"/>
      <c r="AR279" s="112"/>
      <c r="AS279" s="112"/>
      <c r="AT279" s="112"/>
      <c r="AU279" s="112"/>
      <c r="AV279" s="112"/>
      <c r="AW279" s="112"/>
      <c r="AX279" s="112"/>
      <c r="AY279" s="112"/>
      <c r="AZ279" s="112"/>
      <c r="BA279" s="112"/>
      <c r="BB279" s="105"/>
      <c r="BC279" s="105"/>
      <c r="BD279" s="105"/>
      <c r="BE279" s="105"/>
      <c r="BF279" s="105"/>
      <c r="BG279" s="105"/>
      <c r="BH279" s="105"/>
      <c r="BI279" s="105"/>
    </row>
    <row r="280" spans="1:61" ht="18" customHeight="1">
      <c r="A280" s="112"/>
      <c r="B280" s="112"/>
      <c r="C280" s="112"/>
      <c r="D280" s="112"/>
      <c r="E280" s="112"/>
      <c r="F280" s="112"/>
      <c r="G280" s="112"/>
      <c r="H280" s="112" t="s">
        <v>2773</v>
      </c>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t="s">
        <v>3218</v>
      </c>
      <c r="AF280" s="112"/>
      <c r="AG280" s="112"/>
      <c r="AH280" s="112"/>
      <c r="AI280" s="112"/>
      <c r="AJ280" s="112"/>
      <c r="AK280" s="112"/>
      <c r="AL280" s="112"/>
      <c r="AM280" s="112"/>
      <c r="AN280" s="112"/>
      <c r="AO280" s="112"/>
      <c r="AP280" s="112"/>
      <c r="AQ280" s="112"/>
      <c r="AR280" s="112"/>
      <c r="AS280" s="112"/>
      <c r="AT280" s="112"/>
      <c r="AU280" s="112"/>
      <c r="AV280" s="112"/>
      <c r="AW280" s="112"/>
      <c r="AX280" s="112"/>
      <c r="AY280" s="112"/>
      <c r="AZ280" s="112"/>
      <c r="BA280" s="112"/>
      <c r="BB280" s="105"/>
      <c r="BC280" s="105"/>
      <c r="BD280" s="105"/>
      <c r="BE280" s="105"/>
      <c r="BF280" s="105"/>
      <c r="BG280" s="105"/>
      <c r="BH280" s="105"/>
      <c r="BI280" s="105"/>
    </row>
    <row r="281" spans="1:61" ht="18" customHeight="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t="s">
        <v>3219</v>
      </c>
      <c r="AF281" s="112"/>
      <c r="AG281" s="112"/>
      <c r="AH281" s="112"/>
      <c r="AI281" s="112"/>
      <c r="AJ281" s="112"/>
      <c r="AK281" s="112"/>
      <c r="AL281" s="112"/>
      <c r="AM281" s="112"/>
      <c r="AN281" s="112"/>
      <c r="AO281" s="112"/>
      <c r="AP281" s="112"/>
      <c r="AQ281" s="112"/>
      <c r="AR281" s="112"/>
      <c r="AS281" s="112"/>
      <c r="AT281" s="112"/>
      <c r="AU281" s="112"/>
      <c r="AV281" s="112"/>
      <c r="AW281" s="112"/>
      <c r="AX281" s="112"/>
      <c r="AY281" s="112"/>
      <c r="AZ281" s="112"/>
      <c r="BA281" s="112"/>
      <c r="BB281" s="105"/>
      <c r="BC281" s="105"/>
      <c r="BD281" s="105"/>
      <c r="BE281" s="105"/>
      <c r="BF281" s="105"/>
      <c r="BG281" s="105"/>
      <c r="BH281" s="105"/>
      <c r="BI281" s="105"/>
    </row>
    <row r="282" spans="1:61" ht="18" customHeight="1">
      <c r="A282" s="112"/>
      <c r="B282" s="112"/>
      <c r="C282" s="112"/>
      <c r="D282" s="112"/>
      <c r="E282" s="112"/>
      <c r="F282" s="112"/>
      <c r="G282" s="112"/>
      <c r="H282" s="112" t="s">
        <v>2699</v>
      </c>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t="s">
        <v>3220</v>
      </c>
      <c r="AF282" s="112"/>
      <c r="AG282" s="112"/>
      <c r="AH282" s="112"/>
      <c r="AI282" s="112"/>
      <c r="AJ282" s="112"/>
      <c r="AK282" s="112"/>
      <c r="AL282" s="112"/>
      <c r="AM282" s="112"/>
      <c r="AN282" s="112"/>
      <c r="AO282" s="112"/>
      <c r="AP282" s="112"/>
      <c r="AQ282" s="112"/>
      <c r="AR282" s="112"/>
      <c r="AS282" s="112"/>
      <c r="AT282" s="112"/>
      <c r="AU282" s="112"/>
      <c r="AV282" s="112"/>
      <c r="AW282" s="112"/>
      <c r="AX282" s="112"/>
      <c r="AY282" s="112"/>
      <c r="AZ282" s="112"/>
      <c r="BA282" s="112"/>
      <c r="BB282" s="105"/>
      <c r="BC282" s="105"/>
      <c r="BD282" s="105"/>
      <c r="BE282" s="105"/>
      <c r="BF282" s="105"/>
      <c r="BG282" s="105"/>
      <c r="BH282" s="105"/>
      <c r="BI282" s="105"/>
    </row>
    <row r="283" spans="1:61" ht="18" customHeight="1">
      <c r="A283" s="112"/>
      <c r="B283" s="112"/>
      <c r="C283" s="112"/>
      <c r="D283" s="112"/>
      <c r="E283" s="112"/>
      <c r="F283" s="112"/>
      <c r="G283" s="112"/>
      <c r="H283" s="112" t="s">
        <v>3221</v>
      </c>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t="s">
        <v>3222</v>
      </c>
      <c r="AF283" s="112"/>
      <c r="AG283" s="112"/>
      <c r="AH283" s="112"/>
      <c r="AI283" s="112"/>
      <c r="AJ283" s="112"/>
      <c r="AK283" s="112"/>
      <c r="AL283" s="112"/>
      <c r="AM283" s="112"/>
      <c r="AN283" s="112"/>
      <c r="AO283" s="112"/>
      <c r="AP283" s="112"/>
      <c r="AQ283" s="112"/>
      <c r="AR283" s="112"/>
      <c r="AS283" s="112"/>
      <c r="AT283" s="112"/>
      <c r="AU283" s="112"/>
      <c r="AV283" s="112"/>
      <c r="AW283" s="112"/>
      <c r="AX283" s="112"/>
      <c r="AY283" s="112"/>
      <c r="AZ283" s="112"/>
      <c r="BA283" s="112"/>
      <c r="BB283" s="105"/>
      <c r="BC283" s="105"/>
      <c r="BD283" s="105"/>
      <c r="BE283" s="105"/>
      <c r="BF283" s="105"/>
      <c r="BG283" s="105"/>
      <c r="BH283" s="105"/>
      <c r="BI283" s="105"/>
    </row>
    <row r="284" spans="1:61" ht="18" customHeight="1">
      <c r="A284" s="112"/>
      <c r="B284" s="112"/>
      <c r="C284" s="112"/>
      <c r="D284" s="112"/>
      <c r="E284" s="112"/>
      <c r="F284" s="112"/>
      <c r="G284" s="112"/>
      <c r="H284" s="112" t="s">
        <v>2750</v>
      </c>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t="s">
        <v>3223</v>
      </c>
      <c r="AF284" s="112"/>
      <c r="AG284" s="112"/>
      <c r="AH284" s="112"/>
      <c r="AI284" s="112"/>
      <c r="AJ284" s="112"/>
      <c r="AK284" s="112"/>
      <c r="AL284" s="112"/>
      <c r="AM284" s="112"/>
      <c r="AN284" s="112"/>
      <c r="AO284" s="112"/>
      <c r="AP284" s="112"/>
      <c r="AQ284" s="112"/>
      <c r="AR284" s="112"/>
      <c r="AS284" s="112"/>
      <c r="AT284" s="112"/>
      <c r="AU284" s="112"/>
      <c r="AV284" s="112"/>
      <c r="AW284" s="112"/>
      <c r="AX284" s="112"/>
      <c r="AY284" s="112"/>
      <c r="AZ284" s="112"/>
      <c r="BA284" s="112"/>
      <c r="BB284" s="105"/>
      <c r="BC284" s="105"/>
      <c r="BD284" s="105"/>
      <c r="BE284" s="105"/>
      <c r="BF284" s="105"/>
      <c r="BG284" s="105"/>
      <c r="BH284" s="105"/>
      <c r="BI284" s="105"/>
    </row>
    <row r="285" spans="1:61" ht="18" customHeight="1">
      <c r="A285" s="112"/>
      <c r="B285" s="112"/>
      <c r="C285" s="112"/>
      <c r="D285" s="112"/>
      <c r="E285" s="112"/>
      <c r="F285" s="112"/>
      <c r="G285" s="112"/>
      <c r="H285" s="112" t="s">
        <v>2753</v>
      </c>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t="s">
        <v>3224</v>
      </c>
      <c r="AF285" s="112"/>
      <c r="AG285" s="112"/>
      <c r="AH285" s="112"/>
      <c r="AI285" s="112"/>
      <c r="AJ285" s="112"/>
      <c r="AK285" s="112"/>
      <c r="AL285" s="112"/>
      <c r="AM285" s="112"/>
      <c r="AN285" s="112"/>
      <c r="AO285" s="112"/>
      <c r="AP285" s="112"/>
      <c r="AQ285" s="112"/>
      <c r="AR285" s="112"/>
      <c r="AS285" s="112"/>
      <c r="AT285" s="112"/>
      <c r="AU285" s="112"/>
      <c r="AV285" s="112"/>
      <c r="AW285" s="112"/>
      <c r="AX285" s="112"/>
      <c r="AY285" s="112"/>
      <c r="AZ285" s="112"/>
      <c r="BA285" s="112"/>
      <c r="BB285" s="105"/>
      <c r="BC285" s="105"/>
      <c r="BD285" s="105"/>
      <c r="BE285" s="105"/>
      <c r="BF285" s="105"/>
      <c r="BG285" s="105"/>
      <c r="BH285" s="105"/>
      <c r="BI285" s="105"/>
    </row>
    <row r="286" spans="1:61" ht="18" customHeight="1">
      <c r="A286" s="112"/>
      <c r="B286" s="112"/>
      <c r="C286" s="112"/>
      <c r="D286" s="112"/>
      <c r="E286" s="112"/>
      <c r="F286" s="112"/>
      <c r="G286" s="112"/>
      <c r="H286" s="112" t="s">
        <v>2757</v>
      </c>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t="s">
        <v>3225</v>
      </c>
      <c r="AF286" s="112"/>
      <c r="AG286" s="112"/>
      <c r="AH286" s="112"/>
      <c r="AI286" s="112"/>
      <c r="AJ286" s="112"/>
      <c r="AK286" s="112"/>
      <c r="AL286" s="112"/>
      <c r="AM286" s="112"/>
      <c r="AN286" s="112"/>
      <c r="AO286" s="112"/>
      <c r="AP286" s="112"/>
      <c r="AQ286" s="112"/>
      <c r="AR286" s="112"/>
      <c r="AS286" s="112"/>
      <c r="AT286" s="112"/>
      <c r="AU286" s="112"/>
      <c r="AV286" s="112"/>
      <c r="AW286" s="112"/>
      <c r="AX286" s="112"/>
      <c r="AY286" s="112"/>
      <c r="AZ286" s="112"/>
      <c r="BA286" s="112"/>
      <c r="BB286" s="105"/>
      <c r="BC286" s="105"/>
      <c r="BD286" s="105"/>
      <c r="BE286" s="105"/>
      <c r="BF286" s="105"/>
      <c r="BG286" s="105"/>
      <c r="BH286" s="105"/>
      <c r="BI286" s="105"/>
    </row>
    <row r="287" spans="1:61" ht="18" customHeight="1">
      <c r="A287" s="112"/>
      <c r="B287" s="112"/>
      <c r="C287" s="112"/>
      <c r="D287" s="112"/>
      <c r="E287" s="112"/>
      <c r="F287" s="112"/>
      <c r="G287" s="112"/>
      <c r="H287" s="112" t="s">
        <v>2762</v>
      </c>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t="s">
        <v>3226</v>
      </c>
      <c r="AF287" s="112"/>
      <c r="AG287" s="112"/>
      <c r="AH287" s="112"/>
      <c r="AI287" s="112"/>
      <c r="AJ287" s="112"/>
      <c r="AK287" s="112"/>
      <c r="AL287" s="112"/>
      <c r="AM287" s="112"/>
      <c r="AN287" s="112"/>
      <c r="AO287" s="112"/>
      <c r="AP287" s="112"/>
      <c r="AQ287" s="112"/>
      <c r="AR287" s="112"/>
      <c r="AS287" s="112"/>
      <c r="AT287" s="112"/>
      <c r="AU287" s="112"/>
      <c r="AV287" s="112"/>
      <c r="AW287" s="112"/>
      <c r="AX287" s="112"/>
      <c r="AY287" s="112"/>
      <c r="AZ287" s="112"/>
      <c r="BA287" s="112"/>
      <c r="BB287" s="105"/>
      <c r="BC287" s="105"/>
      <c r="BD287" s="105"/>
      <c r="BE287" s="105"/>
      <c r="BF287" s="105"/>
      <c r="BG287" s="105"/>
      <c r="BH287" s="105"/>
      <c r="BI287" s="105"/>
    </row>
    <row r="288" spans="1:61" ht="18" customHeight="1">
      <c r="A288" s="112"/>
      <c r="B288" s="112"/>
      <c r="C288" s="112"/>
      <c r="D288" s="112"/>
      <c r="E288" s="112"/>
      <c r="F288" s="112"/>
      <c r="G288" s="112"/>
      <c r="H288" s="112" t="s">
        <v>2766</v>
      </c>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t="s">
        <v>3227</v>
      </c>
      <c r="AF288" s="112"/>
      <c r="AG288" s="112"/>
      <c r="AH288" s="112"/>
      <c r="AI288" s="112"/>
      <c r="AJ288" s="112"/>
      <c r="AK288" s="112"/>
      <c r="AL288" s="112"/>
      <c r="AM288" s="112"/>
      <c r="AN288" s="112"/>
      <c r="AO288" s="112"/>
      <c r="AP288" s="112"/>
      <c r="AQ288" s="112"/>
      <c r="AR288" s="112"/>
      <c r="AS288" s="112"/>
      <c r="AT288" s="112"/>
      <c r="AU288" s="112"/>
      <c r="AV288" s="112"/>
      <c r="AW288" s="112"/>
      <c r="AX288" s="112"/>
      <c r="AY288" s="112"/>
      <c r="AZ288" s="112"/>
      <c r="BA288" s="112"/>
      <c r="BB288" s="105"/>
      <c r="BC288" s="105"/>
      <c r="BD288" s="105"/>
      <c r="BE288" s="105"/>
      <c r="BF288" s="105"/>
      <c r="BG288" s="105"/>
      <c r="BH288" s="105"/>
      <c r="BI288" s="105"/>
    </row>
    <row r="289" spans="1:61" ht="18" customHeight="1">
      <c r="A289" s="112"/>
      <c r="B289" s="112"/>
      <c r="C289" s="112"/>
      <c r="D289" s="112"/>
      <c r="E289" s="112"/>
      <c r="F289" s="112"/>
      <c r="G289" s="112"/>
      <c r="H289" s="112" t="s">
        <v>2769</v>
      </c>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t="s">
        <v>3228</v>
      </c>
      <c r="AF289" s="112"/>
      <c r="AG289" s="112"/>
      <c r="AH289" s="112"/>
      <c r="AI289" s="112"/>
      <c r="AJ289" s="112"/>
      <c r="AK289" s="112"/>
      <c r="AL289" s="112"/>
      <c r="AM289" s="112"/>
      <c r="AN289" s="112"/>
      <c r="AO289" s="112"/>
      <c r="AP289" s="112"/>
      <c r="AQ289" s="112"/>
      <c r="AR289" s="112"/>
      <c r="AS289" s="112"/>
      <c r="AT289" s="112"/>
      <c r="AU289" s="112"/>
      <c r="AV289" s="112"/>
      <c r="AW289" s="112"/>
      <c r="AX289" s="112"/>
      <c r="AY289" s="112"/>
      <c r="AZ289" s="112"/>
      <c r="BA289" s="112"/>
      <c r="BB289" s="105"/>
      <c r="BC289" s="105"/>
      <c r="BD289" s="105"/>
      <c r="BE289" s="105"/>
      <c r="BF289" s="105"/>
      <c r="BG289" s="105"/>
      <c r="BH289" s="105"/>
      <c r="BI289" s="105"/>
    </row>
    <row r="290" spans="1:61" ht="18" customHeight="1">
      <c r="A290" s="112"/>
      <c r="B290" s="112"/>
      <c r="C290" s="112"/>
      <c r="D290" s="112"/>
      <c r="E290" s="112"/>
      <c r="F290" s="112"/>
      <c r="G290" s="112"/>
      <c r="H290" s="112" t="s">
        <v>2773</v>
      </c>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t="s">
        <v>3229</v>
      </c>
      <c r="AF290" s="112"/>
      <c r="AG290" s="112"/>
      <c r="AH290" s="112"/>
      <c r="AI290" s="112"/>
      <c r="AJ290" s="112"/>
      <c r="AK290" s="112"/>
      <c r="AL290" s="112"/>
      <c r="AM290" s="112"/>
      <c r="AN290" s="112"/>
      <c r="AO290" s="112"/>
      <c r="AP290" s="112"/>
      <c r="AQ290" s="112"/>
      <c r="AR290" s="112"/>
      <c r="AS290" s="112"/>
      <c r="AT290" s="112"/>
      <c r="AU290" s="112"/>
      <c r="AV290" s="112"/>
      <c r="AW290" s="112"/>
      <c r="AX290" s="112"/>
      <c r="AY290" s="112"/>
      <c r="AZ290" s="112"/>
      <c r="BA290" s="112"/>
      <c r="BB290" s="105"/>
      <c r="BC290" s="105"/>
      <c r="BD290" s="105"/>
      <c r="BE290" s="105"/>
      <c r="BF290" s="105"/>
      <c r="BG290" s="105"/>
      <c r="BH290" s="105"/>
      <c r="BI290" s="105"/>
    </row>
    <row r="291" spans="1:61" ht="18" customHeight="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t="s">
        <v>3230</v>
      </c>
      <c r="AF291" s="112"/>
      <c r="AG291" s="112"/>
      <c r="AH291" s="112"/>
      <c r="AI291" s="112"/>
      <c r="AJ291" s="112"/>
      <c r="AK291" s="112"/>
      <c r="AL291" s="112"/>
      <c r="AM291" s="112"/>
      <c r="AN291" s="112"/>
      <c r="AO291" s="112"/>
      <c r="AP291" s="112"/>
      <c r="AQ291" s="112"/>
      <c r="AR291" s="112"/>
      <c r="AS291" s="112"/>
      <c r="AT291" s="112"/>
      <c r="AU291" s="112"/>
      <c r="AV291" s="112"/>
      <c r="AW291" s="112"/>
      <c r="AX291" s="112"/>
      <c r="AY291" s="112"/>
      <c r="AZ291" s="112"/>
      <c r="BA291" s="112"/>
      <c r="BB291" s="105"/>
      <c r="BC291" s="105"/>
      <c r="BD291" s="105"/>
      <c r="BE291" s="105"/>
      <c r="BF291" s="105"/>
      <c r="BG291" s="105"/>
      <c r="BH291" s="105"/>
      <c r="BI291" s="105"/>
    </row>
    <row r="292" spans="1:61" ht="18" customHeight="1">
      <c r="A292" s="112"/>
      <c r="B292" s="112"/>
      <c r="C292" s="112"/>
      <c r="D292" s="112"/>
      <c r="E292" s="112"/>
      <c r="F292" s="112"/>
      <c r="G292" s="112"/>
      <c r="H292" s="112" t="s">
        <v>2699</v>
      </c>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t="s">
        <v>3231</v>
      </c>
      <c r="AF292" s="112"/>
      <c r="AG292" s="112"/>
      <c r="AH292" s="112"/>
      <c r="AI292" s="112"/>
      <c r="AJ292" s="112"/>
      <c r="AK292" s="112"/>
      <c r="AL292" s="112"/>
      <c r="AM292" s="112"/>
      <c r="AN292" s="112"/>
      <c r="AO292" s="112"/>
      <c r="AP292" s="112"/>
      <c r="AQ292" s="112"/>
      <c r="AR292" s="112"/>
      <c r="AS292" s="112"/>
      <c r="AT292" s="112"/>
      <c r="AU292" s="112"/>
      <c r="AV292" s="112"/>
      <c r="AW292" s="112"/>
      <c r="AX292" s="112"/>
      <c r="AY292" s="112"/>
      <c r="AZ292" s="112"/>
      <c r="BA292" s="112"/>
      <c r="BB292" s="105"/>
      <c r="BC292" s="105"/>
      <c r="BD292" s="105"/>
      <c r="BE292" s="105"/>
      <c r="BF292" s="105"/>
      <c r="BG292" s="105"/>
      <c r="BH292" s="105"/>
      <c r="BI292" s="105"/>
    </row>
    <row r="293" spans="1:61" ht="18" customHeight="1">
      <c r="A293" s="112"/>
      <c r="B293" s="112"/>
      <c r="C293" s="112"/>
      <c r="D293" s="112"/>
      <c r="E293" s="112"/>
      <c r="F293" s="112"/>
      <c r="G293" s="112"/>
      <c r="H293" s="112" t="s">
        <v>3232</v>
      </c>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t="s">
        <v>3233</v>
      </c>
      <c r="AF293" s="112"/>
      <c r="AG293" s="112"/>
      <c r="AH293" s="112"/>
      <c r="AI293" s="112"/>
      <c r="AJ293" s="112"/>
      <c r="AK293" s="112"/>
      <c r="AL293" s="112"/>
      <c r="AM293" s="112"/>
      <c r="AN293" s="112"/>
      <c r="AO293" s="112"/>
      <c r="AP293" s="112"/>
      <c r="AQ293" s="112"/>
      <c r="AR293" s="112"/>
      <c r="AS293" s="112"/>
      <c r="AT293" s="112"/>
      <c r="AU293" s="112"/>
      <c r="AV293" s="112"/>
      <c r="AW293" s="112"/>
      <c r="AX293" s="112"/>
      <c r="AY293" s="112"/>
      <c r="AZ293" s="112"/>
      <c r="BA293" s="112"/>
      <c r="BB293" s="105"/>
      <c r="BC293" s="105"/>
      <c r="BD293" s="105"/>
      <c r="BE293" s="105"/>
      <c r="BF293" s="105"/>
      <c r="BG293" s="105"/>
      <c r="BH293" s="105"/>
      <c r="BI293" s="105"/>
    </row>
    <row r="294" spans="1:61" ht="18" customHeight="1">
      <c r="A294" s="112"/>
      <c r="B294" s="112"/>
      <c r="C294" s="112"/>
      <c r="D294" s="112"/>
      <c r="E294" s="112"/>
      <c r="F294" s="112"/>
      <c r="G294" s="112"/>
      <c r="H294" s="112" t="s">
        <v>2750</v>
      </c>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t="s">
        <v>3234</v>
      </c>
      <c r="AF294" s="112"/>
      <c r="AG294" s="112"/>
      <c r="AH294" s="112"/>
      <c r="AI294" s="112"/>
      <c r="AJ294" s="112"/>
      <c r="AK294" s="112"/>
      <c r="AL294" s="112"/>
      <c r="AM294" s="112"/>
      <c r="AN294" s="112"/>
      <c r="AO294" s="112"/>
      <c r="AP294" s="112"/>
      <c r="AQ294" s="112"/>
      <c r="AR294" s="112"/>
      <c r="AS294" s="112"/>
      <c r="AT294" s="112"/>
      <c r="AU294" s="112"/>
      <c r="AV294" s="112"/>
      <c r="AW294" s="112"/>
      <c r="AX294" s="112"/>
      <c r="AY294" s="112"/>
      <c r="AZ294" s="112"/>
      <c r="BA294" s="112"/>
      <c r="BB294" s="105"/>
      <c r="BC294" s="105"/>
      <c r="BD294" s="105"/>
      <c r="BE294" s="105"/>
      <c r="BF294" s="105"/>
      <c r="BG294" s="105"/>
      <c r="BH294" s="105"/>
      <c r="BI294" s="105"/>
    </row>
    <row r="295" spans="1:61" ht="18" customHeight="1">
      <c r="A295" s="112"/>
      <c r="B295" s="112"/>
      <c r="C295" s="112"/>
      <c r="D295" s="112"/>
      <c r="E295" s="112"/>
      <c r="F295" s="112"/>
      <c r="G295" s="112"/>
      <c r="H295" s="112" t="s">
        <v>3235</v>
      </c>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t="s">
        <v>3236</v>
      </c>
      <c r="AF295" s="112"/>
      <c r="AG295" s="112"/>
      <c r="AH295" s="112"/>
      <c r="AI295" s="112"/>
      <c r="AJ295" s="112"/>
      <c r="AK295" s="112"/>
      <c r="AL295" s="112"/>
      <c r="AM295" s="112"/>
      <c r="AN295" s="112"/>
      <c r="AO295" s="112"/>
      <c r="AP295" s="112"/>
      <c r="AQ295" s="112"/>
      <c r="AR295" s="112"/>
      <c r="AS295" s="112"/>
      <c r="AT295" s="112"/>
      <c r="AU295" s="112"/>
      <c r="AV295" s="112"/>
      <c r="AW295" s="112"/>
      <c r="AX295" s="112"/>
      <c r="AY295" s="112"/>
      <c r="AZ295" s="112"/>
      <c r="BA295" s="112"/>
      <c r="BB295" s="105"/>
      <c r="BC295" s="105"/>
      <c r="BD295" s="105"/>
      <c r="BE295" s="105"/>
      <c r="BF295" s="105"/>
      <c r="BG295" s="105"/>
      <c r="BH295" s="105"/>
      <c r="BI295" s="105"/>
    </row>
    <row r="296" spans="1:61" ht="18" customHeight="1">
      <c r="A296" s="112"/>
      <c r="B296" s="112"/>
      <c r="C296" s="112"/>
      <c r="D296" s="112"/>
      <c r="E296" s="112"/>
      <c r="F296" s="112"/>
      <c r="G296" s="112"/>
      <c r="H296" s="112" t="s">
        <v>3237</v>
      </c>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t="s">
        <v>3238</v>
      </c>
      <c r="AF296" s="112"/>
      <c r="AG296" s="112"/>
      <c r="AH296" s="112"/>
      <c r="AI296" s="112"/>
      <c r="AJ296" s="112"/>
      <c r="AK296" s="112"/>
      <c r="AL296" s="112"/>
      <c r="AM296" s="112"/>
      <c r="AN296" s="112"/>
      <c r="AO296" s="112"/>
      <c r="AP296" s="112"/>
      <c r="AQ296" s="112"/>
      <c r="AR296" s="112"/>
      <c r="AS296" s="112"/>
      <c r="AT296" s="112"/>
      <c r="AU296" s="112"/>
      <c r="AV296" s="112"/>
      <c r="AW296" s="112"/>
      <c r="AX296" s="112"/>
      <c r="AY296" s="112"/>
      <c r="AZ296" s="112"/>
      <c r="BA296" s="112"/>
      <c r="BB296" s="105"/>
      <c r="BC296" s="105"/>
      <c r="BD296" s="105"/>
      <c r="BE296" s="105"/>
      <c r="BF296" s="105"/>
      <c r="BG296" s="105"/>
      <c r="BH296" s="105"/>
      <c r="BI296" s="105"/>
    </row>
    <row r="297" spans="1:61" ht="18" customHeight="1">
      <c r="A297" s="112"/>
      <c r="B297" s="112"/>
      <c r="C297" s="112"/>
      <c r="D297" s="112"/>
      <c r="E297" s="112"/>
      <c r="F297" s="112"/>
      <c r="G297" s="112"/>
      <c r="H297" s="112" t="s">
        <v>3239</v>
      </c>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t="s">
        <v>3240</v>
      </c>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05"/>
      <c r="BC297" s="105"/>
      <c r="BD297" s="105"/>
      <c r="BE297" s="105"/>
      <c r="BF297" s="105"/>
      <c r="BG297" s="105"/>
      <c r="BH297" s="105"/>
      <c r="BI297" s="105"/>
    </row>
    <row r="298" spans="1:61" ht="18" customHeight="1">
      <c r="A298" s="112"/>
      <c r="B298" s="112"/>
      <c r="C298" s="112"/>
      <c r="D298" s="112"/>
      <c r="E298" s="112"/>
      <c r="F298" s="112"/>
      <c r="G298" s="112"/>
      <c r="H298" s="112" t="s">
        <v>3241</v>
      </c>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t="s">
        <v>3242</v>
      </c>
      <c r="AF298" s="112"/>
      <c r="AG298" s="112"/>
      <c r="AH298" s="112"/>
      <c r="AI298" s="112"/>
      <c r="AJ298" s="112"/>
      <c r="AK298" s="112"/>
      <c r="AL298" s="112"/>
      <c r="AM298" s="112"/>
      <c r="AN298" s="112"/>
      <c r="AO298" s="112"/>
      <c r="AP298" s="112"/>
      <c r="AQ298" s="112"/>
      <c r="AR298" s="112"/>
      <c r="AS298" s="112"/>
      <c r="AT298" s="112"/>
      <c r="AU298" s="112"/>
      <c r="AV298" s="112"/>
      <c r="AW298" s="112"/>
      <c r="AX298" s="112"/>
      <c r="AY298" s="112"/>
      <c r="AZ298" s="112"/>
      <c r="BA298" s="112"/>
      <c r="BB298" s="105"/>
      <c r="BC298" s="105"/>
      <c r="BD298" s="105"/>
      <c r="BE298" s="105"/>
      <c r="BF298" s="105"/>
      <c r="BG298" s="105"/>
      <c r="BH298" s="105"/>
      <c r="BI298" s="105"/>
    </row>
    <row r="299" spans="1:61" ht="18" customHeight="1">
      <c r="A299" s="112"/>
      <c r="B299" s="112"/>
      <c r="C299" s="112"/>
      <c r="D299" s="112"/>
      <c r="E299" s="112"/>
      <c r="F299" s="112"/>
      <c r="G299" s="112"/>
      <c r="H299" s="112" t="s">
        <v>3243</v>
      </c>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t="s">
        <v>3244</v>
      </c>
      <c r="AF299" s="112"/>
      <c r="AG299" s="112"/>
      <c r="AH299" s="112"/>
      <c r="AI299" s="112"/>
      <c r="AJ299" s="112"/>
      <c r="AK299" s="112"/>
      <c r="AL299" s="112"/>
      <c r="AM299" s="112"/>
      <c r="AN299" s="112"/>
      <c r="AO299" s="112"/>
      <c r="AP299" s="112"/>
      <c r="AQ299" s="112"/>
      <c r="AR299" s="112"/>
      <c r="AS299" s="112"/>
      <c r="AT299" s="112"/>
      <c r="AU299" s="112"/>
      <c r="AV299" s="112"/>
      <c r="AW299" s="112"/>
      <c r="AX299" s="112"/>
      <c r="AY299" s="112"/>
      <c r="AZ299" s="112"/>
      <c r="BA299" s="112"/>
      <c r="BB299" s="105"/>
      <c r="BC299" s="105"/>
      <c r="BD299" s="105"/>
      <c r="BE299" s="105"/>
      <c r="BF299" s="105"/>
      <c r="BG299" s="105"/>
      <c r="BH299" s="105"/>
      <c r="BI299" s="105"/>
    </row>
    <row r="300" spans="1:61" ht="18" customHeight="1">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t="s">
        <v>3245</v>
      </c>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05"/>
      <c r="BC300" s="105"/>
      <c r="BD300" s="105"/>
      <c r="BE300" s="105"/>
      <c r="BF300" s="105"/>
      <c r="BG300" s="105"/>
      <c r="BH300" s="105"/>
      <c r="BI300" s="105"/>
    </row>
    <row r="301" spans="1:61" ht="18" customHeight="1">
      <c r="A301" s="112"/>
      <c r="B301" s="112"/>
      <c r="C301" s="112"/>
      <c r="D301" s="112"/>
      <c r="E301" s="112"/>
      <c r="F301" s="112"/>
      <c r="G301" s="112"/>
      <c r="H301" s="112" t="s">
        <v>2699</v>
      </c>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t="s">
        <v>3246</v>
      </c>
      <c r="AF301" s="112"/>
      <c r="AG301" s="112"/>
      <c r="AH301" s="112"/>
      <c r="AI301" s="112"/>
      <c r="AJ301" s="112"/>
      <c r="AK301" s="112"/>
      <c r="AL301" s="112"/>
      <c r="AM301" s="112"/>
      <c r="AN301" s="112"/>
      <c r="AO301" s="112"/>
      <c r="AP301" s="112"/>
      <c r="AQ301" s="112"/>
      <c r="AR301" s="112"/>
      <c r="AS301" s="112"/>
      <c r="AT301" s="112"/>
      <c r="AU301" s="112"/>
      <c r="AV301" s="112"/>
      <c r="AW301" s="112"/>
      <c r="AX301" s="112"/>
      <c r="AY301" s="112"/>
      <c r="AZ301" s="112"/>
      <c r="BA301" s="112"/>
      <c r="BB301" s="105"/>
      <c r="BC301" s="105"/>
      <c r="BD301" s="105"/>
      <c r="BE301" s="105"/>
      <c r="BF301" s="105"/>
      <c r="BG301" s="105"/>
      <c r="BH301" s="105"/>
      <c r="BI301" s="105"/>
    </row>
    <row r="302" spans="1:61" ht="18" customHeight="1">
      <c r="A302" s="112"/>
      <c r="B302" s="112"/>
      <c r="C302" s="112"/>
      <c r="D302" s="112"/>
      <c r="E302" s="112"/>
      <c r="F302" s="112"/>
      <c r="G302" s="112"/>
      <c r="H302" s="112" t="s">
        <v>3247</v>
      </c>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t="s">
        <v>3248</v>
      </c>
      <c r="AF302" s="112"/>
      <c r="AG302" s="112"/>
      <c r="AH302" s="112"/>
      <c r="AI302" s="112"/>
      <c r="AJ302" s="112"/>
      <c r="AK302" s="112"/>
      <c r="AL302" s="112"/>
      <c r="AM302" s="112"/>
      <c r="AN302" s="112"/>
      <c r="AO302" s="112"/>
      <c r="AP302" s="112"/>
      <c r="AQ302" s="112"/>
      <c r="AR302" s="112"/>
      <c r="AS302" s="112"/>
      <c r="AT302" s="112"/>
      <c r="AU302" s="112"/>
      <c r="AV302" s="112"/>
      <c r="AW302" s="112"/>
      <c r="AX302" s="112"/>
      <c r="AY302" s="112"/>
      <c r="AZ302" s="112"/>
      <c r="BA302" s="112"/>
      <c r="BB302" s="105"/>
      <c r="BC302" s="105"/>
      <c r="BD302" s="105"/>
      <c r="BE302" s="105"/>
      <c r="BF302" s="105"/>
      <c r="BG302" s="105"/>
      <c r="BH302" s="105"/>
      <c r="BI302" s="105"/>
    </row>
    <row r="303" spans="1:61" ht="18" customHeight="1">
      <c r="A303" s="112"/>
      <c r="B303" s="112"/>
      <c r="C303" s="112"/>
      <c r="D303" s="112"/>
      <c r="E303" s="112"/>
      <c r="F303" s="112"/>
      <c r="G303" s="112"/>
      <c r="H303" s="112" t="s">
        <v>2750</v>
      </c>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t="s">
        <v>3249</v>
      </c>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05"/>
      <c r="BC303" s="105"/>
      <c r="BD303" s="105"/>
      <c r="BE303" s="105"/>
      <c r="BF303" s="105"/>
      <c r="BG303" s="105"/>
      <c r="BH303" s="105"/>
      <c r="BI303" s="105"/>
    </row>
    <row r="304" spans="1:61" ht="18" customHeight="1">
      <c r="A304" s="112"/>
      <c r="B304" s="112"/>
      <c r="C304" s="112"/>
      <c r="D304" s="112"/>
      <c r="E304" s="112"/>
      <c r="F304" s="112"/>
      <c r="G304" s="112"/>
      <c r="H304" s="112" t="s">
        <v>3235</v>
      </c>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t="s">
        <v>3250</v>
      </c>
      <c r="AF304" s="112"/>
      <c r="AG304" s="112"/>
      <c r="AH304" s="112"/>
      <c r="AI304" s="112"/>
      <c r="AJ304" s="112"/>
      <c r="AK304" s="112"/>
      <c r="AL304" s="112"/>
      <c r="AM304" s="112"/>
      <c r="AN304" s="112"/>
      <c r="AO304" s="112"/>
      <c r="AP304" s="112"/>
      <c r="AQ304" s="112"/>
      <c r="AR304" s="112"/>
      <c r="AS304" s="112"/>
      <c r="AT304" s="112"/>
      <c r="AU304" s="112"/>
      <c r="AV304" s="112"/>
      <c r="AW304" s="112"/>
      <c r="AX304" s="112"/>
      <c r="AY304" s="112"/>
      <c r="AZ304" s="112"/>
      <c r="BA304" s="112"/>
      <c r="BB304" s="105"/>
      <c r="BC304" s="105"/>
      <c r="BD304" s="105"/>
      <c r="BE304" s="105"/>
      <c r="BF304" s="105"/>
      <c r="BG304" s="105"/>
      <c r="BH304" s="105"/>
      <c r="BI304" s="105"/>
    </row>
    <row r="305" spans="1:61" ht="18" customHeight="1">
      <c r="A305" s="112"/>
      <c r="B305" s="112"/>
      <c r="C305" s="112"/>
      <c r="D305" s="112"/>
      <c r="E305" s="112"/>
      <c r="F305" s="112"/>
      <c r="G305" s="112"/>
      <c r="H305" s="112" t="s">
        <v>3237</v>
      </c>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t="s">
        <v>3251</v>
      </c>
      <c r="AF305" s="112"/>
      <c r="AG305" s="112"/>
      <c r="AH305" s="112"/>
      <c r="AI305" s="112"/>
      <c r="AJ305" s="112"/>
      <c r="AK305" s="112"/>
      <c r="AL305" s="112"/>
      <c r="AM305" s="112"/>
      <c r="AN305" s="112"/>
      <c r="AO305" s="112"/>
      <c r="AP305" s="112"/>
      <c r="AQ305" s="112"/>
      <c r="AR305" s="112"/>
      <c r="AS305" s="112"/>
      <c r="AT305" s="112"/>
      <c r="AU305" s="112"/>
      <c r="AV305" s="112"/>
      <c r="AW305" s="112"/>
      <c r="AX305" s="112"/>
      <c r="AY305" s="112"/>
      <c r="AZ305" s="112"/>
      <c r="BA305" s="112"/>
      <c r="BB305" s="105"/>
      <c r="BC305" s="105"/>
      <c r="BD305" s="105"/>
      <c r="BE305" s="105"/>
      <c r="BF305" s="105"/>
      <c r="BG305" s="105"/>
      <c r="BH305" s="105"/>
      <c r="BI305" s="105"/>
    </row>
    <row r="306" spans="1:61" ht="18" customHeight="1">
      <c r="A306" s="112"/>
      <c r="B306" s="112"/>
      <c r="C306" s="112"/>
      <c r="D306" s="112"/>
      <c r="E306" s="112"/>
      <c r="F306" s="112"/>
      <c r="G306" s="112"/>
      <c r="H306" s="112" t="s">
        <v>3239</v>
      </c>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t="s">
        <v>3252</v>
      </c>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05"/>
      <c r="BC306" s="105"/>
      <c r="BD306" s="105"/>
      <c r="BE306" s="105"/>
      <c r="BF306" s="105"/>
      <c r="BG306" s="105"/>
      <c r="BH306" s="105"/>
      <c r="BI306" s="105"/>
    </row>
    <row r="307" spans="1:61" ht="18" customHeight="1">
      <c r="A307" s="1"/>
      <c r="B307" s="1"/>
      <c r="C307" s="1"/>
      <c r="D307" s="1"/>
      <c r="E307" s="1"/>
      <c r="F307" s="1"/>
      <c r="G307" s="112"/>
      <c r="H307" s="112" t="s">
        <v>3241</v>
      </c>
      <c r="I307" s="112"/>
      <c r="J307" s="112"/>
      <c r="K307" s="112"/>
      <c r="L307" s="112"/>
      <c r="M307" s="112"/>
      <c r="N307" s="1"/>
      <c r="O307" s="1"/>
      <c r="P307" s="1"/>
      <c r="Q307" s="1"/>
      <c r="R307" s="1"/>
      <c r="S307" s="1"/>
      <c r="T307" s="1"/>
      <c r="U307" s="1"/>
      <c r="V307" s="1"/>
      <c r="W307" s="1"/>
      <c r="X307" s="1"/>
      <c r="Y307" s="1"/>
      <c r="Z307" s="1"/>
      <c r="AA307" s="1"/>
      <c r="AB307" s="1"/>
      <c r="AC307" s="1"/>
      <c r="AD307" s="1"/>
      <c r="AE307" s="1" t="s">
        <v>3253</v>
      </c>
      <c r="AF307" s="1"/>
      <c r="AG307" s="1"/>
      <c r="AH307" s="1"/>
      <c r="AI307" s="1"/>
      <c r="AJ307" s="1"/>
      <c r="AK307" s="1"/>
      <c r="AL307" s="1"/>
      <c r="AM307" s="1"/>
      <c r="AN307" s="1"/>
      <c r="AO307" s="1"/>
      <c r="AP307" s="1"/>
      <c r="AQ307" s="1"/>
      <c r="AR307" s="1"/>
      <c r="AS307" s="1"/>
      <c r="AT307" s="1"/>
      <c r="AU307" s="1"/>
      <c r="AV307" s="1"/>
      <c r="AW307" s="1"/>
      <c r="AX307" s="1"/>
      <c r="AY307" s="1"/>
      <c r="AZ307" s="1"/>
      <c r="BA307" s="1"/>
    </row>
    <row r="308" spans="1:61" ht="18" customHeight="1">
      <c r="A308" s="1"/>
      <c r="B308" s="1"/>
      <c r="C308" s="1"/>
      <c r="D308" s="1"/>
      <c r="E308" s="1"/>
      <c r="F308" s="1"/>
      <c r="G308" s="112"/>
      <c r="H308" s="112" t="s">
        <v>3243</v>
      </c>
      <c r="I308" s="112"/>
      <c r="J308" s="112"/>
      <c r="K308" s="112"/>
      <c r="L308" s="112"/>
      <c r="M308" s="112"/>
      <c r="N308" s="1"/>
      <c r="O308" s="1"/>
      <c r="P308" s="1"/>
      <c r="Q308" s="1"/>
      <c r="R308" s="1"/>
      <c r="S308" s="1"/>
      <c r="T308" s="1"/>
      <c r="U308" s="1"/>
      <c r="V308" s="1"/>
      <c r="W308" s="1"/>
      <c r="X308" s="1"/>
      <c r="Y308" s="1"/>
      <c r="Z308" s="1"/>
      <c r="AA308" s="1"/>
      <c r="AB308" s="1"/>
      <c r="AC308" s="1"/>
      <c r="AD308" s="1"/>
      <c r="AE308" s="1" t="s">
        <v>3254</v>
      </c>
      <c r="AF308" s="1"/>
      <c r="AG308" s="1"/>
      <c r="AH308" s="1"/>
      <c r="AI308" s="1"/>
      <c r="AJ308" s="1"/>
      <c r="AK308" s="1"/>
      <c r="AL308" s="1"/>
      <c r="AM308" s="1"/>
      <c r="AN308" s="1"/>
      <c r="AO308" s="1"/>
      <c r="AP308" s="1"/>
      <c r="AQ308" s="1"/>
      <c r="AR308" s="1"/>
      <c r="AS308" s="1"/>
      <c r="AT308" s="1"/>
      <c r="AU308" s="1"/>
      <c r="AV308" s="1"/>
      <c r="AW308" s="1"/>
      <c r="AX308" s="1"/>
      <c r="AY308" s="1"/>
      <c r="AZ308" s="1"/>
      <c r="BA308" s="1"/>
    </row>
    <row r="309" spans="1:61" ht="18" customHeight="1">
      <c r="A309" s="1"/>
      <c r="B309" s="1"/>
      <c r="C309" s="1"/>
      <c r="D309" s="1"/>
      <c r="E309" s="1"/>
      <c r="F309" s="1"/>
      <c r="G309" s="112"/>
      <c r="H309" s="112"/>
      <c r="I309" s="112"/>
      <c r="J309" s="112"/>
      <c r="K309" s="112"/>
      <c r="L309" s="112"/>
      <c r="M309" s="112"/>
      <c r="N309" s="1"/>
      <c r="O309" s="1"/>
      <c r="P309" s="1"/>
      <c r="Q309" s="1"/>
      <c r="R309" s="1"/>
      <c r="S309" s="1"/>
      <c r="T309" s="1"/>
      <c r="U309" s="1"/>
      <c r="V309" s="1"/>
      <c r="W309" s="1"/>
      <c r="X309" s="1"/>
      <c r="Y309" s="1"/>
      <c r="Z309" s="1"/>
      <c r="AA309" s="1"/>
      <c r="AB309" s="1"/>
      <c r="AC309" s="1"/>
      <c r="AD309" s="1"/>
      <c r="AE309" s="1" t="s">
        <v>3255</v>
      </c>
      <c r="AF309" s="1"/>
      <c r="AG309" s="1"/>
      <c r="AH309" s="1"/>
      <c r="AI309" s="1"/>
      <c r="AJ309" s="1"/>
      <c r="AK309" s="1"/>
      <c r="AL309" s="1"/>
      <c r="AM309" s="1"/>
      <c r="AN309" s="1"/>
      <c r="AO309" s="1"/>
      <c r="AP309" s="1"/>
      <c r="AQ309" s="1"/>
      <c r="AR309" s="1"/>
      <c r="AS309" s="1"/>
      <c r="AT309" s="1"/>
      <c r="AU309" s="1"/>
      <c r="AV309" s="1"/>
      <c r="AW309" s="1"/>
      <c r="AX309" s="1"/>
      <c r="AY309" s="1"/>
      <c r="AZ309" s="1"/>
      <c r="BA309" s="1"/>
    </row>
    <row r="310" spans="1:61" ht="18" customHeight="1">
      <c r="A310" s="1"/>
      <c r="B310" s="1"/>
      <c r="C310" s="1"/>
      <c r="D310" s="1"/>
      <c r="E310" s="1"/>
      <c r="F310" s="1"/>
      <c r="G310" s="112"/>
      <c r="H310" s="112" t="s">
        <v>2699</v>
      </c>
      <c r="I310" s="112"/>
      <c r="J310" s="112"/>
      <c r="K310" s="112"/>
      <c r="L310" s="112"/>
      <c r="M310" s="112"/>
      <c r="N310" s="1"/>
      <c r="O310" s="1"/>
      <c r="P310" s="1"/>
      <c r="Q310" s="1"/>
      <c r="R310" s="1"/>
      <c r="S310" s="1"/>
      <c r="T310" s="1"/>
      <c r="U310" s="1"/>
      <c r="V310" s="1"/>
      <c r="W310" s="1"/>
      <c r="X310" s="1"/>
      <c r="Y310" s="1"/>
      <c r="Z310" s="1"/>
      <c r="AA310" s="1"/>
      <c r="AB310" s="1"/>
      <c r="AC310" s="1"/>
      <c r="AD310" s="1"/>
      <c r="AE310" s="1" t="s">
        <v>3256</v>
      </c>
      <c r="AF310" s="1"/>
      <c r="AG310" s="1"/>
      <c r="AH310" s="1"/>
      <c r="AI310" s="1"/>
      <c r="AJ310" s="1"/>
      <c r="AK310" s="1"/>
      <c r="AL310" s="1"/>
      <c r="AM310" s="1"/>
      <c r="AN310" s="1"/>
      <c r="AO310" s="1"/>
      <c r="AP310" s="1"/>
      <c r="AQ310" s="1"/>
      <c r="AR310" s="1"/>
      <c r="AS310" s="1"/>
      <c r="AT310" s="1"/>
      <c r="AU310" s="1"/>
      <c r="AV310" s="1"/>
      <c r="AW310" s="1"/>
      <c r="AX310" s="1"/>
      <c r="AY310" s="1"/>
      <c r="AZ310" s="1"/>
      <c r="BA310" s="1"/>
    </row>
    <row r="311" spans="1:61" ht="18" customHeight="1">
      <c r="A311" s="1"/>
      <c r="B311" s="1"/>
      <c r="C311" s="1"/>
      <c r="D311" s="1"/>
      <c r="E311" s="1"/>
      <c r="F311" s="1"/>
      <c r="G311" s="112"/>
      <c r="H311" s="112" t="s">
        <v>3257</v>
      </c>
      <c r="I311" s="112"/>
      <c r="J311" s="112"/>
      <c r="K311" s="112"/>
      <c r="L311" s="112"/>
      <c r="M311" s="112"/>
      <c r="N311" s="1"/>
      <c r="O311" s="1"/>
      <c r="P311" s="1"/>
      <c r="Q311" s="1"/>
      <c r="R311" s="1"/>
      <c r="S311" s="1"/>
      <c r="T311" s="1"/>
      <c r="U311" s="1"/>
      <c r="V311" s="1"/>
      <c r="W311" s="1"/>
      <c r="X311" s="1"/>
      <c r="Y311" s="1"/>
      <c r="Z311" s="1"/>
      <c r="AA311" s="1"/>
      <c r="AB311" s="1"/>
      <c r="AC311" s="1"/>
      <c r="AD311" s="1"/>
      <c r="AE311" s="1" t="s">
        <v>3258</v>
      </c>
      <c r="AF311" s="1"/>
      <c r="AG311" s="1"/>
      <c r="AH311" s="1"/>
      <c r="AI311" s="1"/>
      <c r="AJ311" s="1"/>
      <c r="AK311" s="1"/>
      <c r="AL311" s="1"/>
      <c r="AM311" s="1"/>
      <c r="AN311" s="1"/>
      <c r="AO311" s="1"/>
      <c r="AP311" s="1"/>
      <c r="AQ311" s="1"/>
      <c r="AR311" s="1"/>
      <c r="AS311" s="1"/>
      <c r="AT311" s="1"/>
      <c r="AU311" s="1"/>
      <c r="AV311" s="1"/>
      <c r="AW311" s="1"/>
      <c r="AX311" s="1"/>
      <c r="AY311" s="1"/>
      <c r="AZ311" s="1"/>
      <c r="BA311" s="1"/>
    </row>
    <row r="312" spans="1:61" ht="18" customHeight="1">
      <c r="A312" s="1"/>
      <c r="B312" s="1"/>
      <c r="C312" s="1"/>
      <c r="D312" s="1"/>
      <c r="E312" s="1"/>
      <c r="F312" s="1"/>
      <c r="G312" s="112"/>
      <c r="H312" s="112" t="s">
        <v>2750</v>
      </c>
      <c r="I312" s="112"/>
      <c r="J312" s="112"/>
      <c r="K312" s="112"/>
      <c r="L312" s="112"/>
      <c r="M312" s="112"/>
      <c r="N312" s="1"/>
      <c r="O312" s="1"/>
      <c r="P312" s="1"/>
      <c r="Q312" s="1"/>
      <c r="R312" s="1"/>
      <c r="S312" s="1"/>
      <c r="T312" s="1"/>
      <c r="U312" s="1"/>
      <c r="V312" s="1"/>
      <c r="W312" s="1"/>
      <c r="X312" s="1"/>
      <c r="Y312" s="1"/>
      <c r="Z312" s="1"/>
      <c r="AA312" s="1"/>
      <c r="AB312" s="1"/>
      <c r="AC312" s="1"/>
      <c r="AD312" s="1"/>
      <c r="AE312" s="1" t="s">
        <v>3259</v>
      </c>
      <c r="AF312" s="1"/>
      <c r="AG312" s="1"/>
      <c r="AH312" s="1"/>
      <c r="AI312" s="1"/>
      <c r="AJ312" s="1"/>
      <c r="AK312" s="1"/>
      <c r="AL312" s="1"/>
      <c r="AM312" s="1"/>
      <c r="AN312" s="1"/>
      <c r="AO312" s="1"/>
      <c r="AP312" s="1"/>
      <c r="AQ312" s="1"/>
      <c r="AR312" s="1"/>
      <c r="AS312" s="1"/>
      <c r="AT312" s="1"/>
      <c r="AU312" s="1"/>
      <c r="AV312" s="1"/>
      <c r="AW312" s="1"/>
      <c r="AX312" s="1"/>
      <c r="AY312" s="1"/>
      <c r="AZ312" s="1"/>
      <c r="BA312" s="1"/>
    </row>
    <row r="313" spans="1:61" ht="18" customHeight="1">
      <c r="A313" s="1"/>
      <c r="B313" s="1"/>
      <c r="C313" s="1"/>
      <c r="D313" s="1"/>
      <c r="E313" s="1"/>
      <c r="F313" s="1"/>
      <c r="G313" s="112"/>
      <c r="H313" s="112" t="s">
        <v>3235</v>
      </c>
      <c r="I313" s="112"/>
      <c r="J313" s="112"/>
      <c r="K313" s="112"/>
      <c r="L313" s="112"/>
      <c r="M313" s="112"/>
      <c r="N313" s="1"/>
      <c r="O313" s="1"/>
      <c r="P313" s="1"/>
      <c r="Q313" s="1"/>
      <c r="R313" s="1"/>
      <c r="S313" s="1"/>
      <c r="T313" s="1"/>
      <c r="U313" s="1"/>
      <c r="V313" s="1"/>
      <c r="W313" s="1"/>
      <c r="X313" s="1"/>
      <c r="Y313" s="1"/>
      <c r="Z313" s="1"/>
      <c r="AA313" s="1"/>
      <c r="AB313" s="1"/>
      <c r="AC313" s="1"/>
      <c r="AD313" s="1"/>
      <c r="AE313" s="1" t="s">
        <v>3260</v>
      </c>
      <c r="AF313" s="1"/>
      <c r="AG313" s="1"/>
      <c r="AH313" s="1"/>
      <c r="AI313" s="1"/>
      <c r="AJ313" s="1"/>
      <c r="AK313" s="1"/>
      <c r="AL313" s="1"/>
      <c r="AM313" s="1"/>
      <c r="AN313" s="1"/>
      <c r="AO313" s="1"/>
      <c r="AP313" s="1"/>
      <c r="AQ313" s="1"/>
      <c r="AR313" s="1"/>
      <c r="AS313" s="1"/>
      <c r="AT313" s="1"/>
      <c r="AU313" s="1"/>
      <c r="AV313" s="1"/>
      <c r="AW313" s="1"/>
      <c r="AX313" s="1"/>
      <c r="AY313" s="1"/>
      <c r="AZ313" s="1"/>
      <c r="BA313" s="1"/>
    </row>
    <row r="314" spans="1:61" ht="18" customHeight="1">
      <c r="A314" s="1"/>
      <c r="B314" s="1"/>
      <c r="C314" s="1"/>
      <c r="D314" s="1"/>
      <c r="E314" s="1"/>
      <c r="F314" s="1"/>
      <c r="G314" s="112"/>
      <c r="H314" s="112" t="s">
        <v>3237</v>
      </c>
      <c r="I314" s="112"/>
      <c r="J314" s="112"/>
      <c r="K314" s="112"/>
      <c r="L314" s="112"/>
      <c r="M314" s="112"/>
      <c r="N314" s="1"/>
      <c r="O314" s="1"/>
      <c r="P314" s="1"/>
      <c r="Q314" s="1"/>
      <c r="R314" s="1"/>
      <c r="S314" s="1"/>
      <c r="T314" s="1"/>
      <c r="U314" s="1"/>
      <c r="V314" s="1"/>
      <c r="W314" s="1"/>
      <c r="X314" s="1"/>
      <c r="Y314" s="1"/>
      <c r="Z314" s="1"/>
      <c r="AA314" s="1"/>
      <c r="AB314" s="1"/>
      <c r="AC314" s="1"/>
      <c r="AD314" s="1"/>
      <c r="AE314" s="1" t="s">
        <v>3261</v>
      </c>
      <c r="AF314" s="1"/>
      <c r="AG314" s="1"/>
      <c r="AH314" s="1"/>
      <c r="AI314" s="1"/>
      <c r="AJ314" s="1"/>
      <c r="AK314" s="1"/>
      <c r="AL314" s="1"/>
      <c r="AM314" s="1"/>
      <c r="AN314" s="1"/>
      <c r="AO314" s="1"/>
      <c r="AP314" s="1"/>
      <c r="AQ314" s="1"/>
      <c r="AR314" s="1"/>
      <c r="AS314" s="1"/>
      <c r="AT314" s="1"/>
      <c r="AU314" s="1"/>
      <c r="AV314" s="1"/>
      <c r="AW314" s="1"/>
      <c r="AX314" s="1"/>
      <c r="AY314" s="1"/>
      <c r="AZ314" s="1"/>
      <c r="BA314" s="1"/>
    </row>
    <row r="315" spans="1:61" ht="18" customHeight="1">
      <c r="A315" s="1"/>
      <c r="B315" s="1"/>
      <c r="C315" s="1"/>
      <c r="D315" s="1"/>
      <c r="E315" s="1"/>
      <c r="F315" s="1"/>
      <c r="G315" s="112"/>
      <c r="H315" s="112" t="s">
        <v>3239</v>
      </c>
      <c r="I315" s="112"/>
      <c r="J315" s="112"/>
      <c r="K315" s="112"/>
      <c r="L315" s="112"/>
      <c r="M315" s="112"/>
      <c r="N315" s="1"/>
      <c r="O315" s="1"/>
      <c r="P315" s="1"/>
      <c r="Q315" s="1"/>
      <c r="R315" s="1"/>
      <c r="S315" s="1"/>
      <c r="T315" s="1"/>
      <c r="U315" s="1"/>
      <c r="V315" s="1"/>
      <c r="W315" s="1"/>
      <c r="X315" s="1"/>
      <c r="Y315" s="1"/>
      <c r="Z315" s="1"/>
      <c r="AA315" s="1"/>
      <c r="AB315" s="1"/>
      <c r="AC315" s="1"/>
      <c r="AD315" s="1"/>
      <c r="AE315" s="1" t="s">
        <v>3262</v>
      </c>
      <c r="AF315" s="1"/>
      <c r="AG315" s="1"/>
      <c r="AH315" s="1"/>
      <c r="AI315" s="1"/>
      <c r="AJ315" s="1"/>
      <c r="AK315" s="1"/>
      <c r="AL315" s="1"/>
      <c r="AM315" s="1"/>
      <c r="AN315" s="1"/>
      <c r="AO315" s="1"/>
      <c r="AP315" s="1"/>
      <c r="AQ315" s="1"/>
      <c r="AR315" s="1"/>
      <c r="AS315" s="1"/>
      <c r="AT315" s="1"/>
      <c r="AU315" s="1"/>
      <c r="AV315" s="1"/>
      <c r="AW315" s="1"/>
      <c r="AX315" s="1"/>
      <c r="AY315" s="1"/>
      <c r="AZ315" s="1"/>
      <c r="BA315" s="1"/>
    </row>
    <row r="316" spans="1:61" ht="18" customHeight="1">
      <c r="A316" s="1"/>
      <c r="B316" s="1"/>
      <c r="C316" s="1"/>
      <c r="D316" s="1"/>
      <c r="E316" s="1"/>
      <c r="F316" s="1"/>
      <c r="G316" s="112"/>
      <c r="H316" s="112" t="s">
        <v>3241</v>
      </c>
      <c r="I316" s="112"/>
      <c r="J316" s="112"/>
      <c r="K316" s="112"/>
      <c r="L316" s="112"/>
      <c r="M316" s="112"/>
      <c r="N316" s="1"/>
      <c r="O316" s="1"/>
      <c r="P316" s="1"/>
      <c r="Q316" s="1"/>
      <c r="R316" s="1"/>
      <c r="S316" s="1"/>
      <c r="T316" s="1"/>
      <c r="U316" s="1"/>
      <c r="V316" s="1"/>
      <c r="W316" s="1"/>
      <c r="X316" s="1"/>
      <c r="Y316" s="1"/>
      <c r="Z316" s="1"/>
      <c r="AA316" s="1"/>
      <c r="AB316" s="1"/>
      <c r="AC316" s="1"/>
      <c r="AD316" s="1"/>
      <c r="AE316" s="1" t="s">
        <v>3263</v>
      </c>
      <c r="AF316" s="1"/>
      <c r="AG316" s="1"/>
      <c r="AH316" s="1"/>
      <c r="AI316" s="1"/>
      <c r="AJ316" s="1"/>
      <c r="AK316" s="1"/>
      <c r="AL316" s="1"/>
      <c r="AM316" s="1"/>
      <c r="AN316" s="1"/>
      <c r="AO316" s="1"/>
      <c r="AP316" s="1"/>
      <c r="AQ316" s="1"/>
      <c r="AR316" s="1"/>
      <c r="AS316" s="1"/>
      <c r="AT316" s="1"/>
      <c r="AU316" s="1"/>
      <c r="AV316" s="1"/>
      <c r="AW316" s="1"/>
      <c r="AX316" s="1"/>
      <c r="AY316" s="1"/>
      <c r="AZ316" s="1"/>
      <c r="BA316" s="1"/>
    </row>
    <row r="317" spans="1:61" ht="18" customHeight="1">
      <c r="A317" s="1"/>
      <c r="B317" s="1"/>
      <c r="C317" s="1"/>
      <c r="D317" s="1"/>
      <c r="E317" s="1"/>
      <c r="F317" s="1"/>
      <c r="G317" s="112"/>
      <c r="H317" s="112" t="s">
        <v>3264</v>
      </c>
      <c r="I317" s="112"/>
      <c r="J317" s="112"/>
      <c r="K317" s="112"/>
      <c r="L317" s="112"/>
      <c r="M317" s="112"/>
      <c r="N317" s="1"/>
      <c r="O317" s="1"/>
      <c r="P317" s="1"/>
      <c r="Q317" s="1"/>
      <c r="R317" s="1"/>
      <c r="S317" s="1"/>
      <c r="T317" s="1"/>
      <c r="U317" s="1"/>
      <c r="V317" s="1"/>
      <c r="W317" s="1"/>
      <c r="X317" s="1"/>
      <c r="Y317" s="1"/>
      <c r="Z317" s="1"/>
      <c r="AA317" s="1"/>
      <c r="AB317" s="1"/>
      <c r="AC317" s="1"/>
      <c r="AD317" s="1"/>
      <c r="AE317" s="1" t="s">
        <v>3265</v>
      </c>
      <c r="AF317" s="1"/>
      <c r="AG317" s="1"/>
      <c r="AH317" s="1"/>
      <c r="AI317" s="1"/>
      <c r="AJ317" s="1"/>
      <c r="AK317" s="1"/>
      <c r="AL317" s="1"/>
      <c r="AM317" s="1"/>
      <c r="AN317" s="1"/>
      <c r="AO317" s="1"/>
      <c r="AP317" s="1"/>
      <c r="AQ317" s="1"/>
      <c r="AR317" s="1"/>
      <c r="AS317" s="1"/>
      <c r="AT317" s="1"/>
      <c r="AU317" s="1"/>
      <c r="AV317" s="1"/>
      <c r="AW317" s="1"/>
      <c r="AX317" s="1"/>
      <c r="AY317" s="1"/>
      <c r="AZ317" s="1"/>
      <c r="BA317" s="1"/>
    </row>
    <row r="318" spans="1:61" ht="18" customHeight="1">
      <c r="A318" s="1"/>
      <c r="B318" s="1"/>
      <c r="C318" s="1"/>
      <c r="D318" s="1"/>
      <c r="E318" s="1"/>
      <c r="F318" s="1"/>
      <c r="G318" s="112"/>
      <c r="H318" s="112"/>
      <c r="I318" s="112"/>
      <c r="J318" s="112"/>
      <c r="K318" s="112"/>
      <c r="L318" s="112"/>
      <c r="M318" s="112"/>
      <c r="N318" s="1"/>
      <c r="O318" s="1"/>
      <c r="P318" s="1"/>
      <c r="Q318" s="1"/>
      <c r="R318" s="1"/>
      <c r="S318" s="1"/>
      <c r="T318" s="1"/>
      <c r="U318" s="1"/>
      <c r="V318" s="1"/>
      <c r="W318" s="1"/>
      <c r="X318" s="1"/>
      <c r="Y318" s="1"/>
      <c r="Z318" s="1"/>
      <c r="AA318" s="1"/>
      <c r="AB318" s="1"/>
      <c r="AC318" s="1"/>
      <c r="AD318" s="1"/>
      <c r="AE318" s="1" t="s">
        <v>3266</v>
      </c>
      <c r="AF318" s="1"/>
      <c r="AG318" s="1"/>
      <c r="AH318" s="1"/>
      <c r="AI318" s="1"/>
      <c r="AJ318" s="1"/>
      <c r="AK318" s="1"/>
      <c r="AL318" s="1"/>
      <c r="AM318" s="1"/>
      <c r="AN318" s="1"/>
      <c r="AO318" s="1"/>
      <c r="AP318" s="1"/>
      <c r="AQ318" s="1"/>
      <c r="AR318" s="1"/>
      <c r="AS318" s="1"/>
      <c r="AT318" s="1"/>
      <c r="AU318" s="1"/>
      <c r="AV318" s="1"/>
      <c r="AW318" s="1"/>
      <c r="AX318" s="1"/>
      <c r="AY318" s="1"/>
      <c r="AZ318" s="1"/>
      <c r="BA318" s="1"/>
    </row>
    <row r="319" spans="1:61" ht="18" customHeight="1">
      <c r="A319" s="1"/>
      <c r="B319" s="1"/>
      <c r="C319" s="1"/>
      <c r="D319" s="1"/>
      <c r="E319" s="1"/>
      <c r="F319" s="1"/>
      <c r="G319" s="112"/>
      <c r="H319" s="112" t="s">
        <v>2699</v>
      </c>
      <c r="I319" s="112"/>
      <c r="J319" s="112"/>
      <c r="K319" s="112"/>
      <c r="L319" s="112"/>
      <c r="M319" s="112"/>
      <c r="N319" s="1"/>
      <c r="O319" s="1"/>
      <c r="P319" s="1"/>
      <c r="Q319" s="1"/>
      <c r="R319" s="1"/>
      <c r="S319" s="1"/>
      <c r="T319" s="1"/>
      <c r="U319" s="1"/>
      <c r="V319" s="1"/>
      <c r="W319" s="1"/>
      <c r="X319" s="1"/>
      <c r="Y319" s="1"/>
      <c r="Z319" s="1"/>
      <c r="AA319" s="1"/>
      <c r="AB319" s="1"/>
      <c r="AC319" s="1"/>
      <c r="AD319" s="1"/>
      <c r="AE319" s="1" t="s">
        <v>3267</v>
      </c>
      <c r="AF319" s="1"/>
      <c r="AG319" s="1"/>
      <c r="AH319" s="1"/>
      <c r="AI319" s="1"/>
      <c r="AJ319" s="1"/>
      <c r="AK319" s="1"/>
      <c r="AL319" s="1"/>
      <c r="AM319" s="1"/>
      <c r="AN319" s="1"/>
      <c r="AO319" s="1"/>
      <c r="AP319" s="1"/>
      <c r="AQ319" s="1"/>
      <c r="AR319" s="1"/>
      <c r="AS319" s="1"/>
      <c r="AT319" s="1"/>
      <c r="AU319" s="1"/>
      <c r="AV319" s="1"/>
      <c r="AW319" s="1"/>
      <c r="AX319" s="1"/>
      <c r="AY319" s="1"/>
      <c r="AZ319" s="1"/>
      <c r="BA319" s="1"/>
    </row>
    <row r="320" spans="1:61" ht="18" customHeight="1">
      <c r="A320" s="1"/>
      <c r="B320" s="1"/>
      <c r="C320" s="1"/>
      <c r="D320" s="1"/>
      <c r="E320" s="1"/>
      <c r="F320" s="1"/>
      <c r="G320" s="112"/>
      <c r="H320" s="112" t="s">
        <v>3268</v>
      </c>
      <c r="I320" s="112"/>
      <c r="J320" s="112"/>
      <c r="K320" s="112"/>
      <c r="L320" s="112"/>
      <c r="M320" s="112"/>
      <c r="N320" s="1"/>
      <c r="O320" s="1"/>
      <c r="P320" s="1"/>
      <c r="Q320" s="1"/>
      <c r="R320" s="1"/>
      <c r="S320" s="1"/>
      <c r="T320" s="1"/>
      <c r="U320" s="1"/>
      <c r="V320" s="1"/>
      <c r="W320" s="1"/>
      <c r="X320" s="1"/>
      <c r="Y320" s="1"/>
      <c r="Z320" s="1"/>
      <c r="AA320" s="1"/>
      <c r="AB320" s="1"/>
      <c r="AC320" s="1"/>
      <c r="AD320" s="1"/>
      <c r="AE320" s="1" t="s">
        <v>3269</v>
      </c>
      <c r="AF320" s="1"/>
      <c r="AG320" s="1"/>
      <c r="AH320" s="1"/>
      <c r="AI320" s="1"/>
      <c r="AJ320" s="1"/>
      <c r="AK320" s="1"/>
      <c r="AL320" s="1"/>
      <c r="AM320" s="1"/>
      <c r="AN320" s="1"/>
      <c r="AO320" s="1"/>
      <c r="AP320" s="1"/>
      <c r="AQ320" s="1"/>
      <c r="AR320" s="1"/>
      <c r="AS320" s="1"/>
      <c r="AT320" s="1"/>
      <c r="AU320" s="1"/>
      <c r="AV320" s="1"/>
      <c r="AW320" s="1"/>
      <c r="AX320" s="1"/>
      <c r="AY320" s="1"/>
      <c r="AZ320" s="1"/>
      <c r="BA320" s="1"/>
    </row>
    <row r="321" spans="1:53" ht="18" customHeight="1">
      <c r="A321" s="1"/>
      <c r="B321" s="1"/>
      <c r="C321" s="1"/>
      <c r="D321" s="1"/>
      <c r="E321" s="1"/>
      <c r="F321" s="1"/>
      <c r="G321" s="112"/>
      <c r="H321" s="112" t="s">
        <v>2750</v>
      </c>
      <c r="I321" s="112"/>
      <c r="J321" s="112"/>
      <c r="K321" s="112"/>
      <c r="L321" s="112"/>
      <c r="M321" s="112"/>
      <c r="N321" s="1"/>
      <c r="O321" s="1"/>
      <c r="P321" s="1"/>
      <c r="Q321" s="1"/>
      <c r="R321" s="1"/>
      <c r="S321" s="1"/>
      <c r="T321" s="1"/>
      <c r="U321" s="1"/>
      <c r="V321" s="1"/>
      <c r="W321" s="1"/>
      <c r="X321" s="1"/>
      <c r="Y321" s="1"/>
      <c r="Z321" s="1"/>
      <c r="AA321" s="1"/>
      <c r="AB321" s="1"/>
      <c r="AC321" s="1"/>
      <c r="AD321" s="1"/>
      <c r="AE321" s="1" t="s">
        <v>3270</v>
      </c>
      <c r="AF321" s="1"/>
      <c r="AG321" s="1"/>
      <c r="AH321" s="1"/>
      <c r="AI321" s="1"/>
      <c r="AJ321" s="1"/>
      <c r="AK321" s="1"/>
      <c r="AL321" s="1"/>
      <c r="AM321" s="1"/>
      <c r="AN321" s="1"/>
      <c r="AO321" s="1"/>
      <c r="AP321" s="1"/>
      <c r="AQ321" s="1"/>
      <c r="AR321" s="1"/>
      <c r="AS321" s="1"/>
      <c r="AT321" s="1"/>
      <c r="AU321" s="1"/>
      <c r="AV321" s="1"/>
      <c r="AW321" s="1"/>
      <c r="AX321" s="1"/>
      <c r="AY321" s="1"/>
      <c r="AZ321" s="1"/>
      <c r="BA321" s="1"/>
    </row>
    <row r="322" spans="1:53" ht="18" customHeight="1">
      <c r="A322" s="1"/>
      <c r="B322" s="1"/>
      <c r="C322" s="1"/>
      <c r="D322" s="1"/>
      <c r="E322" s="1"/>
      <c r="F322" s="1"/>
      <c r="G322" s="112"/>
      <c r="H322" s="112" t="s">
        <v>3235</v>
      </c>
      <c r="I322" s="112"/>
      <c r="J322" s="112"/>
      <c r="K322" s="112"/>
      <c r="L322" s="112"/>
      <c r="M322" s="112"/>
      <c r="N322" s="1"/>
      <c r="O322" s="1"/>
      <c r="P322" s="1"/>
      <c r="Q322" s="1"/>
      <c r="R322" s="1"/>
      <c r="S322" s="1"/>
      <c r="T322" s="1"/>
      <c r="U322" s="1"/>
      <c r="V322" s="1"/>
      <c r="W322" s="1"/>
      <c r="X322" s="1"/>
      <c r="Y322" s="1"/>
      <c r="Z322" s="1"/>
      <c r="AA322" s="1"/>
      <c r="AB322" s="1"/>
      <c r="AC322" s="1"/>
      <c r="AD322" s="1"/>
      <c r="AE322" s="1" t="s">
        <v>3271</v>
      </c>
      <c r="AF322" s="1"/>
      <c r="AG322" s="1"/>
      <c r="AH322" s="1"/>
      <c r="AI322" s="1"/>
      <c r="AJ322" s="1"/>
      <c r="AK322" s="1"/>
      <c r="AL322" s="1"/>
      <c r="AM322" s="1"/>
      <c r="AN322" s="1"/>
      <c r="AO322" s="1"/>
      <c r="AP322" s="1"/>
      <c r="AQ322" s="1"/>
      <c r="AR322" s="1"/>
      <c r="AS322" s="1"/>
      <c r="AT322" s="1"/>
      <c r="AU322" s="1"/>
      <c r="AV322" s="1"/>
      <c r="AW322" s="1"/>
      <c r="AX322" s="1"/>
      <c r="AY322" s="1"/>
      <c r="AZ322" s="1"/>
      <c r="BA322" s="1"/>
    </row>
    <row r="323" spans="1:53" ht="18" customHeight="1">
      <c r="A323" s="1"/>
      <c r="B323" s="1"/>
      <c r="C323" s="1"/>
      <c r="D323" s="1"/>
      <c r="E323" s="1"/>
      <c r="F323" s="1"/>
      <c r="G323" s="112"/>
      <c r="H323" s="112" t="s">
        <v>3237</v>
      </c>
      <c r="I323" s="112"/>
      <c r="J323" s="112"/>
      <c r="K323" s="112"/>
      <c r="L323" s="112"/>
      <c r="M323" s="112"/>
      <c r="N323" s="1"/>
      <c r="O323" s="1"/>
      <c r="P323" s="1"/>
      <c r="Q323" s="1"/>
      <c r="R323" s="1"/>
      <c r="S323" s="1"/>
      <c r="T323" s="1"/>
      <c r="U323" s="1"/>
      <c r="V323" s="1"/>
      <c r="W323" s="1"/>
      <c r="X323" s="1"/>
      <c r="Y323" s="1"/>
      <c r="Z323" s="1"/>
      <c r="AA323" s="1"/>
      <c r="AB323" s="1"/>
      <c r="AC323" s="1"/>
      <c r="AD323" s="1"/>
      <c r="AE323" s="1" t="s">
        <v>3272</v>
      </c>
      <c r="AF323" s="1"/>
      <c r="AG323" s="1"/>
      <c r="AH323" s="1"/>
      <c r="AI323" s="1"/>
      <c r="AJ323" s="1"/>
      <c r="AK323" s="1"/>
      <c r="AL323" s="1"/>
      <c r="AM323" s="1"/>
      <c r="AN323" s="1"/>
      <c r="AO323" s="1"/>
      <c r="AP323" s="1"/>
      <c r="AQ323" s="1"/>
      <c r="AR323" s="1"/>
      <c r="AS323" s="1"/>
      <c r="AT323" s="1"/>
      <c r="AU323" s="1"/>
      <c r="AV323" s="1"/>
      <c r="AW323" s="1"/>
      <c r="AX323" s="1"/>
      <c r="AY323" s="1"/>
      <c r="AZ323" s="1"/>
      <c r="BA323" s="1"/>
    </row>
    <row r="324" spans="1:53" ht="18" customHeight="1">
      <c r="A324" s="1"/>
      <c r="B324" s="1"/>
      <c r="C324" s="1"/>
      <c r="D324" s="1"/>
      <c r="E324" s="1"/>
      <c r="F324" s="1"/>
      <c r="G324" s="112"/>
      <c r="H324" s="112" t="s">
        <v>3239</v>
      </c>
      <c r="I324" s="112"/>
      <c r="J324" s="112"/>
      <c r="K324" s="112"/>
      <c r="L324" s="112"/>
      <c r="M324" s="112"/>
      <c r="N324" s="1"/>
      <c r="O324" s="1"/>
      <c r="P324" s="1"/>
      <c r="Q324" s="1"/>
      <c r="R324" s="1"/>
      <c r="S324" s="1"/>
      <c r="T324" s="1"/>
      <c r="U324" s="1"/>
      <c r="V324" s="1"/>
      <c r="W324" s="1"/>
      <c r="X324" s="1"/>
      <c r="Y324" s="1"/>
      <c r="Z324" s="1"/>
      <c r="AA324" s="1"/>
      <c r="AB324" s="1"/>
      <c r="AC324" s="1"/>
      <c r="AD324" s="1"/>
      <c r="AE324" s="1" t="s">
        <v>3273</v>
      </c>
      <c r="AF324" s="1"/>
      <c r="AG324" s="1"/>
      <c r="AH324" s="1"/>
      <c r="AI324" s="1"/>
      <c r="AJ324" s="1"/>
      <c r="AK324" s="1"/>
      <c r="AL324" s="1"/>
      <c r="AM324" s="1"/>
      <c r="AN324" s="1"/>
      <c r="AO324" s="1"/>
      <c r="AP324" s="1"/>
      <c r="AQ324" s="1"/>
      <c r="AR324" s="1"/>
      <c r="AS324" s="1"/>
      <c r="AT324" s="1"/>
      <c r="AU324" s="1"/>
      <c r="AV324" s="1"/>
      <c r="AW324" s="1"/>
      <c r="AX324" s="1"/>
      <c r="AY324" s="1"/>
      <c r="AZ324" s="1"/>
      <c r="BA324" s="1"/>
    </row>
    <row r="325" spans="1:53" ht="18" customHeight="1">
      <c r="A325" s="1"/>
      <c r="B325" s="1"/>
      <c r="C325" s="1"/>
      <c r="D325" s="1"/>
      <c r="E325" s="1"/>
      <c r="F325" s="1"/>
      <c r="G325" s="112"/>
      <c r="H325" s="112" t="s">
        <v>3241</v>
      </c>
      <c r="I325" s="112"/>
      <c r="J325" s="112"/>
      <c r="K325" s="112"/>
      <c r="L325" s="112"/>
      <c r="M325" s="112"/>
      <c r="N325" s="1"/>
      <c r="O325" s="1"/>
      <c r="P325" s="1"/>
      <c r="Q325" s="1"/>
      <c r="R325" s="1"/>
      <c r="S325" s="1"/>
      <c r="T325" s="1"/>
      <c r="U325" s="1"/>
      <c r="V325" s="1"/>
      <c r="W325" s="1"/>
      <c r="X325" s="1"/>
      <c r="Y325" s="1"/>
      <c r="Z325" s="1"/>
      <c r="AA325" s="1"/>
      <c r="AB325" s="1"/>
      <c r="AC325" s="1"/>
      <c r="AD325" s="1"/>
      <c r="AE325" s="1" t="s">
        <v>3274</v>
      </c>
      <c r="AF325" s="1"/>
      <c r="AG325" s="1"/>
      <c r="AH325" s="1"/>
      <c r="AI325" s="1"/>
      <c r="AJ325" s="1"/>
      <c r="AK325" s="1"/>
      <c r="AL325" s="1"/>
      <c r="AM325" s="1"/>
      <c r="AN325" s="1"/>
      <c r="AO325" s="1"/>
      <c r="AP325" s="1"/>
      <c r="AQ325" s="1"/>
      <c r="AR325" s="1"/>
      <c r="AS325" s="1"/>
      <c r="AT325" s="1"/>
      <c r="AU325" s="1"/>
      <c r="AV325" s="1"/>
      <c r="AW325" s="1"/>
      <c r="AX325" s="1"/>
      <c r="AY325" s="1"/>
      <c r="AZ325" s="1"/>
      <c r="BA325" s="1"/>
    </row>
    <row r="326" spans="1:53" ht="18" customHeight="1">
      <c r="A326" s="1"/>
      <c r="B326" s="1"/>
      <c r="C326" s="1"/>
      <c r="D326" s="1"/>
      <c r="E326" s="1"/>
      <c r="F326" s="1"/>
      <c r="G326" s="112"/>
      <c r="H326" s="112" t="s">
        <v>3264</v>
      </c>
      <c r="I326" s="112"/>
      <c r="J326" s="112"/>
      <c r="K326" s="112"/>
      <c r="L326" s="112"/>
      <c r="M326" s="112"/>
      <c r="N326" s="1"/>
      <c r="O326" s="1"/>
      <c r="P326" s="1"/>
      <c r="Q326" s="1"/>
      <c r="R326" s="1"/>
      <c r="S326" s="1"/>
      <c r="T326" s="1"/>
      <c r="U326" s="1"/>
      <c r="V326" s="1"/>
      <c r="W326" s="1"/>
      <c r="X326" s="1"/>
      <c r="Y326" s="1"/>
      <c r="Z326" s="1"/>
      <c r="AA326" s="1"/>
      <c r="AB326" s="1"/>
      <c r="AC326" s="1"/>
      <c r="AD326" s="1"/>
      <c r="AE326" s="1" t="s">
        <v>3275</v>
      </c>
      <c r="AF326" s="1"/>
      <c r="AG326" s="1"/>
      <c r="AH326" s="1"/>
      <c r="AI326" s="1"/>
      <c r="AJ326" s="1"/>
      <c r="AK326" s="1"/>
      <c r="AL326" s="1"/>
      <c r="AM326" s="1"/>
      <c r="AN326" s="1"/>
      <c r="AO326" s="1"/>
      <c r="AP326" s="1"/>
      <c r="AQ326" s="1"/>
      <c r="AR326" s="1"/>
      <c r="AS326" s="1"/>
      <c r="AT326" s="1"/>
      <c r="AU326" s="1"/>
      <c r="AV326" s="1"/>
      <c r="AW326" s="1"/>
      <c r="AX326" s="1"/>
      <c r="AY326" s="1"/>
      <c r="AZ326" s="1"/>
      <c r="BA326" s="1"/>
    </row>
    <row r="327" spans="1:53" ht="18" customHeight="1">
      <c r="A327" s="1"/>
      <c r="B327" s="1"/>
      <c r="C327" s="1"/>
      <c r="D327" s="1"/>
      <c r="E327" s="1"/>
      <c r="F327" s="1"/>
      <c r="G327" s="112"/>
      <c r="H327" s="112"/>
      <c r="I327" s="112"/>
      <c r="J327" s="112"/>
      <c r="K327" s="112"/>
      <c r="L327" s="112"/>
      <c r="M327" s="112"/>
      <c r="N327" s="1"/>
      <c r="O327" s="1"/>
      <c r="P327" s="1"/>
      <c r="Q327" s="1"/>
      <c r="R327" s="1"/>
      <c r="S327" s="1"/>
      <c r="T327" s="1"/>
      <c r="U327" s="1"/>
      <c r="V327" s="1"/>
      <c r="W327" s="1"/>
      <c r="X327" s="1"/>
      <c r="Y327" s="1"/>
      <c r="Z327" s="1"/>
      <c r="AA327" s="1"/>
      <c r="AB327" s="1"/>
      <c r="AC327" s="1"/>
      <c r="AD327" s="1"/>
      <c r="AE327" s="1" t="s">
        <v>3276</v>
      </c>
      <c r="AF327" s="1"/>
      <c r="AG327" s="1"/>
      <c r="AH327" s="1"/>
      <c r="AI327" s="1"/>
      <c r="AJ327" s="1"/>
      <c r="AK327" s="1"/>
      <c r="AL327" s="1"/>
      <c r="AM327" s="1"/>
      <c r="AN327" s="1"/>
      <c r="AO327" s="1"/>
      <c r="AP327" s="1"/>
      <c r="AQ327" s="1"/>
      <c r="AR327" s="1"/>
      <c r="AS327" s="1"/>
      <c r="AT327" s="1"/>
      <c r="AU327" s="1"/>
      <c r="AV327" s="1"/>
      <c r="AW327" s="1"/>
      <c r="AX327" s="1"/>
      <c r="AY327" s="1"/>
      <c r="AZ327" s="1"/>
      <c r="BA327" s="1"/>
    </row>
    <row r="328" spans="1:53" ht="18" customHeight="1">
      <c r="A328" s="1"/>
      <c r="B328" s="1"/>
      <c r="C328" s="1"/>
      <c r="D328" s="1"/>
      <c r="E328" s="1"/>
      <c r="F328" s="1"/>
      <c r="G328" s="112"/>
      <c r="H328" s="112" t="s">
        <v>685</v>
      </c>
      <c r="I328" s="112"/>
      <c r="J328" s="112"/>
      <c r="K328" s="112"/>
      <c r="L328" s="112"/>
      <c r="M328" s="112"/>
      <c r="N328" s="1"/>
      <c r="O328" s="1"/>
      <c r="P328" s="1"/>
      <c r="Q328" s="1"/>
      <c r="R328" s="1"/>
      <c r="S328" s="1"/>
      <c r="T328" s="1"/>
      <c r="U328" s="1"/>
      <c r="V328" s="1"/>
      <c r="W328" s="1"/>
      <c r="X328" s="1"/>
      <c r="Y328" s="1"/>
      <c r="Z328" s="1"/>
      <c r="AA328" s="1"/>
      <c r="AB328" s="1"/>
      <c r="AC328" s="1"/>
      <c r="AD328" s="1"/>
      <c r="AE328" s="1" t="s">
        <v>3277</v>
      </c>
      <c r="AF328" s="1"/>
      <c r="AG328" s="1"/>
      <c r="AH328" s="1"/>
      <c r="AI328" s="1"/>
      <c r="AJ328" s="1"/>
      <c r="AK328" s="1"/>
      <c r="AL328" s="1"/>
      <c r="AM328" s="1"/>
      <c r="AN328" s="1"/>
      <c r="AO328" s="1"/>
      <c r="AP328" s="1"/>
      <c r="AQ328" s="1"/>
      <c r="AR328" s="1"/>
      <c r="AS328" s="1"/>
      <c r="AT328" s="1"/>
      <c r="AU328" s="1"/>
      <c r="AV328" s="1"/>
      <c r="AW328" s="1"/>
      <c r="AX328" s="1"/>
      <c r="AY328" s="1"/>
      <c r="AZ328" s="1"/>
      <c r="BA328" s="1"/>
    </row>
    <row r="329" spans="1:53" ht="18" customHeight="1">
      <c r="A329" s="1"/>
      <c r="B329" s="1"/>
      <c r="C329" s="1"/>
      <c r="D329" s="1"/>
      <c r="E329" s="1"/>
      <c r="F329" s="1"/>
      <c r="G329" s="112"/>
      <c r="H329" s="112" t="s">
        <v>3022</v>
      </c>
      <c r="I329" s="112"/>
      <c r="J329" s="112"/>
      <c r="K329" s="112"/>
      <c r="L329" s="112"/>
      <c r="M329" s="112"/>
      <c r="N329" s="1"/>
      <c r="O329" s="1"/>
      <c r="P329" s="1"/>
      <c r="Q329" s="1"/>
      <c r="R329" s="1"/>
      <c r="S329" s="1"/>
      <c r="T329" s="1"/>
      <c r="U329" s="1"/>
      <c r="V329" s="1"/>
      <c r="W329" s="1"/>
      <c r="X329" s="1"/>
      <c r="Y329" s="1"/>
      <c r="Z329" s="1"/>
      <c r="AA329" s="1"/>
      <c r="AB329" s="1"/>
      <c r="AC329" s="1"/>
      <c r="AD329" s="1"/>
      <c r="AE329" s="1" t="s">
        <v>3278</v>
      </c>
      <c r="AF329" s="1"/>
      <c r="AG329" s="1"/>
      <c r="AH329" s="1"/>
      <c r="AI329" s="1"/>
      <c r="AJ329" s="1"/>
      <c r="AK329" s="1"/>
      <c r="AL329" s="1"/>
      <c r="AM329" s="1"/>
      <c r="AN329" s="1"/>
      <c r="AO329" s="1"/>
      <c r="AP329" s="1"/>
      <c r="AQ329" s="1"/>
      <c r="AR329" s="1"/>
      <c r="AS329" s="1"/>
      <c r="AT329" s="1"/>
      <c r="AU329" s="1"/>
      <c r="AV329" s="1"/>
      <c r="AW329" s="1"/>
      <c r="AX329" s="1"/>
      <c r="AY329" s="1"/>
      <c r="AZ329" s="1"/>
      <c r="BA329" s="1"/>
    </row>
    <row r="330" spans="1:53" ht="18" customHeight="1">
      <c r="A330" s="1"/>
      <c r="B330" s="1"/>
      <c r="C330" s="1"/>
      <c r="D330" s="1"/>
      <c r="E330" s="1"/>
      <c r="F330" s="1"/>
      <c r="G330" s="112"/>
      <c r="H330" s="112" t="s">
        <v>685</v>
      </c>
      <c r="I330" s="112"/>
      <c r="J330" s="112"/>
      <c r="K330" s="112"/>
      <c r="L330" s="112"/>
      <c r="M330" s="112"/>
      <c r="N330" s="1"/>
      <c r="O330" s="1"/>
      <c r="P330" s="1"/>
      <c r="Q330" s="1"/>
      <c r="R330" s="1"/>
      <c r="S330" s="1"/>
      <c r="T330" s="1"/>
      <c r="U330" s="1"/>
      <c r="V330" s="1"/>
      <c r="W330" s="1"/>
      <c r="X330" s="1"/>
      <c r="Y330" s="1"/>
      <c r="Z330" s="1"/>
      <c r="AA330" s="1"/>
      <c r="AB330" s="1"/>
      <c r="AC330" s="1"/>
      <c r="AD330" s="1"/>
      <c r="AE330" s="1" t="s">
        <v>3279</v>
      </c>
      <c r="AF330" s="1"/>
      <c r="AG330" s="1"/>
      <c r="AH330" s="1"/>
      <c r="AI330" s="1"/>
      <c r="AJ330" s="1"/>
      <c r="AK330" s="1"/>
      <c r="AL330" s="1"/>
      <c r="AM330" s="1"/>
      <c r="AN330" s="1"/>
      <c r="AO330" s="1"/>
      <c r="AP330" s="1"/>
      <c r="AQ330" s="1"/>
      <c r="AR330" s="1"/>
      <c r="AS330" s="1"/>
      <c r="AT330" s="1"/>
      <c r="AU330" s="1"/>
      <c r="AV330" s="1"/>
      <c r="AW330" s="1"/>
      <c r="AX330" s="1"/>
      <c r="AY330" s="1"/>
      <c r="AZ330" s="1"/>
      <c r="BA330" s="1"/>
    </row>
    <row r="331" spans="1:53" ht="18" customHeight="1">
      <c r="A331" s="1"/>
      <c r="B331" s="1"/>
      <c r="C331" s="1"/>
      <c r="D331" s="1"/>
      <c r="E331" s="1"/>
      <c r="F331" s="1"/>
      <c r="G331" s="112"/>
      <c r="H331" s="112" t="s">
        <v>3280</v>
      </c>
      <c r="I331" s="112"/>
      <c r="J331" s="112"/>
      <c r="K331" s="112"/>
      <c r="L331" s="112"/>
      <c r="M331" s="112"/>
      <c r="N331" s="1"/>
      <c r="O331" s="1"/>
      <c r="P331" s="1"/>
      <c r="Q331" s="1"/>
      <c r="R331" s="1"/>
      <c r="S331" s="1"/>
      <c r="T331" s="1"/>
      <c r="U331" s="1"/>
      <c r="V331" s="1"/>
      <c r="W331" s="1"/>
      <c r="X331" s="1"/>
      <c r="Y331" s="1"/>
      <c r="Z331" s="1"/>
      <c r="AA331" s="1"/>
      <c r="AB331" s="1"/>
      <c r="AC331" s="1"/>
      <c r="AD331" s="1"/>
      <c r="AE331" s="1" t="s">
        <v>3281</v>
      </c>
      <c r="AF331" s="1"/>
      <c r="AG331" s="1"/>
      <c r="AH331" s="1"/>
      <c r="AI331" s="1"/>
      <c r="AJ331" s="1"/>
      <c r="AK331" s="1"/>
      <c r="AL331" s="1"/>
      <c r="AM331" s="1"/>
      <c r="AN331" s="1"/>
      <c r="AO331" s="1"/>
      <c r="AP331" s="1"/>
      <c r="AQ331" s="1"/>
      <c r="AR331" s="1"/>
      <c r="AS331" s="1"/>
      <c r="AT331" s="1"/>
      <c r="AU331" s="1"/>
      <c r="AV331" s="1"/>
      <c r="AW331" s="1"/>
      <c r="AX331" s="1"/>
      <c r="AY331" s="1"/>
      <c r="AZ331" s="1"/>
      <c r="BA331" s="1"/>
    </row>
    <row r="332" spans="1:53" ht="18" customHeight="1">
      <c r="A332" s="1"/>
      <c r="B332" s="1"/>
      <c r="C332" s="1"/>
      <c r="D332" s="1"/>
      <c r="E332" s="1"/>
      <c r="F332" s="1"/>
      <c r="G332" s="112"/>
      <c r="H332" s="112" t="s">
        <v>3282</v>
      </c>
      <c r="I332" s="112"/>
      <c r="J332" s="112"/>
      <c r="K332" s="112"/>
      <c r="L332" s="112"/>
      <c r="M332" s="112"/>
      <c r="N332" s="1"/>
      <c r="O332" s="1"/>
      <c r="P332" s="1"/>
      <c r="Q332" s="1"/>
      <c r="R332" s="1"/>
      <c r="S332" s="1"/>
      <c r="T332" s="1"/>
      <c r="U332" s="1"/>
      <c r="V332" s="1"/>
      <c r="W332" s="1"/>
      <c r="X332" s="1"/>
      <c r="Y332" s="1"/>
      <c r="Z332" s="1"/>
      <c r="AA332" s="1"/>
      <c r="AB332" s="1"/>
      <c r="AC332" s="1"/>
      <c r="AD332" s="1"/>
      <c r="AE332" s="1" t="s">
        <v>3283</v>
      </c>
      <c r="AF332" s="1"/>
      <c r="AG332" s="1"/>
      <c r="AH332" s="1"/>
      <c r="AI332" s="1"/>
      <c r="AJ332" s="1"/>
      <c r="AK332" s="1"/>
      <c r="AL332" s="1"/>
      <c r="AM332" s="1"/>
      <c r="AN332" s="1"/>
      <c r="AO332" s="1"/>
      <c r="AP332" s="1"/>
      <c r="AQ332" s="1"/>
      <c r="AR332" s="1"/>
      <c r="AS332" s="1"/>
      <c r="AT332" s="1"/>
      <c r="AU332" s="1"/>
      <c r="AV332" s="1"/>
      <c r="AW332" s="1"/>
      <c r="AX332" s="1"/>
      <c r="AY332" s="1"/>
      <c r="AZ332" s="1"/>
      <c r="BA332" s="1"/>
    </row>
    <row r="333" spans="1:53" ht="18" customHeight="1">
      <c r="A333" s="1"/>
      <c r="B333" s="1"/>
      <c r="C333" s="1"/>
      <c r="D333" s="1"/>
      <c r="E333" s="1"/>
      <c r="F333" s="1"/>
      <c r="G333" s="112"/>
      <c r="H333" s="112" t="s">
        <v>685</v>
      </c>
      <c r="I333" s="112"/>
      <c r="J333" s="112"/>
      <c r="K333" s="112"/>
      <c r="L333" s="112"/>
      <c r="M333" s="112"/>
      <c r="N333" s="1"/>
      <c r="O333" s="1"/>
      <c r="P333" s="1"/>
      <c r="Q333" s="1"/>
      <c r="R333" s="1"/>
      <c r="S333" s="1"/>
      <c r="T333" s="1"/>
      <c r="U333" s="1"/>
      <c r="V333" s="1"/>
      <c r="W333" s="1"/>
      <c r="X333" s="1"/>
      <c r="Y333" s="1"/>
      <c r="Z333" s="1"/>
      <c r="AA333" s="1"/>
      <c r="AB333" s="1"/>
      <c r="AC333" s="1"/>
      <c r="AD333" s="1"/>
      <c r="AE333" s="1" t="s">
        <v>3284</v>
      </c>
      <c r="AF333" s="1"/>
      <c r="AG333" s="1"/>
      <c r="AH333" s="1"/>
      <c r="AI333" s="1"/>
      <c r="AJ333" s="1"/>
      <c r="AK333" s="1"/>
      <c r="AL333" s="1"/>
      <c r="AM333" s="1"/>
      <c r="AN333" s="1"/>
      <c r="AO333" s="1"/>
      <c r="AP333" s="1"/>
      <c r="AQ333" s="1"/>
      <c r="AR333" s="1"/>
      <c r="AS333" s="1"/>
      <c r="AT333" s="1"/>
      <c r="AU333" s="1"/>
      <c r="AV333" s="1"/>
      <c r="AW333" s="1"/>
      <c r="AX333" s="1"/>
      <c r="AY333" s="1"/>
      <c r="AZ333" s="1"/>
      <c r="BA333" s="1"/>
    </row>
    <row r="334" spans="1:53" ht="18" customHeight="1">
      <c r="A334" s="1"/>
      <c r="B334" s="1"/>
      <c r="C334" s="1"/>
      <c r="D334" s="1"/>
      <c r="E334" s="1"/>
      <c r="F334" s="1"/>
      <c r="G334" s="112"/>
      <c r="H334" s="112" t="s">
        <v>3285</v>
      </c>
      <c r="I334" s="112"/>
      <c r="J334" s="112"/>
      <c r="K334" s="112"/>
      <c r="L334" s="112"/>
      <c r="M334" s="112"/>
      <c r="N334" s="1"/>
      <c r="O334" s="1"/>
      <c r="P334" s="1"/>
      <c r="Q334" s="1"/>
      <c r="R334" s="1"/>
      <c r="S334" s="1"/>
      <c r="T334" s="1"/>
      <c r="U334" s="1"/>
      <c r="V334" s="1"/>
      <c r="W334" s="1"/>
      <c r="X334" s="1"/>
      <c r="Y334" s="1"/>
      <c r="Z334" s="1"/>
      <c r="AA334" s="1"/>
      <c r="AB334" s="1"/>
      <c r="AC334" s="1"/>
      <c r="AD334" s="1"/>
      <c r="AE334" s="1" t="s">
        <v>3286</v>
      </c>
      <c r="AF334" s="1"/>
      <c r="AG334" s="1"/>
      <c r="AH334" s="1"/>
      <c r="AI334" s="1"/>
      <c r="AJ334" s="1"/>
      <c r="AK334" s="1"/>
      <c r="AL334" s="1"/>
      <c r="AM334" s="1"/>
      <c r="AN334" s="1"/>
      <c r="AO334" s="1"/>
      <c r="AP334" s="1"/>
      <c r="AQ334" s="1"/>
      <c r="AR334" s="1"/>
      <c r="AS334" s="1"/>
      <c r="AT334" s="1"/>
      <c r="AU334" s="1"/>
      <c r="AV334" s="1"/>
      <c r="AW334" s="1"/>
      <c r="AX334" s="1"/>
      <c r="AY334" s="1"/>
      <c r="AZ334" s="1"/>
      <c r="BA334" s="1"/>
    </row>
    <row r="335" spans="1:53" ht="18" customHeight="1">
      <c r="A335" s="1"/>
      <c r="B335" s="1"/>
      <c r="C335" s="1"/>
      <c r="D335" s="1"/>
      <c r="E335" s="1"/>
      <c r="F335" s="1"/>
      <c r="G335" s="112"/>
      <c r="H335" s="112"/>
      <c r="I335" s="112"/>
      <c r="J335" s="112"/>
      <c r="K335" s="112"/>
      <c r="L335" s="112"/>
      <c r="M335" s="112"/>
      <c r="N335" s="1"/>
      <c r="O335" s="1"/>
      <c r="P335" s="1"/>
      <c r="Q335" s="1"/>
      <c r="R335" s="1"/>
      <c r="S335" s="1"/>
      <c r="T335" s="1"/>
      <c r="U335" s="1"/>
      <c r="V335" s="1"/>
      <c r="W335" s="1"/>
      <c r="X335" s="1"/>
      <c r="Y335" s="1"/>
      <c r="Z335" s="1"/>
      <c r="AA335" s="1"/>
      <c r="AB335" s="1"/>
      <c r="AC335" s="1"/>
      <c r="AD335" s="1"/>
      <c r="AE335" s="1" t="s">
        <v>3287</v>
      </c>
      <c r="AF335" s="1"/>
      <c r="AG335" s="1"/>
      <c r="AH335" s="1"/>
      <c r="AI335" s="1"/>
      <c r="AJ335" s="1"/>
      <c r="AK335" s="1"/>
      <c r="AL335" s="1"/>
      <c r="AM335" s="1"/>
      <c r="AN335" s="1"/>
      <c r="AO335" s="1"/>
      <c r="AP335" s="1"/>
      <c r="AQ335" s="1"/>
      <c r="AR335" s="1"/>
      <c r="AS335" s="1"/>
      <c r="AT335" s="1"/>
      <c r="AU335" s="1"/>
      <c r="AV335" s="1"/>
      <c r="AW335" s="1"/>
      <c r="AX335" s="1"/>
      <c r="AY335" s="1"/>
      <c r="AZ335" s="1"/>
      <c r="BA335" s="1"/>
    </row>
    <row r="336" spans="1:53" ht="18"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t="s">
        <v>3288</v>
      </c>
      <c r="AF336" s="1"/>
      <c r="AG336" s="1"/>
      <c r="AH336" s="1"/>
      <c r="AI336" s="1"/>
      <c r="AJ336" s="1"/>
      <c r="AK336" s="1"/>
      <c r="AL336" s="1"/>
      <c r="AM336" s="1"/>
      <c r="AN336" s="1"/>
      <c r="AO336" s="1"/>
      <c r="AP336" s="1"/>
      <c r="AQ336" s="1"/>
      <c r="AR336" s="1"/>
      <c r="AS336" s="1"/>
      <c r="AT336" s="1"/>
      <c r="AU336" s="1"/>
      <c r="AV336" s="1"/>
      <c r="AW336" s="1"/>
      <c r="AX336" s="1"/>
      <c r="AY336" s="1"/>
      <c r="AZ336" s="1"/>
      <c r="BA336" s="1"/>
    </row>
    <row r="337" spans="1:53" ht="18"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t="s">
        <v>3289</v>
      </c>
      <c r="AF337" s="1"/>
      <c r="AG337" s="1"/>
      <c r="AH337" s="1"/>
      <c r="AI337" s="1"/>
      <c r="AJ337" s="1"/>
      <c r="AK337" s="1"/>
      <c r="AL337" s="1"/>
      <c r="AM337" s="1"/>
      <c r="AN337" s="1"/>
      <c r="AO337" s="1"/>
      <c r="AP337" s="1"/>
      <c r="AQ337" s="1"/>
      <c r="AR337" s="1"/>
      <c r="AS337" s="1"/>
      <c r="AT337" s="1"/>
      <c r="AU337" s="1"/>
      <c r="AV337" s="1"/>
      <c r="AW337" s="1"/>
      <c r="AX337" s="1"/>
      <c r="AY337" s="1"/>
      <c r="AZ337" s="1"/>
      <c r="BA337" s="1"/>
    </row>
    <row r="338" spans="1:53" ht="18"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t="s">
        <v>3290</v>
      </c>
      <c r="AF338" s="1"/>
      <c r="AG338" s="1"/>
      <c r="AH338" s="1"/>
      <c r="AI338" s="1"/>
      <c r="AJ338" s="1"/>
      <c r="AK338" s="1"/>
      <c r="AL338" s="1"/>
      <c r="AM338" s="1"/>
      <c r="AN338" s="1"/>
      <c r="AO338" s="1"/>
      <c r="AP338" s="1"/>
      <c r="AQ338" s="1"/>
      <c r="AR338" s="1"/>
      <c r="AS338" s="1"/>
      <c r="AT338" s="1"/>
      <c r="AU338" s="1"/>
      <c r="AV338" s="1"/>
      <c r="AW338" s="1"/>
      <c r="AX338" s="1"/>
      <c r="AY338" s="1"/>
      <c r="AZ338" s="1"/>
      <c r="BA338" s="1"/>
    </row>
    <row r="339" spans="1:53" ht="18"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t="s">
        <v>3291</v>
      </c>
      <c r="AF339" s="1"/>
      <c r="AG339" s="1"/>
      <c r="AH339" s="1"/>
      <c r="AI339" s="1"/>
      <c r="AJ339" s="1"/>
      <c r="AK339" s="1"/>
      <c r="AL339" s="1"/>
      <c r="AM339" s="1"/>
      <c r="AN339" s="1"/>
      <c r="AO339" s="1"/>
      <c r="AP339" s="1"/>
      <c r="AQ339" s="1"/>
      <c r="AR339" s="1"/>
      <c r="AS339" s="1"/>
      <c r="AT339" s="1"/>
      <c r="AU339" s="1"/>
      <c r="AV339" s="1"/>
      <c r="AW339" s="1"/>
      <c r="AX339" s="1"/>
      <c r="AY339" s="1"/>
      <c r="AZ339" s="1"/>
      <c r="BA339" s="1"/>
    </row>
    <row r="340" spans="1:53" ht="18"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t="s">
        <v>3292</v>
      </c>
      <c r="AF340" s="1"/>
      <c r="AG340" s="1"/>
      <c r="AH340" s="1"/>
      <c r="AI340" s="1"/>
      <c r="AJ340" s="1"/>
      <c r="AK340" s="1"/>
      <c r="AL340" s="1"/>
      <c r="AM340" s="1"/>
      <c r="AN340" s="1"/>
      <c r="AO340" s="1"/>
      <c r="AP340" s="1"/>
      <c r="AQ340" s="1"/>
      <c r="AR340" s="1"/>
      <c r="AS340" s="1"/>
      <c r="AT340" s="1"/>
      <c r="AU340" s="1"/>
      <c r="AV340" s="1"/>
      <c r="AW340" s="1"/>
      <c r="AX340" s="1"/>
      <c r="AY340" s="1"/>
      <c r="AZ340" s="1"/>
      <c r="BA340" s="1"/>
    </row>
    <row r="341" spans="1:53" ht="18"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t="s">
        <v>3293</v>
      </c>
      <c r="AF341" s="1"/>
      <c r="AG341" s="1"/>
      <c r="AH341" s="1"/>
      <c r="AI341" s="1"/>
      <c r="AJ341" s="1"/>
      <c r="AK341" s="1"/>
      <c r="AL341" s="1"/>
      <c r="AM341" s="1"/>
      <c r="AN341" s="1"/>
      <c r="AO341" s="1"/>
      <c r="AP341" s="1"/>
      <c r="AQ341" s="1"/>
      <c r="AR341" s="1"/>
      <c r="AS341" s="1"/>
      <c r="AT341" s="1"/>
      <c r="AU341" s="1"/>
      <c r="AV341" s="1"/>
      <c r="AW341" s="1"/>
      <c r="AX341" s="1"/>
      <c r="AY341" s="1"/>
      <c r="AZ341" s="1"/>
      <c r="BA341" s="1"/>
    </row>
    <row r="342" spans="1:53" ht="18"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t="s">
        <v>3294</v>
      </c>
      <c r="AF342" s="1"/>
      <c r="AG342" s="1"/>
      <c r="AH342" s="1"/>
      <c r="AI342" s="1"/>
      <c r="AJ342" s="1"/>
      <c r="AK342" s="1"/>
      <c r="AL342" s="1"/>
      <c r="AM342" s="1"/>
      <c r="AN342" s="1"/>
      <c r="AO342" s="1"/>
      <c r="AP342" s="1"/>
      <c r="AQ342" s="1"/>
      <c r="AR342" s="1"/>
      <c r="AS342" s="1"/>
      <c r="AT342" s="1"/>
      <c r="AU342" s="1"/>
      <c r="AV342" s="1"/>
      <c r="AW342" s="1"/>
      <c r="AX342" s="1"/>
      <c r="AY342" s="1"/>
      <c r="AZ342" s="1"/>
      <c r="BA342" s="1"/>
    </row>
    <row r="343" spans="1:53" ht="18"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t="s">
        <v>3295</v>
      </c>
      <c r="AF343" s="1"/>
      <c r="AG343" s="1"/>
      <c r="AH343" s="1"/>
      <c r="AI343" s="1"/>
      <c r="AJ343" s="1"/>
      <c r="AK343" s="1"/>
      <c r="AL343" s="1"/>
      <c r="AM343" s="1"/>
      <c r="AN343" s="1"/>
      <c r="AO343" s="1"/>
      <c r="AP343" s="1"/>
      <c r="AQ343" s="1"/>
      <c r="AR343" s="1"/>
      <c r="AS343" s="1"/>
      <c r="AT343" s="1"/>
      <c r="AU343" s="1"/>
      <c r="AV343" s="1"/>
      <c r="AW343" s="1"/>
      <c r="AX343" s="1"/>
      <c r="AY343" s="1"/>
      <c r="AZ343" s="1"/>
      <c r="BA343" s="1"/>
    </row>
    <row r="344" spans="1:53" ht="18"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t="s">
        <v>3296</v>
      </c>
      <c r="AF344" s="1"/>
      <c r="AG344" s="1"/>
      <c r="AH344" s="1"/>
      <c r="AI344" s="1"/>
      <c r="AJ344" s="1"/>
      <c r="AK344" s="1"/>
      <c r="AL344" s="1"/>
      <c r="AM344" s="1"/>
      <c r="AN344" s="1"/>
      <c r="AO344" s="1"/>
      <c r="AP344" s="1"/>
      <c r="AQ344" s="1"/>
      <c r="AR344" s="1"/>
      <c r="AS344" s="1"/>
      <c r="AT344" s="1"/>
      <c r="AU344" s="1"/>
      <c r="AV344" s="1"/>
      <c r="AW344" s="1"/>
      <c r="AX344" s="1"/>
      <c r="AY344" s="1"/>
      <c r="AZ344" s="1"/>
      <c r="BA344" s="1"/>
    </row>
    <row r="345" spans="1:53" ht="18"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t="s">
        <v>3297</v>
      </c>
      <c r="AF345" s="1"/>
      <c r="AG345" s="1"/>
      <c r="AH345" s="1"/>
      <c r="AI345" s="1"/>
      <c r="AJ345" s="1"/>
      <c r="AK345" s="1"/>
      <c r="AL345" s="1"/>
      <c r="AM345" s="1"/>
      <c r="AN345" s="1"/>
      <c r="AO345" s="1"/>
      <c r="AP345" s="1"/>
      <c r="AQ345" s="1"/>
      <c r="AR345" s="1"/>
      <c r="AS345" s="1"/>
      <c r="AT345" s="1"/>
      <c r="AU345" s="1"/>
      <c r="AV345" s="1"/>
      <c r="AW345" s="1"/>
      <c r="AX345" s="1"/>
      <c r="AY345" s="1"/>
      <c r="AZ345" s="1"/>
      <c r="BA345" s="1"/>
    </row>
    <row r="346" spans="1:53" ht="18"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t="s">
        <v>3298</v>
      </c>
      <c r="AF346" s="1"/>
      <c r="AG346" s="1"/>
      <c r="AH346" s="1"/>
      <c r="AI346" s="1"/>
      <c r="AJ346" s="1"/>
      <c r="AK346" s="1"/>
      <c r="AL346" s="1"/>
      <c r="AM346" s="1"/>
      <c r="AN346" s="1"/>
      <c r="AO346" s="1"/>
      <c r="AP346" s="1"/>
      <c r="AQ346" s="1"/>
      <c r="AR346" s="1"/>
      <c r="AS346" s="1"/>
      <c r="AT346" s="1"/>
      <c r="AU346" s="1"/>
      <c r="AV346" s="1"/>
      <c r="AW346" s="1"/>
      <c r="AX346" s="1"/>
      <c r="AY346" s="1"/>
      <c r="AZ346" s="1"/>
      <c r="BA346" s="1"/>
    </row>
    <row r="347" spans="1:53" ht="18"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t="s">
        <v>3299</v>
      </c>
      <c r="AF347" s="1"/>
      <c r="AG347" s="1"/>
      <c r="AH347" s="1"/>
      <c r="AI347" s="1"/>
      <c r="AJ347" s="1"/>
      <c r="AK347" s="1"/>
      <c r="AL347" s="1"/>
      <c r="AM347" s="1"/>
      <c r="AN347" s="1"/>
      <c r="AO347" s="1"/>
      <c r="AP347" s="1"/>
      <c r="AQ347" s="1"/>
      <c r="AR347" s="1"/>
      <c r="AS347" s="1"/>
      <c r="AT347" s="1"/>
      <c r="AU347" s="1"/>
      <c r="AV347" s="1"/>
      <c r="AW347" s="1"/>
      <c r="AX347" s="1"/>
      <c r="AY347" s="1"/>
      <c r="AZ347" s="1"/>
      <c r="BA347" s="1"/>
    </row>
    <row r="348" spans="1:53" ht="18"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row>
    <row r="349" spans="1:53" ht="18"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t="s">
        <v>3300</v>
      </c>
      <c r="AF349" s="1"/>
      <c r="AG349" s="1"/>
      <c r="AH349" s="1"/>
      <c r="AI349" s="1"/>
      <c r="AJ349" s="1"/>
      <c r="AK349" s="1"/>
      <c r="AL349" s="1"/>
      <c r="AM349" s="1"/>
      <c r="AN349" s="1"/>
      <c r="AO349" s="1"/>
      <c r="AP349" s="1"/>
      <c r="AQ349" s="1"/>
      <c r="AR349" s="1"/>
      <c r="AS349" s="1"/>
      <c r="AT349" s="1"/>
      <c r="AU349" s="1"/>
      <c r="AV349" s="1"/>
      <c r="AW349" s="1"/>
      <c r="AX349" s="1"/>
      <c r="AY349" s="1"/>
      <c r="AZ349" s="1"/>
      <c r="BA349" s="1"/>
    </row>
    <row r="350" spans="1:53" ht="18"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row>
    <row r="351" spans="1:53" ht="18"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t="s">
        <v>3301</v>
      </c>
      <c r="AF351" s="1"/>
      <c r="AG351" s="1"/>
      <c r="AH351" s="1"/>
      <c r="AI351" s="1"/>
      <c r="AJ351" s="1"/>
      <c r="AK351" s="1"/>
      <c r="AL351" s="1"/>
      <c r="AM351" s="1"/>
      <c r="AN351" s="1"/>
      <c r="AO351" s="1"/>
      <c r="AP351" s="1"/>
      <c r="AQ351" s="1"/>
      <c r="AR351" s="1"/>
      <c r="AS351" s="1"/>
      <c r="AT351" s="1"/>
      <c r="AU351" s="1"/>
      <c r="AV351" s="1"/>
      <c r="AW351" s="1"/>
      <c r="AX351" s="1"/>
      <c r="AY351" s="1"/>
      <c r="AZ351" s="1"/>
      <c r="BA351" s="1"/>
    </row>
    <row r="352" spans="1:53" ht="18"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row>
    <row r="353" spans="1:53" ht="18"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t="s">
        <v>2450</v>
      </c>
      <c r="AF353" s="1"/>
      <c r="AG353" s="1"/>
      <c r="AH353" s="1"/>
      <c r="AI353" s="1"/>
      <c r="AJ353" s="1"/>
      <c r="AK353" s="1"/>
      <c r="AL353" s="1"/>
      <c r="AM353" s="1"/>
      <c r="AN353" s="1"/>
      <c r="AO353" s="1"/>
      <c r="AP353" s="1"/>
      <c r="AQ353" s="1"/>
      <c r="AR353" s="1"/>
      <c r="AS353" s="1"/>
      <c r="AT353" s="1"/>
      <c r="AU353" s="1"/>
      <c r="AV353" s="1"/>
      <c r="AW353" s="1"/>
      <c r="AX353" s="1"/>
      <c r="AY353" s="1"/>
      <c r="AZ353" s="1"/>
      <c r="BA353" s="1"/>
    </row>
    <row r="354" spans="1:53" ht="18"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t="s">
        <v>2860</v>
      </c>
      <c r="AF354" s="1"/>
      <c r="AG354" s="1"/>
      <c r="AH354" s="1"/>
      <c r="AI354" s="1"/>
      <c r="AJ354" s="1"/>
      <c r="AK354" s="1"/>
      <c r="AL354" s="1"/>
      <c r="AM354" s="1"/>
      <c r="AN354" s="1"/>
      <c r="AO354" s="1"/>
      <c r="AP354" s="1"/>
      <c r="AQ354" s="1"/>
      <c r="AR354" s="1"/>
      <c r="AS354" s="1"/>
      <c r="AT354" s="1"/>
      <c r="AU354" s="1"/>
      <c r="AV354" s="1"/>
      <c r="AW354" s="1"/>
      <c r="AX354" s="1"/>
      <c r="AY354" s="1"/>
      <c r="AZ354" s="1"/>
      <c r="BA354" s="1"/>
    </row>
    <row r="355" spans="1:53" ht="18"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t="s">
        <v>2700</v>
      </c>
      <c r="AF355" s="1"/>
      <c r="AG355" s="1"/>
      <c r="AH355" s="1"/>
      <c r="AI355" s="1"/>
      <c r="AJ355" s="1"/>
      <c r="AK355" s="1"/>
      <c r="AL355" s="1"/>
      <c r="AM355" s="1"/>
      <c r="AN355" s="1"/>
      <c r="AO355" s="1"/>
      <c r="AP355" s="1"/>
      <c r="AQ355" s="1"/>
      <c r="AR355" s="1"/>
      <c r="AS355" s="1"/>
      <c r="AT355" s="1"/>
      <c r="AU355" s="1"/>
      <c r="AV355" s="1"/>
      <c r="AW355" s="1"/>
      <c r="AX355" s="1"/>
      <c r="AY355" s="1"/>
      <c r="AZ355" s="1"/>
      <c r="BA355" s="1"/>
    </row>
    <row r="356" spans="1:53" ht="18"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t="s">
        <v>3302</v>
      </c>
      <c r="AF356" s="1"/>
      <c r="AG356" s="1"/>
      <c r="AH356" s="1"/>
      <c r="AI356" s="1"/>
      <c r="AJ356" s="1"/>
      <c r="AK356" s="1"/>
      <c r="AL356" s="1"/>
      <c r="AM356" s="1"/>
      <c r="AN356" s="1"/>
      <c r="AO356" s="1"/>
      <c r="AP356" s="1"/>
      <c r="AQ356" s="1"/>
      <c r="AR356" s="1"/>
      <c r="AS356" s="1"/>
      <c r="AT356" s="1"/>
      <c r="AU356" s="1"/>
      <c r="AV356" s="1"/>
      <c r="AW356" s="1"/>
      <c r="AX356" s="1"/>
      <c r="AY356" s="1"/>
      <c r="AZ356" s="1"/>
      <c r="BA356" s="1"/>
    </row>
    <row r="357" spans="1:53"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t="s">
        <v>2868</v>
      </c>
      <c r="AF357" s="1"/>
      <c r="AG357" s="1"/>
      <c r="AH357" s="1"/>
      <c r="AI357" s="1"/>
      <c r="AJ357" s="1"/>
      <c r="AK357" s="1"/>
      <c r="AL357" s="1"/>
      <c r="AM357" s="1"/>
      <c r="AN357" s="1"/>
      <c r="AO357" s="1"/>
      <c r="AP357" s="1"/>
      <c r="AQ357" s="1"/>
      <c r="AR357" s="1"/>
      <c r="AS357" s="1"/>
      <c r="AT357" s="1"/>
      <c r="AU357" s="1"/>
      <c r="AV357" s="1"/>
      <c r="AW357" s="1"/>
      <c r="AX357" s="1"/>
      <c r="AY357" s="1"/>
      <c r="AZ357" s="1"/>
      <c r="BA357" s="1"/>
    </row>
    <row r="358" spans="1:53"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t="s">
        <v>3303</v>
      </c>
      <c r="AF358" s="1"/>
      <c r="AG358" s="1"/>
      <c r="AH358" s="1"/>
      <c r="AI358" s="1"/>
      <c r="AJ358" s="1"/>
      <c r="AK358" s="1"/>
      <c r="AL358" s="1"/>
      <c r="AM358" s="1"/>
      <c r="AN358" s="1"/>
      <c r="AO358" s="1"/>
      <c r="AP358" s="1"/>
      <c r="AQ358" s="1"/>
      <c r="AR358" s="1"/>
      <c r="AS358" s="1"/>
      <c r="AT358" s="1"/>
      <c r="AU358" s="1"/>
      <c r="AV358" s="1"/>
      <c r="AW358" s="1"/>
      <c r="AX358" s="1"/>
      <c r="AY358" s="1"/>
      <c r="AZ358" s="1"/>
      <c r="BA358" s="1"/>
    </row>
    <row r="359" spans="1:53"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t="s">
        <v>2450</v>
      </c>
      <c r="AF359" s="1"/>
      <c r="AG359" s="1"/>
      <c r="AH359" s="1"/>
      <c r="AI359" s="1"/>
      <c r="AJ359" s="1"/>
      <c r="AK359" s="1"/>
      <c r="AL359" s="1"/>
      <c r="AM359" s="1"/>
      <c r="AN359" s="1"/>
      <c r="AO359" s="1"/>
      <c r="AP359" s="1"/>
      <c r="AQ359" s="1"/>
      <c r="AR359" s="1"/>
      <c r="AS359" s="1"/>
      <c r="AT359" s="1"/>
      <c r="AU359" s="1"/>
      <c r="AV359" s="1"/>
      <c r="AW359" s="1"/>
      <c r="AX359" s="1"/>
      <c r="AY359" s="1"/>
      <c r="AZ359" s="1"/>
      <c r="BA359" s="1"/>
    </row>
    <row r="360" spans="1:53" ht="18"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t="s">
        <v>3304</v>
      </c>
      <c r="AF360" s="2"/>
      <c r="AG360" s="2"/>
      <c r="AH360" s="2"/>
      <c r="AI360" s="2"/>
      <c r="AJ360" s="2"/>
      <c r="AK360" s="2"/>
      <c r="AL360" s="2"/>
      <c r="AM360" s="2"/>
      <c r="AN360" s="2"/>
      <c r="AO360" s="2"/>
      <c r="AP360" s="2"/>
      <c r="AQ360" s="2"/>
      <c r="AR360" s="2"/>
      <c r="AS360" s="2"/>
      <c r="AT360" s="2"/>
      <c r="AU360" s="2"/>
      <c r="AV360" s="2"/>
      <c r="AW360" s="2"/>
      <c r="AX360" s="2"/>
      <c r="AY360" s="2"/>
      <c r="AZ360" s="2"/>
      <c r="BA360"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2F3A56"/>
  </sheetPr>
  <dimension ref="A1:P20"/>
  <sheetViews>
    <sheetView showGridLines="0" workbookViewId="0"/>
  </sheetViews>
  <sheetFormatPr defaultColWidth="9.125" defaultRowHeight="16.5"/>
  <cols>
    <col min="1" max="1" width="26.25" style="126" customWidth="1"/>
    <col min="2" max="2" width="17.375" style="126" customWidth="1"/>
    <col min="3" max="3" width="14" style="126" customWidth="1"/>
    <col min="4" max="16384" width="9.125" style="126"/>
  </cols>
  <sheetData>
    <row r="1" spans="1:16" s="229" customFormat="1" ht="23.25">
      <c r="I1" s="230" t="s">
        <v>4326</v>
      </c>
    </row>
    <row r="2" spans="1:16" s="229" customFormat="1" ht="15" customHeight="1">
      <c r="A2" s="231" t="s">
        <v>3305</v>
      </c>
      <c r="B2" s="231" t="s">
        <v>3306</v>
      </c>
      <c r="C2" s="231" t="s">
        <v>3307</v>
      </c>
      <c r="D2" s="231" t="s">
        <v>2559</v>
      </c>
      <c r="E2" s="232"/>
      <c r="F2" s="232"/>
    </row>
    <row r="3" spans="1:16">
      <c r="A3" s="233" t="s">
        <v>3308</v>
      </c>
      <c r="B3" s="233" t="s">
        <v>3309</v>
      </c>
      <c r="C3" s="233" t="s">
        <v>3310</v>
      </c>
      <c r="D3" s="233" t="s">
        <v>3311</v>
      </c>
      <c r="E3" s="233"/>
      <c r="F3" s="233"/>
    </row>
    <row r="4" spans="1:16">
      <c r="A4" s="233" t="s">
        <v>3312</v>
      </c>
      <c r="B4" s="233" t="s">
        <v>3309</v>
      </c>
      <c r="C4" s="233" t="s">
        <v>3313</v>
      </c>
      <c r="D4" s="233" t="s">
        <v>3311</v>
      </c>
      <c r="E4" s="233"/>
      <c r="F4" s="233"/>
    </row>
    <row r="5" spans="1:16">
      <c r="A5" s="233" t="s">
        <v>3314</v>
      </c>
      <c r="B5" s="233" t="s">
        <v>3309</v>
      </c>
      <c r="C5" s="233" t="s">
        <v>3315</v>
      </c>
      <c r="D5" s="233" t="s">
        <v>3311</v>
      </c>
      <c r="E5" s="233"/>
      <c r="F5" s="233"/>
    </row>
    <row r="6" spans="1:16">
      <c r="A6" s="233" t="s">
        <v>3316</v>
      </c>
      <c r="B6" s="233" t="s">
        <v>3309</v>
      </c>
      <c r="C6" s="233" t="s">
        <v>3317</v>
      </c>
      <c r="D6" s="233" t="s">
        <v>3311</v>
      </c>
      <c r="E6" s="233"/>
      <c r="F6" s="233"/>
    </row>
    <row r="7" spans="1:16">
      <c r="A7" s="233" t="s">
        <v>3318</v>
      </c>
      <c r="B7" s="233" t="s">
        <v>3319</v>
      </c>
      <c r="C7" s="233" t="s">
        <v>3320</v>
      </c>
      <c r="D7" s="233" t="s">
        <v>3311</v>
      </c>
      <c r="E7" s="233"/>
      <c r="F7" s="233"/>
    </row>
    <row r="8" spans="1:16">
      <c r="A8" s="233" t="s">
        <v>3321</v>
      </c>
      <c r="B8" s="233" t="s">
        <v>3322</v>
      </c>
      <c r="C8" s="233" t="s">
        <v>3323</v>
      </c>
      <c r="D8" s="233" t="s">
        <v>3311</v>
      </c>
      <c r="E8" s="233" t="s">
        <v>3324</v>
      </c>
      <c r="F8" s="233"/>
    </row>
    <row r="9" spans="1:16">
      <c r="A9" s="233" t="s">
        <v>3325</v>
      </c>
      <c r="B9" s="233" t="s">
        <v>3326</v>
      </c>
      <c r="C9" s="233" t="s">
        <v>3327</v>
      </c>
      <c r="D9" s="233" t="s">
        <v>3311</v>
      </c>
      <c r="E9" s="233"/>
      <c r="F9" s="233"/>
    </row>
    <row r="10" spans="1:16">
      <c r="A10" s="233" t="s">
        <v>2266</v>
      </c>
      <c r="B10" s="233" t="s">
        <v>3319</v>
      </c>
      <c r="C10" s="233" t="s">
        <v>3328</v>
      </c>
      <c r="D10" s="233" t="s">
        <v>3311</v>
      </c>
      <c r="E10" s="233"/>
      <c r="F10" s="233"/>
    </row>
    <row r="11" spans="1:16">
      <c r="A11" s="233" t="s">
        <v>3329</v>
      </c>
      <c r="B11" s="233" t="s">
        <v>3319</v>
      </c>
      <c r="C11" s="233" t="s">
        <v>3328</v>
      </c>
      <c r="D11" s="233" t="s">
        <v>3311</v>
      </c>
      <c r="E11" s="233"/>
      <c r="F11" s="233"/>
      <c r="P11" s="129"/>
    </row>
    <row r="12" spans="1:16">
      <c r="A12" s="233" t="s">
        <v>2289</v>
      </c>
      <c r="B12" s="233" t="s">
        <v>3319</v>
      </c>
      <c r="C12" s="233" t="s">
        <v>3330</v>
      </c>
      <c r="D12" s="233" t="s">
        <v>3311</v>
      </c>
      <c r="E12" s="233"/>
      <c r="F12" s="233"/>
    </row>
    <row r="13" spans="1:16">
      <c r="A13" s="233" t="s">
        <v>3331</v>
      </c>
      <c r="B13" s="233"/>
      <c r="C13" s="233"/>
      <c r="D13" s="233"/>
      <c r="E13" s="233"/>
      <c r="F13" s="233"/>
    </row>
    <row r="14" spans="1:16">
      <c r="A14" s="233" t="s">
        <v>3332</v>
      </c>
      <c r="B14" s="233"/>
      <c r="C14" s="233"/>
      <c r="D14" s="233"/>
      <c r="E14" s="233"/>
      <c r="F14" s="233"/>
    </row>
    <row r="15" spans="1:16">
      <c r="A15" s="233" t="s">
        <v>3333</v>
      </c>
      <c r="B15" s="233"/>
      <c r="C15" s="233"/>
      <c r="D15" s="233"/>
      <c r="E15" s="233"/>
      <c r="F15" s="233"/>
    </row>
    <row r="16" spans="1:16">
      <c r="A16" s="233" t="s">
        <v>3334</v>
      </c>
      <c r="B16" s="233"/>
      <c r="C16" s="233"/>
      <c r="D16" s="233"/>
      <c r="E16" s="233"/>
      <c r="F16" s="233"/>
    </row>
    <row r="17" spans="1:6">
      <c r="A17" s="233" t="s">
        <v>3335</v>
      </c>
      <c r="B17" s="233"/>
      <c r="C17" s="233"/>
      <c r="D17" s="233"/>
      <c r="E17" s="233"/>
      <c r="F17" s="233"/>
    </row>
    <row r="18" spans="1:6">
      <c r="A18" s="233" t="s">
        <v>3336</v>
      </c>
      <c r="B18" s="233"/>
      <c r="C18" s="233"/>
      <c r="D18" s="233"/>
      <c r="E18" s="233"/>
      <c r="F18" s="233"/>
    </row>
    <row r="19" spans="1:6">
      <c r="A19" s="233" t="s">
        <v>3337</v>
      </c>
      <c r="B19" s="233"/>
      <c r="C19" s="233"/>
      <c r="D19" s="233"/>
      <c r="E19" s="233"/>
      <c r="F19" s="233"/>
    </row>
    <row r="20" spans="1:6">
      <c r="A20" s="234" t="s">
        <v>3338</v>
      </c>
      <c r="B20" s="234"/>
      <c r="C20" s="234"/>
      <c r="D20" s="234"/>
      <c r="E20" s="234"/>
      <c r="F20" s="234"/>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rgb="FF2F3A56"/>
  </sheetPr>
  <dimension ref="A1:X84"/>
  <sheetViews>
    <sheetView showGridLines="0" workbookViewId="0"/>
  </sheetViews>
  <sheetFormatPr defaultColWidth="9.125" defaultRowHeight="15"/>
  <cols>
    <col min="1" max="1" width="31" style="28" customWidth="1"/>
    <col min="2" max="2" width="20.125" style="28" customWidth="1"/>
    <col min="3" max="3" width="18.625" style="28" customWidth="1"/>
    <col min="4" max="4" width="21" style="28" customWidth="1"/>
    <col min="5" max="16384" width="9.125" style="28"/>
  </cols>
  <sheetData>
    <row r="1" spans="1:24" ht="30.75" customHeight="1">
      <c r="A1" s="184"/>
      <c r="B1" s="235"/>
      <c r="C1" s="167"/>
      <c r="D1" s="167"/>
      <c r="E1" s="167"/>
      <c r="F1" s="167"/>
      <c r="G1" s="79" t="s">
        <v>3895</v>
      </c>
      <c r="H1" s="167"/>
      <c r="I1" s="167"/>
      <c r="J1" s="167"/>
      <c r="K1" s="167"/>
      <c r="L1" s="167"/>
      <c r="M1" s="167"/>
      <c r="N1" s="167"/>
      <c r="O1" s="167"/>
      <c r="P1" s="27"/>
      <c r="Q1" s="27"/>
      <c r="R1" s="27"/>
      <c r="S1" s="27"/>
      <c r="T1" s="27"/>
      <c r="U1" s="27"/>
      <c r="V1" s="27"/>
      <c r="W1" s="27"/>
      <c r="X1" s="27"/>
    </row>
    <row r="2" spans="1:24" s="40" customFormat="1" ht="18" customHeight="1">
      <c r="A2" s="236" t="s">
        <v>4532</v>
      </c>
      <c r="B2" s="237"/>
      <c r="C2" s="237"/>
      <c r="D2" s="237"/>
      <c r="E2" s="238"/>
      <c r="F2" s="238"/>
      <c r="G2" s="238"/>
      <c r="H2" s="238"/>
      <c r="I2" s="238"/>
      <c r="J2" s="238"/>
      <c r="K2" s="238"/>
      <c r="L2" s="238"/>
      <c r="M2" s="238"/>
      <c r="N2" s="238"/>
      <c r="O2" s="238"/>
    </row>
    <row r="3" spans="1:24" ht="18" customHeight="1">
      <c r="A3" s="199" t="s">
        <v>3826</v>
      </c>
      <c r="B3" s="151"/>
      <c r="C3" s="151"/>
      <c r="D3" s="151"/>
      <c r="E3" s="87"/>
      <c r="F3" s="87"/>
      <c r="G3" s="87"/>
      <c r="H3" s="87"/>
      <c r="I3" s="87"/>
      <c r="J3" s="87"/>
      <c r="K3" s="87"/>
      <c r="L3" s="87"/>
      <c r="M3" s="87"/>
      <c r="N3" s="87"/>
      <c r="O3" s="87"/>
    </row>
    <row r="4" spans="1:24" ht="18" customHeight="1">
      <c r="A4" s="200"/>
      <c r="B4" s="151"/>
      <c r="C4" s="151"/>
      <c r="D4" s="151"/>
      <c r="E4" s="87"/>
      <c r="F4" s="87"/>
      <c r="G4" s="87"/>
      <c r="H4" s="87"/>
      <c r="I4" s="87"/>
      <c r="J4" s="87"/>
      <c r="K4" s="87"/>
      <c r="L4" s="87"/>
      <c r="M4" s="87"/>
      <c r="N4" s="87"/>
      <c r="O4" s="87"/>
    </row>
    <row r="5" spans="1:24" ht="18" customHeight="1">
      <c r="A5" s="199" t="s">
        <v>3827</v>
      </c>
      <c r="B5" s="151"/>
      <c r="C5" s="151"/>
      <c r="D5" s="151"/>
      <c r="E5" s="87"/>
      <c r="F5" s="87"/>
      <c r="G5" s="87"/>
      <c r="H5" s="87"/>
      <c r="I5" s="87"/>
      <c r="J5" s="87"/>
      <c r="K5" s="87"/>
      <c r="L5" s="87"/>
      <c r="M5" s="87"/>
      <c r="N5" s="87"/>
      <c r="O5" s="87"/>
    </row>
    <row r="6" spans="1:24" ht="18" customHeight="1">
      <c r="A6" s="200"/>
      <c r="B6" s="151"/>
      <c r="C6" s="151"/>
      <c r="D6" s="151"/>
      <c r="E6" s="87"/>
      <c r="F6" s="87"/>
      <c r="G6" s="87"/>
      <c r="H6" s="87"/>
      <c r="I6" s="87"/>
      <c r="J6" s="87"/>
      <c r="K6" s="87"/>
      <c r="L6" s="87"/>
      <c r="M6" s="87"/>
      <c r="N6" s="87"/>
      <c r="O6" s="87"/>
    </row>
    <row r="7" spans="1:24" ht="18" customHeight="1">
      <c r="A7" s="199" t="s">
        <v>3828</v>
      </c>
      <c r="B7" s="151"/>
      <c r="C7" s="151"/>
      <c r="D7" s="151"/>
      <c r="E7" s="87"/>
      <c r="F7" s="87"/>
      <c r="G7" s="87"/>
      <c r="H7" s="87"/>
      <c r="I7" s="87"/>
      <c r="J7" s="87"/>
      <c r="K7" s="87"/>
      <c r="L7" s="87"/>
      <c r="M7" s="87"/>
      <c r="N7" s="87"/>
      <c r="O7" s="87"/>
    </row>
    <row r="8" spans="1:24" ht="18" customHeight="1">
      <c r="A8" s="200"/>
      <c r="B8" s="151"/>
      <c r="C8" s="151"/>
      <c r="D8" s="151"/>
      <c r="E8" s="87"/>
      <c r="F8" s="87"/>
      <c r="G8" s="87"/>
      <c r="H8" s="87"/>
      <c r="I8" s="87"/>
      <c r="J8" s="87"/>
      <c r="K8" s="87"/>
      <c r="L8" s="87"/>
      <c r="M8" s="87"/>
      <c r="N8" s="87"/>
      <c r="O8" s="87"/>
    </row>
    <row r="9" spans="1:24" ht="18" customHeight="1">
      <c r="A9" s="199" t="s">
        <v>3829</v>
      </c>
      <c r="B9" s="151"/>
      <c r="C9" s="151"/>
      <c r="D9" s="151"/>
      <c r="E9" s="87"/>
      <c r="F9" s="87"/>
      <c r="G9" s="87"/>
      <c r="H9" s="87"/>
      <c r="I9" s="87"/>
      <c r="J9" s="87"/>
      <c r="K9" s="87"/>
      <c r="L9" s="87"/>
      <c r="M9" s="87"/>
      <c r="N9" s="87"/>
      <c r="O9" s="87"/>
    </row>
    <row r="10" spans="1:24" ht="18" customHeight="1">
      <c r="A10" s="151"/>
      <c r="B10" s="151"/>
      <c r="C10" s="151"/>
      <c r="D10" s="151"/>
      <c r="E10" s="87"/>
      <c r="F10" s="87"/>
      <c r="G10" s="87"/>
      <c r="H10" s="87"/>
      <c r="I10" s="87"/>
      <c r="J10" s="87"/>
      <c r="K10" s="87"/>
      <c r="L10" s="87"/>
      <c r="M10" s="87"/>
      <c r="N10" s="87"/>
      <c r="O10" s="87"/>
    </row>
    <row r="11" spans="1:24" ht="18" customHeight="1">
      <c r="A11" s="100" t="s">
        <v>3503</v>
      </c>
      <c r="B11" s="151"/>
      <c r="C11" s="151"/>
      <c r="D11" s="151"/>
      <c r="E11" s="87"/>
      <c r="F11" s="87"/>
      <c r="G11" s="87"/>
      <c r="H11" s="87"/>
      <c r="I11" s="87"/>
      <c r="J11" s="87"/>
      <c r="K11" s="87"/>
      <c r="L11" s="87"/>
      <c r="M11" s="87"/>
      <c r="N11" s="87"/>
      <c r="O11" s="87"/>
    </row>
    <row r="12" spans="1:24" ht="18" customHeight="1">
      <c r="A12" s="151" t="s">
        <v>3830</v>
      </c>
      <c r="B12" s="151"/>
      <c r="C12" s="151"/>
      <c r="D12" s="151"/>
      <c r="E12" s="87"/>
      <c r="F12" s="87"/>
      <c r="G12" s="87"/>
      <c r="H12" s="87"/>
      <c r="I12" s="87"/>
      <c r="J12" s="87"/>
      <c r="K12" s="87"/>
      <c r="L12" s="87"/>
      <c r="M12" s="87"/>
      <c r="N12" s="87"/>
      <c r="O12" s="87"/>
    </row>
    <row r="13" spans="1:24" ht="54.75" customHeight="1">
      <c r="A13" s="173" t="s">
        <v>3504</v>
      </c>
      <c r="B13" s="173" t="s">
        <v>3505</v>
      </c>
      <c r="C13" s="173" t="s">
        <v>3506</v>
      </c>
      <c r="D13" s="173" t="s">
        <v>3507</v>
      </c>
      <c r="E13" s="87"/>
      <c r="F13" s="87"/>
      <c r="G13" s="87"/>
      <c r="H13" s="87"/>
      <c r="I13" s="87"/>
      <c r="J13" s="87"/>
      <c r="K13" s="87"/>
      <c r="L13" s="87"/>
      <c r="M13" s="87"/>
      <c r="N13" s="87"/>
      <c r="O13" s="87"/>
    </row>
    <row r="14" spans="1:24" ht="18" customHeight="1">
      <c r="A14" s="173" t="s">
        <v>2302</v>
      </c>
      <c r="B14" s="239">
        <v>-0.36</v>
      </c>
      <c r="C14" s="239">
        <v>-0.42170000000000002</v>
      </c>
      <c r="D14" s="239">
        <v>-3.2000000000000001E-2</v>
      </c>
      <c r="E14" s="87"/>
      <c r="F14" s="87"/>
      <c r="G14" s="87"/>
      <c r="H14" s="87"/>
      <c r="I14" s="87"/>
      <c r="J14" s="87"/>
      <c r="K14" s="87"/>
      <c r="L14" s="87"/>
      <c r="M14" s="87"/>
      <c r="N14" s="87"/>
      <c r="O14" s="87"/>
    </row>
    <row r="15" spans="1:24" ht="18" customHeight="1">
      <c r="A15" s="173" t="s">
        <v>2307</v>
      </c>
      <c r="B15" s="239">
        <v>-0.2215</v>
      </c>
      <c r="C15" s="239">
        <v>-0.48980000000000001</v>
      </c>
      <c r="D15" s="239">
        <v>-0.67249999999999999</v>
      </c>
      <c r="E15" s="87"/>
      <c r="F15" s="87"/>
      <c r="G15" s="87"/>
      <c r="H15" s="87"/>
      <c r="I15" s="87"/>
      <c r="J15" s="87"/>
      <c r="K15" s="87"/>
      <c r="L15" s="87"/>
      <c r="M15" s="87"/>
      <c r="N15" s="87"/>
      <c r="O15" s="87"/>
    </row>
    <row r="16" spans="1:24" ht="27.75" customHeight="1">
      <c r="A16" s="173" t="s">
        <v>2352</v>
      </c>
      <c r="B16" s="239">
        <v>0.32929999999999998</v>
      </c>
      <c r="C16" s="239">
        <v>0.29959999999999998</v>
      </c>
      <c r="D16" s="239">
        <v>-8.2000000000000007E-3</v>
      </c>
      <c r="E16" s="87"/>
      <c r="F16" s="87"/>
      <c r="G16" s="87"/>
      <c r="H16" s="87"/>
      <c r="I16" s="87"/>
      <c r="J16" s="87"/>
      <c r="K16" s="87"/>
      <c r="L16" s="87"/>
      <c r="M16" s="87"/>
      <c r="N16" s="87"/>
      <c r="O16" s="87"/>
    </row>
    <row r="17" spans="1:15" ht="33" customHeight="1">
      <c r="A17" s="173" t="s">
        <v>2351</v>
      </c>
      <c r="B17" s="239">
        <v>-0.4178</v>
      </c>
      <c r="C17" s="239">
        <v>-0.45279999999999998</v>
      </c>
      <c r="D17" s="239">
        <v>-4.0099999999999997E-2</v>
      </c>
      <c r="E17" s="87"/>
      <c r="F17" s="87"/>
      <c r="G17" s="87"/>
      <c r="H17" s="87"/>
      <c r="I17" s="87"/>
      <c r="J17" s="87"/>
      <c r="K17" s="87"/>
      <c r="L17" s="87"/>
      <c r="M17" s="87"/>
      <c r="N17" s="87"/>
      <c r="O17" s="87"/>
    </row>
    <row r="18" spans="1:15" ht="27.75" customHeight="1">
      <c r="A18" s="173" t="s">
        <v>2350</v>
      </c>
      <c r="B18" s="239">
        <v>-0.1186</v>
      </c>
      <c r="C18" s="239">
        <v>-0.28510000000000002</v>
      </c>
      <c r="D18" s="239">
        <v>0.1938</v>
      </c>
      <c r="E18" s="87"/>
      <c r="F18" s="87"/>
      <c r="G18" s="87"/>
      <c r="H18" s="87"/>
      <c r="I18" s="87"/>
      <c r="J18" s="87"/>
      <c r="K18" s="87"/>
      <c r="L18" s="87"/>
      <c r="M18" s="87"/>
      <c r="N18" s="87"/>
      <c r="O18" s="87"/>
    </row>
    <row r="19" spans="1:15" ht="18" customHeight="1">
      <c r="A19" s="173" t="s">
        <v>2311</v>
      </c>
      <c r="B19" s="239">
        <v>-0.20419999999999999</v>
      </c>
      <c r="C19" s="239">
        <v>-0.2074</v>
      </c>
      <c r="D19" s="239">
        <v>-4.0899999999999999E-2</v>
      </c>
      <c r="E19" s="87"/>
      <c r="F19" s="87"/>
      <c r="G19" s="87"/>
      <c r="H19" s="87"/>
      <c r="I19" s="87"/>
      <c r="J19" s="87"/>
      <c r="K19" s="87"/>
      <c r="L19" s="87"/>
      <c r="M19" s="87"/>
      <c r="N19" s="87"/>
      <c r="O19" s="87"/>
    </row>
    <row r="20" spans="1:15" ht="18" customHeight="1">
      <c r="A20" s="173" t="s">
        <v>2348</v>
      </c>
      <c r="B20" s="239">
        <v>1.9400000000000001E-2</v>
      </c>
      <c r="C20" s="239">
        <v>-0.18959999999999999</v>
      </c>
      <c r="D20" s="239">
        <v>-6.4600000000000005E-2</v>
      </c>
      <c r="E20" s="87"/>
      <c r="F20" s="87"/>
      <c r="G20" s="87"/>
      <c r="H20" s="87"/>
      <c r="I20" s="87"/>
      <c r="J20" s="87"/>
      <c r="K20" s="87"/>
      <c r="L20" s="87"/>
      <c r="M20" s="87"/>
      <c r="N20" s="87"/>
      <c r="O20" s="87"/>
    </row>
    <row r="21" spans="1:15" ht="18" customHeight="1">
      <c r="A21" s="173" t="s">
        <v>1787</v>
      </c>
      <c r="B21" s="239">
        <v>0.47160000000000002</v>
      </c>
      <c r="C21" s="239">
        <v>0.5212</v>
      </c>
      <c r="D21" s="239">
        <v>0.35970000000000002</v>
      </c>
      <c r="E21" s="87"/>
      <c r="F21" s="87"/>
      <c r="G21" s="87"/>
      <c r="H21" s="87"/>
      <c r="I21" s="87"/>
      <c r="J21" s="87"/>
      <c r="K21" s="87"/>
      <c r="L21" s="87"/>
      <c r="M21" s="87"/>
      <c r="N21" s="87"/>
      <c r="O21" s="87"/>
    </row>
    <row r="22" spans="1:15" ht="18" customHeight="1">
      <c r="A22" s="173" t="s">
        <v>2349</v>
      </c>
      <c r="B22" s="239">
        <v>-0.1157</v>
      </c>
      <c r="C22" s="239">
        <v>-0.3745</v>
      </c>
      <c r="D22" s="239">
        <v>-0.36930000000000002</v>
      </c>
      <c r="E22" s="87"/>
      <c r="F22" s="87"/>
      <c r="G22" s="87"/>
      <c r="H22" s="87"/>
      <c r="I22" s="87"/>
      <c r="J22" s="87"/>
      <c r="K22" s="87"/>
      <c r="L22" s="87"/>
      <c r="M22" s="87"/>
      <c r="N22" s="87"/>
      <c r="O22" s="87"/>
    </row>
    <row r="23" spans="1:15" ht="18" customHeight="1">
      <c r="A23" s="173" t="s">
        <v>2315</v>
      </c>
      <c r="B23" s="239">
        <v>0.35599999999999998</v>
      </c>
      <c r="C23" s="239">
        <v>0.47189999999999999</v>
      </c>
      <c r="D23" s="239">
        <v>0.41839999999999999</v>
      </c>
      <c r="E23" s="87"/>
      <c r="F23" s="87"/>
      <c r="G23" s="87"/>
      <c r="H23" s="87"/>
      <c r="I23" s="87"/>
      <c r="J23" s="87"/>
      <c r="K23" s="87"/>
      <c r="L23" s="87"/>
      <c r="M23" s="87"/>
      <c r="N23" s="87"/>
      <c r="O23" s="87"/>
    </row>
    <row r="24" spans="1:15" ht="18" customHeight="1">
      <c r="A24" s="151"/>
      <c r="B24" s="151"/>
      <c r="C24" s="151"/>
      <c r="D24" s="151"/>
      <c r="E24" s="87"/>
      <c r="F24" s="87"/>
      <c r="G24" s="87"/>
      <c r="H24" s="87"/>
      <c r="I24" s="87"/>
      <c r="J24" s="87"/>
      <c r="K24" s="87"/>
      <c r="L24" s="87"/>
      <c r="M24" s="87"/>
      <c r="N24" s="87"/>
      <c r="O24" s="87"/>
    </row>
    <row r="25" spans="1:15" ht="18" customHeight="1">
      <c r="A25" s="280" t="s">
        <v>3831</v>
      </c>
      <c r="B25" s="281"/>
      <c r="C25" s="281"/>
      <c r="D25" s="281"/>
      <c r="E25" s="87"/>
      <c r="F25" s="87"/>
      <c r="G25" s="87"/>
      <c r="H25" s="87"/>
      <c r="I25" s="87"/>
      <c r="J25" s="87"/>
      <c r="K25" s="87"/>
      <c r="L25" s="87"/>
      <c r="M25" s="87"/>
      <c r="N25" s="87"/>
      <c r="O25" s="87"/>
    </row>
    <row r="26" spans="1:15" ht="18" customHeight="1">
      <c r="A26" s="199"/>
      <c r="B26" s="151"/>
      <c r="C26" s="151"/>
      <c r="D26" s="151"/>
      <c r="E26" s="87"/>
      <c r="F26" s="87"/>
      <c r="G26" s="87"/>
      <c r="H26" s="87"/>
      <c r="I26" s="87"/>
      <c r="J26" s="87"/>
      <c r="K26" s="87"/>
      <c r="L26" s="87"/>
      <c r="M26" s="87"/>
      <c r="N26" s="87"/>
      <c r="O26" s="87"/>
    </row>
    <row r="27" spans="1:15" ht="18" customHeight="1">
      <c r="A27" s="151" t="s">
        <v>3832</v>
      </c>
      <c r="B27" s="151"/>
      <c r="C27" s="151"/>
      <c r="D27" s="151"/>
      <c r="E27" s="87"/>
      <c r="F27" s="87"/>
      <c r="G27" s="87"/>
      <c r="H27" s="87"/>
      <c r="I27" s="87"/>
      <c r="J27" s="87"/>
      <c r="K27" s="87"/>
      <c r="L27" s="87"/>
      <c r="M27" s="87"/>
      <c r="N27" s="87"/>
      <c r="O27" s="87"/>
    </row>
    <row r="28" spans="1:15" ht="18" customHeight="1">
      <c r="A28" s="199"/>
      <c r="B28" s="151"/>
      <c r="C28" s="151"/>
      <c r="D28" s="151"/>
      <c r="E28" s="87"/>
      <c r="F28" s="87"/>
      <c r="G28" s="87"/>
      <c r="H28" s="87"/>
      <c r="I28" s="87"/>
      <c r="J28" s="87"/>
      <c r="K28" s="87"/>
      <c r="L28" s="87"/>
      <c r="M28" s="87"/>
      <c r="N28" s="87"/>
      <c r="O28" s="87"/>
    </row>
    <row r="29" spans="1:15" ht="18" customHeight="1">
      <c r="A29" s="199" t="s">
        <v>3833</v>
      </c>
      <c r="B29" s="151"/>
      <c r="C29" s="151"/>
      <c r="D29" s="151"/>
      <c r="E29" s="87"/>
      <c r="F29" s="87"/>
      <c r="G29" s="87"/>
      <c r="H29" s="87"/>
      <c r="I29" s="87"/>
      <c r="J29" s="87"/>
      <c r="K29" s="87"/>
      <c r="L29" s="87"/>
      <c r="M29" s="87"/>
      <c r="N29" s="87"/>
      <c r="O29" s="87"/>
    </row>
    <row r="30" spans="1:15" ht="18" customHeight="1">
      <c r="A30" s="199"/>
      <c r="B30" s="151"/>
      <c r="C30" s="151"/>
      <c r="D30" s="151"/>
      <c r="E30" s="87"/>
      <c r="F30" s="87"/>
      <c r="G30" s="87"/>
      <c r="H30" s="87"/>
      <c r="I30" s="87"/>
      <c r="J30" s="87"/>
      <c r="K30" s="87"/>
      <c r="L30" s="87"/>
      <c r="M30" s="87"/>
      <c r="N30" s="87"/>
      <c r="O30" s="87"/>
    </row>
    <row r="31" spans="1:15" ht="18" customHeight="1">
      <c r="A31" s="199" t="s">
        <v>3834</v>
      </c>
      <c r="B31" s="151"/>
      <c r="C31" s="151"/>
      <c r="D31" s="151"/>
      <c r="E31" s="87"/>
      <c r="F31" s="87"/>
      <c r="G31" s="87"/>
      <c r="H31" s="87"/>
      <c r="I31" s="87"/>
      <c r="J31" s="87"/>
      <c r="K31" s="87"/>
      <c r="L31" s="87"/>
      <c r="M31" s="87"/>
      <c r="N31" s="87"/>
      <c r="O31" s="87"/>
    </row>
    <row r="32" spans="1:15" ht="18" customHeight="1">
      <c r="A32" s="199"/>
      <c r="B32" s="151"/>
      <c r="C32" s="151"/>
      <c r="D32" s="151"/>
      <c r="E32" s="87"/>
      <c r="F32" s="87"/>
      <c r="G32" s="87"/>
      <c r="H32" s="87"/>
      <c r="I32" s="87"/>
      <c r="J32" s="87"/>
      <c r="K32" s="87"/>
      <c r="L32" s="87"/>
      <c r="M32" s="87"/>
      <c r="N32" s="87"/>
      <c r="O32" s="87"/>
    </row>
    <row r="33" spans="1:15">
      <c r="A33" s="179" t="s">
        <v>3835</v>
      </c>
      <c r="B33" s="87"/>
      <c r="C33" s="87"/>
      <c r="D33" s="87"/>
      <c r="E33" s="87"/>
      <c r="F33" s="87"/>
      <c r="G33" s="87"/>
      <c r="H33" s="87"/>
      <c r="I33" s="87"/>
      <c r="J33" s="87"/>
      <c r="K33" s="87"/>
      <c r="L33" s="87"/>
      <c r="M33" s="87"/>
      <c r="N33" s="87"/>
      <c r="O33" s="87"/>
    </row>
    <row r="34" spans="1:15">
      <c r="A34" s="87"/>
      <c r="B34" s="87"/>
      <c r="C34" s="87"/>
      <c r="D34" s="87"/>
      <c r="E34" s="87"/>
      <c r="F34" s="87"/>
      <c r="G34" s="87"/>
      <c r="H34" s="87"/>
      <c r="I34" s="87"/>
      <c r="J34" s="87"/>
      <c r="K34" s="87"/>
      <c r="L34" s="87"/>
      <c r="M34" s="87"/>
      <c r="N34" s="87"/>
      <c r="O34" s="87"/>
    </row>
    <row r="35" spans="1:15">
      <c r="A35" s="179" t="s">
        <v>3836</v>
      </c>
      <c r="B35" s="87"/>
      <c r="C35" s="87"/>
      <c r="D35" s="87"/>
      <c r="E35" s="87"/>
      <c r="F35" s="87"/>
      <c r="G35" s="87"/>
      <c r="H35" s="87"/>
      <c r="I35" s="87"/>
      <c r="J35" s="87"/>
      <c r="K35" s="87"/>
      <c r="L35" s="87"/>
      <c r="M35" s="87"/>
      <c r="N35" s="87"/>
      <c r="O35" s="87"/>
    </row>
    <row r="36" spans="1:15">
      <c r="A36" s="87"/>
      <c r="B36" s="87"/>
      <c r="C36" s="87"/>
      <c r="D36" s="87"/>
      <c r="E36" s="87"/>
      <c r="F36" s="87"/>
      <c r="G36" s="87"/>
      <c r="H36" s="87"/>
      <c r="I36" s="87"/>
      <c r="J36" s="87"/>
      <c r="K36" s="87"/>
      <c r="L36" s="87"/>
      <c r="M36" s="87"/>
      <c r="N36" s="87"/>
      <c r="O36" s="87"/>
    </row>
    <row r="37" spans="1:15">
      <c r="A37" s="96" t="s">
        <v>3837</v>
      </c>
      <c r="B37" s="87"/>
      <c r="C37" s="87"/>
      <c r="D37" s="87"/>
      <c r="E37" s="87"/>
      <c r="F37" s="87"/>
      <c r="G37" s="87"/>
      <c r="H37" s="87"/>
      <c r="I37" s="87"/>
      <c r="J37" s="87"/>
      <c r="K37" s="87"/>
      <c r="L37" s="87"/>
      <c r="M37" s="87"/>
      <c r="N37" s="87"/>
      <c r="O37" s="87"/>
    </row>
    <row r="38" spans="1:15">
      <c r="A38" s="96" t="s">
        <v>4533</v>
      </c>
      <c r="B38" s="87"/>
      <c r="C38" s="87"/>
      <c r="D38" s="87"/>
      <c r="E38" s="87"/>
      <c r="F38" s="87"/>
      <c r="G38" s="87"/>
      <c r="H38" s="87"/>
      <c r="I38" s="87"/>
      <c r="J38" s="87"/>
      <c r="K38" s="87"/>
      <c r="L38" s="87"/>
      <c r="M38" s="87"/>
      <c r="N38" s="87"/>
      <c r="O38" s="87"/>
    </row>
    <row r="39" spans="1:15">
      <c r="A39" s="96" t="s">
        <v>4534</v>
      </c>
      <c r="B39" s="87"/>
      <c r="C39" s="87"/>
      <c r="D39" s="87"/>
      <c r="E39" s="87"/>
      <c r="F39" s="87"/>
      <c r="G39" s="87"/>
      <c r="H39" s="87"/>
      <c r="I39" s="87"/>
      <c r="J39" s="87"/>
      <c r="K39" s="87"/>
      <c r="L39" s="87"/>
      <c r="M39" s="87"/>
      <c r="N39" s="87"/>
      <c r="O39" s="87"/>
    </row>
    <row r="40" spans="1:15">
      <c r="A40" s="96" t="s">
        <v>3838</v>
      </c>
      <c r="B40" s="87"/>
      <c r="C40" s="87"/>
      <c r="D40" s="87"/>
      <c r="E40" s="87"/>
      <c r="F40" s="87"/>
      <c r="G40" s="87"/>
      <c r="H40" s="87"/>
      <c r="I40" s="87"/>
      <c r="J40" s="87"/>
      <c r="K40" s="87"/>
      <c r="L40" s="87"/>
      <c r="M40" s="87"/>
      <c r="N40" s="87"/>
      <c r="O40" s="87"/>
    </row>
    <row r="41" spans="1:15">
      <c r="A41" s="96" t="s">
        <v>4535</v>
      </c>
      <c r="B41" s="96" t="s">
        <v>4536</v>
      </c>
      <c r="C41" s="96"/>
      <c r="D41" s="87"/>
      <c r="E41" s="87"/>
      <c r="F41" s="96"/>
      <c r="G41" s="87"/>
      <c r="H41" s="87"/>
      <c r="I41" s="87"/>
      <c r="J41" s="87"/>
      <c r="K41" s="87"/>
      <c r="L41" s="87"/>
      <c r="M41" s="87"/>
      <c r="N41" s="87"/>
      <c r="O41" s="87"/>
    </row>
    <row r="42" spans="1:15">
      <c r="A42" s="96"/>
      <c r="B42" s="96"/>
      <c r="C42" s="96"/>
      <c r="D42" s="87"/>
      <c r="E42" s="87"/>
      <c r="F42" s="96"/>
      <c r="G42" s="87"/>
      <c r="H42" s="87"/>
      <c r="I42" s="87"/>
      <c r="J42" s="87"/>
      <c r="K42" s="87"/>
      <c r="L42" s="87"/>
      <c r="M42" s="87"/>
      <c r="N42" s="87"/>
      <c r="O42" s="87"/>
    </row>
    <row r="43" spans="1:15" ht="13.5" customHeight="1">
      <c r="A43" s="96" t="s">
        <v>3839</v>
      </c>
      <c r="B43" s="87"/>
      <c r="C43" s="94"/>
      <c r="D43" s="94"/>
      <c r="E43" s="87"/>
      <c r="F43" s="87"/>
      <c r="G43" s="87"/>
      <c r="H43" s="87"/>
      <c r="I43" s="87"/>
      <c r="J43" s="87"/>
      <c r="K43" s="87"/>
      <c r="L43" s="87"/>
      <c r="M43" s="87"/>
      <c r="N43" s="87"/>
      <c r="O43" s="87"/>
    </row>
    <row r="44" spans="1:15">
      <c r="A44" s="96" t="s">
        <v>4536</v>
      </c>
      <c r="B44" s="87"/>
      <c r="C44" s="87"/>
      <c r="D44" s="87"/>
      <c r="E44" s="87"/>
      <c r="F44" s="87"/>
      <c r="G44" s="87"/>
      <c r="H44" s="87"/>
      <c r="I44" s="87"/>
      <c r="J44" s="87"/>
      <c r="K44" s="87"/>
      <c r="L44" s="87"/>
      <c r="M44" s="87"/>
      <c r="N44" s="87"/>
      <c r="O44" s="87"/>
    </row>
    <row r="45" spans="1:15">
      <c r="A45" s="96" t="s">
        <v>4537</v>
      </c>
      <c r="B45" s="96"/>
      <c r="C45" s="87"/>
      <c r="D45" s="87"/>
      <c r="E45" s="87"/>
      <c r="F45" s="87"/>
      <c r="G45" s="87"/>
      <c r="H45" s="87"/>
      <c r="I45" s="87"/>
      <c r="J45" s="87"/>
      <c r="K45" s="87"/>
      <c r="L45" s="87"/>
      <c r="M45" s="87"/>
      <c r="N45" s="87"/>
      <c r="O45" s="87"/>
    </row>
    <row r="46" spans="1:15">
      <c r="A46" s="96"/>
      <c r="B46" s="96"/>
      <c r="C46" s="87"/>
      <c r="D46" s="87"/>
      <c r="E46" s="87"/>
      <c r="F46" s="87"/>
      <c r="G46" s="87"/>
      <c r="H46" s="87"/>
      <c r="I46" s="87"/>
      <c r="J46" s="87"/>
      <c r="K46" s="87"/>
      <c r="L46" s="87"/>
      <c r="M46" s="87"/>
      <c r="N46" s="87"/>
      <c r="O46" s="87"/>
    </row>
    <row r="47" spans="1:15">
      <c r="A47" s="96" t="s">
        <v>3840</v>
      </c>
      <c r="B47" s="87"/>
      <c r="C47" s="87"/>
      <c r="D47" s="96" t="s">
        <v>3869</v>
      </c>
      <c r="E47" s="87"/>
      <c r="F47" s="87"/>
      <c r="G47" s="87"/>
      <c r="H47" s="87"/>
      <c r="I47" s="87"/>
      <c r="J47" s="96" t="s">
        <v>3886</v>
      </c>
      <c r="K47" s="87"/>
      <c r="L47" s="87"/>
      <c r="M47" s="87"/>
      <c r="N47" s="87"/>
      <c r="O47" s="87"/>
    </row>
    <row r="48" spans="1:15">
      <c r="A48" s="23" t="s">
        <v>3841</v>
      </c>
      <c r="B48" s="23"/>
      <c r="C48" s="23"/>
      <c r="D48" s="23" t="s">
        <v>3870</v>
      </c>
      <c r="E48" s="23"/>
      <c r="F48" s="23"/>
      <c r="G48" s="23"/>
      <c r="J48" s="29" t="s">
        <v>4349</v>
      </c>
    </row>
    <row r="49" spans="1:10">
      <c r="A49" s="23" t="s">
        <v>3842</v>
      </c>
      <c r="B49" s="23"/>
      <c r="C49" s="23"/>
      <c r="D49" s="23" t="s">
        <v>3871</v>
      </c>
      <c r="E49" s="23"/>
      <c r="F49" s="23"/>
      <c r="G49" s="23"/>
      <c r="J49" s="29" t="s">
        <v>3887</v>
      </c>
    </row>
    <row r="50" spans="1:10">
      <c r="A50" s="23" t="s">
        <v>3843</v>
      </c>
      <c r="B50" s="23"/>
      <c r="C50" s="23"/>
      <c r="D50" s="23" t="s">
        <v>3872</v>
      </c>
      <c r="E50" s="23"/>
      <c r="F50" s="23"/>
      <c r="G50" s="23"/>
      <c r="J50" s="29" t="s">
        <v>3888</v>
      </c>
    </row>
    <row r="51" spans="1:10">
      <c r="A51" s="23" t="s">
        <v>3844</v>
      </c>
      <c r="B51" s="23"/>
      <c r="C51" s="23"/>
      <c r="D51" s="23"/>
      <c r="E51" s="23"/>
      <c r="F51" s="23"/>
      <c r="G51" s="23"/>
    </row>
    <row r="52" spans="1:10">
      <c r="A52" s="23" t="s">
        <v>3845</v>
      </c>
      <c r="B52" s="23"/>
      <c r="C52" s="23"/>
      <c r="D52" s="23" t="s">
        <v>3873</v>
      </c>
      <c r="E52" s="23"/>
      <c r="F52" s="23"/>
      <c r="G52" s="23"/>
      <c r="J52" s="29" t="s">
        <v>3889</v>
      </c>
    </row>
    <row r="53" spans="1:10">
      <c r="A53" s="23" t="s">
        <v>3846</v>
      </c>
      <c r="B53" s="23"/>
      <c r="C53" s="23"/>
      <c r="D53" s="23" t="s">
        <v>3874</v>
      </c>
      <c r="E53" s="23"/>
      <c r="F53" s="23"/>
      <c r="G53" s="23"/>
      <c r="J53" s="28" t="s">
        <v>4350</v>
      </c>
    </row>
    <row r="54" spans="1:10">
      <c r="A54" s="23" t="s">
        <v>2426</v>
      </c>
      <c r="B54" s="23"/>
      <c r="C54" s="23"/>
      <c r="D54" s="23" t="s">
        <v>3875</v>
      </c>
      <c r="E54" s="23"/>
      <c r="F54" s="23"/>
      <c r="G54" s="23"/>
    </row>
    <row r="55" spans="1:10">
      <c r="A55" s="23"/>
      <c r="B55" s="23"/>
      <c r="C55" s="23"/>
      <c r="D55" s="23" t="s">
        <v>3876</v>
      </c>
      <c r="E55" s="23"/>
      <c r="F55" s="23"/>
      <c r="G55" s="23"/>
      <c r="J55" s="29" t="s">
        <v>3890</v>
      </c>
    </row>
    <row r="56" spans="1:10">
      <c r="A56" s="23" t="s">
        <v>3847</v>
      </c>
      <c r="B56" s="23"/>
      <c r="C56" s="23"/>
      <c r="D56" s="23"/>
      <c r="E56" s="23"/>
      <c r="F56" s="23"/>
      <c r="G56" s="23"/>
      <c r="J56" s="28" t="s">
        <v>4351</v>
      </c>
    </row>
    <row r="57" spans="1:10">
      <c r="A57" s="23" t="s">
        <v>3848</v>
      </c>
      <c r="B57" s="23"/>
      <c r="C57" s="23"/>
      <c r="D57" s="23" t="s">
        <v>3877</v>
      </c>
      <c r="E57" s="23"/>
      <c r="F57" s="23"/>
      <c r="G57" s="23"/>
    </row>
    <row r="58" spans="1:10">
      <c r="A58" s="23" t="s">
        <v>3849</v>
      </c>
      <c r="B58" s="23"/>
      <c r="C58" s="23"/>
      <c r="D58" s="23" t="s">
        <v>3878</v>
      </c>
      <c r="E58" s="23"/>
      <c r="F58" s="23"/>
      <c r="G58" s="23"/>
      <c r="J58" s="29" t="s">
        <v>3891</v>
      </c>
    </row>
    <row r="59" spans="1:10">
      <c r="A59" s="23" t="s">
        <v>3850</v>
      </c>
      <c r="B59" s="23"/>
      <c r="C59" s="23"/>
      <c r="D59" s="23" t="s">
        <v>3879</v>
      </c>
      <c r="E59" s="23"/>
      <c r="F59" s="23"/>
      <c r="G59" s="23"/>
      <c r="J59" s="28" t="s">
        <v>4352</v>
      </c>
    </row>
    <row r="60" spans="1:10">
      <c r="A60" s="23" t="s">
        <v>3851</v>
      </c>
      <c r="B60" s="23"/>
      <c r="C60" s="23"/>
      <c r="D60" s="23" t="s">
        <v>3880</v>
      </c>
      <c r="E60" s="23"/>
      <c r="F60" s="23"/>
      <c r="G60" s="23"/>
    </row>
    <row r="61" spans="1:10">
      <c r="A61" s="23" t="s">
        <v>3852</v>
      </c>
      <c r="B61" s="23"/>
      <c r="C61" s="23"/>
      <c r="D61" s="23" t="s">
        <v>2426</v>
      </c>
      <c r="E61" s="23"/>
      <c r="F61" s="23"/>
      <c r="G61" s="23"/>
      <c r="J61" s="29" t="s">
        <v>3892</v>
      </c>
    </row>
    <row r="62" spans="1:10">
      <c r="A62" s="23"/>
      <c r="B62" s="23"/>
      <c r="C62" s="23"/>
      <c r="D62" s="23"/>
      <c r="E62" s="23"/>
      <c r="F62" s="23"/>
      <c r="G62" s="23"/>
      <c r="J62" s="29" t="s">
        <v>4353</v>
      </c>
    </row>
    <row r="63" spans="1:10">
      <c r="A63" s="23" t="s">
        <v>3853</v>
      </c>
      <c r="B63" s="23"/>
      <c r="C63" s="23"/>
      <c r="D63" s="23" t="s">
        <v>3881</v>
      </c>
      <c r="E63" s="23"/>
      <c r="F63" s="23"/>
      <c r="G63" s="23"/>
    </row>
    <row r="64" spans="1:10">
      <c r="A64" s="23" t="s">
        <v>3854</v>
      </c>
      <c r="B64" s="23"/>
      <c r="C64" s="23"/>
      <c r="D64" s="23" t="s">
        <v>3882</v>
      </c>
      <c r="E64" s="23"/>
      <c r="F64" s="23"/>
      <c r="G64" s="23"/>
      <c r="J64" s="29" t="s">
        <v>4354</v>
      </c>
    </row>
    <row r="65" spans="1:10">
      <c r="A65" s="23" t="s">
        <v>3855</v>
      </c>
      <c r="B65" s="23"/>
      <c r="C65" s="23"/>
      <c r="D65" s="23"/>
      <c r="E65" s="23"/>
      <c r="F65" s="23"/>
      <c r="G65" s="23"/>
    </row>
    <row r="66" spans="1:10">
      <c r="A66" s="23" t="s">
        <v>3856</v>
      </c>
      <c r="B66" s="23"/>
      <c r="C66" s="23"/>
      <c r="D66" s="23" t="s">
        <v>3883</v>
      </c>
      <c r="E66" s="23"/>
      <c r="F66" s="23"/>
      <c r="G66" s="23"/>
      <c r="J66" s="29" t="s">
        <v>3893</v>
      </c>
    </row>
    <row r="67" spans="1:10">
      <c r="A67" s="23" t="s">
        <v>3845</v>
      </c>
      <c r="B67" s="23"/>
      <c r="C67" s="23"/>
      <c r="D67" s="23" t="s">
        <v>3884</v>
      </c>
      <c r="E67" s="23"/>
      <c r="F67" s="23"/>
      <c r="G67" s="23"/>
      <c r="J67" s="29" t="s">
        <v>4355</v>
      </c>
    </row>
    <row r="68" spans="1:10">
      <c r="A68" s="23" t="s">
        <v>3857</v>
      </c>
      <c r="B68" s="23"/>
      <c r="C68" s="23"/>
      <c r="D68" s="23"/>
      <c r="E68" s="23"/>
      <c r="F68" s="23"/>
      <c r="G68" s="23"/>
    </row>
    <row r="69" spans="1:10">
      <c r="A69" s="23" t="s">
        <v>3858</v>
      </c>
      <c r="B69" s="23"/>
      <c r="C69" s="23"/>
      <c r="D69" s="23" t="s">
        <v>3885</v>
      </c>
      <c r="E69" s="23"/>
      <c r="F69" s="23"/>
      <c r="G69" s="23"/>
      <c r="J69" s="29" t="s">
        <v>4356</v>
      </c>
    </row>
    <row r="70" spans="1:10">
      <c r="A70" s="23" t="s">
        <v>3859</v>
      </c>
      <c r="B70" s="23"/>
      <c r="C70" s="23"/>
      <c r="D70" s="23"/>
      <c r="E70" s="23"/>
      <c r="F70" s="23"/>
      <c r="G70" s="23"/>
      <c r="J70" s="29" t="s">
        <v>4357</v>
      </c>
    </row>
    <row r="71" spans="1:10">
      <c r="A71" s="23" t="s">
        <v>3860</v>
      </c>
      <c r="B71" s="23"/>
      <c r="C71" s="23"/>
      <c r="D71" s="23"/>
      <c r="E71" s="23"/>
      <c r="F71" s="23"/>
      <c r="G71" s="23"/>
      <c r="J71" s="29" t="s">
        <v>4358</v>
      </c>
    </row>
    <row r="72" spans="1:10">
      <c r="A72" s="23" t="s">
        <v>3861</v>
      </c>
      <c r="B72" s="23"/>
      <c r="C72" s="23"/>
      <c r="D72" s="23"/>
      <c r="E72" s="23"/>
      <c r="F72" s="23"/>
      <c r="G72" s="23"/>
      <c r="J72" s="29" t="s">
        <v>4359</v>
      </c>
    </row>
    <row r="73" spans="1:10">
      <c r="A73" s="23" t="s">
        <v>3862</v>
      </c>
      <c r="B73" s="23"/>
      <c r="C73" s="23"/>
      <c r="D73" s="23"/>
      <c r="E73" s="23"/>
      <c r="F73" s="23"/>
      <c r="G73" s="23"/>
      <c r="J73" s="29" t="s">
        <v>4360</v>
      </c>
    </row>
    <row r="74" spans="1:10">
      <c r="A74" s="23" t="s">
        <v>3863</v>
      </c>
      <c r="B74" s="23"/>
      <c r="C74" s="23"/>
      <c r="D74" s="23"/>
      <c r="E74" s="23"/>
      <c r="F74" s="23"/>
      <c r="G74" s="23"/>
    </row>
    <row r="75" spans="1:10">
      <c r="A75" s="23" t="s">
        <v>2426</v>
      </c>
      <c r="B75" s="23"/>
      <c r="C75" s="23"/>
      <c r="D75" s="23"/>
      <c r="E75" s="23"/>
      <c r="F75" s="23"/>
      <c r="G75" s="23"/>
      <c r="J75" s="29" t="s">
        <v>4361</v>
      </c>
    </row>
    <row r="76" spans="1:10">
      <c r="A76" s="23"/>
      <c r="B76" s="23"/>
      <c r="C76" s="23"/>
      <c r="D76" s="23"/>
      <c r="E76" s="23"/>
      <c r="F76" s="23"/>
      <c r="G76" s="23"/>
      <c r="J76" s="29" t="s">
        <v>3894</v>
      </c>
    </row>
    <row r="77" spans="1:10">
      <c r="A77" s="23" t="s">
        <v>3864</v>
      </c>
      <c r="B77" s="23"/>
      <c r="C77" s="23"/>
      <c r="D77" s="23"/>
      <c r="E77" s="23"/>
      <c r="F77" s="23"/>
      <c r="G77" s="23"/>
      <c r="J77" s="29" t="s">
        <v>4362</v>
      </c>
    </row>
    <row r="78" spans="1:10">
      <c r="A78" s="23" t="s">
        <v>3865</v>
      </c>
      <c r="B78" s="23"/>
      <c r="C78" s="23"/>
      <c r="D78" s="23"/>
      <c r="E78" s="23"/>
      <c r="F78" s="23"/>
      <c r="G78" s="23"/>
      <c r="J78" s="29" t="s">
        <v>4363</v>
      </c>
    </row>
    <row r="79" spans="1:10">
      <c r="A79" s="23" t="s">
        <v>3866</v>
      </c>
      <c r="B79" s="23"/>
      <c r="C79" s="23"/>
      <c r="D79" s="23"/>
      <c r="E79" s="23"/>
      <c r="F79" s="23"/>
      <c r="G79" s="23"/>
    </row>
    <row r="80" spans="1:10">
      <c r="A80" s="23" t="s">
        <v>3867</v>
      </c>
      <c r="B80" s="23"/>
      <c r="C80" s="23"/>
      <c r="D80" s="23"/>
      <c r="E80" s="23"/>
      <c r="F80" s="23"/>
      <c r="G80" s="23"/>
    </row>
    <row r="81" spans="1:7">
      <c r="A81" s="23" t="s">
        <v>3868</v>
      </c>
      <c r="B81" s="23"/>
      <c r="C81" s="23"/>
      <c r="D81" s="23"/>
      <c r="E81" s="23"/>
      <c r="F81" s="23"/>
      <c r="G81" s="23"/>
    </row>
    <row r="82" spans="1:7">
      <c r="A82" s="23" t="s">
        <v>2426</v>
      </c>
      <c r="B82" s="23"/>
      <c r="C82" s="23"/>
      <c r="D82" s="23"/>
      <c r="E82" s="23"/>
      <c r="F82" s="23"/>
      <c r="G82" s="23"/>
    </row>
    <row r="83" spans="1:7">
      <c r="A83" s="23"/>
      <c r="B83" s="23"/>
      <c r="C83" s="23"/>
      <c r="D83" s="23"/>
      <c r="E83" s="23"/>
      <c r="F83" s="23"/>
      <c r="G83" s="23"/>
    </row>
    <row r="84" spans="1:7">
      <c r="A84" s="23"/>
      <c r="B84" s="23"/>
      <c r="C84" s="23"/>
      <c r="D84" s="23"/>
      <c r="E84" s="23"/>
      <c r="F84" s="23"/>
      <c r="G84" s="23"/>
    </row>
  </sheetData>
  <mergeCells count="1">
    <mergeCell ref="A25:D25"/>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tabColor theme="5" tint="-0.249977111117893"/>
  </sheetPr>
  <dimension ref="A1:AF89"/>
  <sheetViews>
    <sheetView showGridLines="0" workbookViewId="0"/>
  </sheetViews>
  <sheetFormatPr defaultRowHeight="15"/>
  <sheetData>
    <row r="1" spans="1:32" s="24" customFormat="1" ht="30.75" customHeight="1">
      <c r="A1" s="19"/>
      <c r="B1" s="19"/>
      <c r="C1" s="19"/>
      <c r="D1" s="19"/>
      <c r="E1" s="19"/>
      <c r="F1" s="19"/>
      <c r="G1" s="19"/>
      <c r="H1" s="19"/>
      <c r="I1" s="19"/>
      <c r="J1" s="19"/>
      <c r="K1" s="19"/>
      <c r="L1" s="19"/>
      <c r="M1" s="41" t="s">
        <v>4318</v>
      </c>
      <c r="N1" s="19"/>
      <c r="O1" s="19"/>
      <c r="P1" s="19"/>
      <c r="Q1" s="19"/>
      <c r="R1" s="19"/>
      <c r="S1" s="19"/>
      <c r="T1" s="19"/>
      <c r="U1" s="19"/>
      <c r="V1" s="19"/>
      <c r="W1" s="19"/>
      <c r="X1" s="19"/>
      <c r="Y1" s="19"/>
      <c r="Z1" s="19"/>
      <c r="AA1" s="19"/>
      <c r="AB1" s="19"/>
      <c r="AC1" s="19"/>
      <c r="AD1" s="19"/>
    </row>
    <row r="2" spans="1:32" ht="17.100000000000001" customHeight="1">
      <c r="A2" s="248">
        <v>2007</v>
      </c>
      <c r="B2" s="240"/>
      <c r="C2" s="240"/>
      <c r="D2" s="240"/>
      <c r="E2" s="240"/>
      <c r="F2" s="240"/>
      <c r="G2" s="240"/>
      <c r="H2" s="240"/>
      <c r="I2" s="240"/>
      <c r="J2" s="240"/>
      <c r="K2" s="240"/>
      <c r="L2" s="240"/>
      <c r="M2" s="240"/>
      <c r="N2" s="248">
        <v>2008</v>
      </c>
      <c r="O2" s="240"/>
      <c r="P2" s="240"/>
      <c r="Q2" s="240"/>
      <c r="R2" s="240"/>
      <c r="S2" s="240"/>
      <c r="T2" s="240"/>
      <c r="U2" s="240"/>
      <c r="V2" s="240"/>
      <c r="W2" s="240"/>
      <c r="X2" s="45"/>
      <c r="Y2" s="45"/>
      <c r="Z2" s="45"/>
      <c r="AA2" s="45"/>
      <c r="AB2" s="45"/>
      <c r="AC2" s="45"/>
      <c r="AD2" s="45"/>
      <c r="AE2" s="45"/>
      <c r="AF2" s="45"/>
    </row>
    <row r="3" spans="1:32" ht="17.100000000000001" customHeight="1">
      <c r="A3" s="240" t="s">
        <v>350</v>
      </c>
      <c r="B3" s="240"/>
      <c r="C3" s="240"/>
      <c r="D3" s="240"/>
      <c r="E3" s="240"/>
      <c r="F3" s="240"/>
      <c r="G3" s="240"/>
      <c r="H3" s="240"/>
      <c r="I3" s="240"/>
      <c r="J3" s="240"/>
      <c r="K3" s="240"/>
      <c r="L3" s="240"/>
      <c r="M3" s="240"/>
      <c r="N3" s="240" t="s">
        <v>350</v>
      </c>
      <c r="O3" s="240"/>
      <c r="P3" s="240"/>
      <c r="Q3" s="240"/>
      <c r="R3" s="240"/>
      <c r="S3" s="240"/>
      <c r="T3" s="240"/>
      <c r="U3" s="240"/>
      <c r="V3" s="240"/>
      <c r="W3" s="240"/>
      <c r="X3" s="45"/>
      <c r="Y3" s="45"/>
      <c r="Z3" s="45"/>
      <c r="AA3" s="45"/>
      <c r="AB3" s="45"/>
      <c r="AC3" s="45"/>
      <c r="AD3" s="45"/>
      <c r="AE3" s="45"/>
      <c r="AF3" s="45"/>
    </row>
    <row r="4" spans="1:32" ht="17.100000000000001" customHeight="1">
      <c r="A4" s="240"/>
      <c r="B4" s="240"/>
      <c r="C4" s="240"/>
      <c r="D4" s="240"/>
      <c r="E4" s="240"/>
      <c r="F4" s="240"/>
      <c r="G4" s="240"/>
      <c r="H4" s="240"/>
      <c r="I4" s="240"/>
      <c r="J4" s="240"/>
      <c r="K4" s="240"/>
      <c r="L4" s="240"/>
      <c r="M4" s="240"/>
      <c r="N4" s="240" t="s">
        <v>2451</v>
      </c>
      <c r="O4" s="240"/>
      <c r="P4" s="240"/>
      <c r="Q4" s="240"/>
      <c r="R4" s="240"/>
      <c r="S4" s="240"/>
      <c r="T4" s="240"/>
      <c r="U4" s="240"/>
      <c r="V4" s="240"/>
      <c r="W4" s="240"/>
      <c r="X4" s="45"/>
      <c r="Y4" s="45"/>
      <c r="Z4" s="45"/>
      <c r="AA4" s="45"/>
      <c r="AB4" s="45"/>
      <c r="AC4" s="45"/>
      <c r="AD4" s="45"/>
      <c r="AE4" s="45"/>
      <c r="AF4" s="45"/>
    </row>
    <row r="5" spans="1:32" ht="17.100000000000001" customHeight="1">
      <c r="A5" s="240" t="s">
        <v>3991</v>
      </c>
      <c r="B5" s="240"/>
      <c r="C5" s="240"/>
      <c r="D5" s="240"/>
      <c r="E5" s="240"/>
      <c r="F5" s="240"/>
      <c r="G5" s="240"/>
      <c r="H5" s="240"/>
      <c r="I5" s="240"/>
      <c r="J5" s="240"/>
      <c r="K5" s="240"/>
      <c r="L5" s="240"/>
      <c r="M5" s="240"/>
      <c r="N5" s="240"/>
      <c r="O5" s="240"/>
      <c r="P5" s="240"/>
      <c r="Q5" s="240"/>
      <c r="R5" s="240"/>
      <c r="S5" s="240"/>
      <c r="T5" s="240"/>
      <c r="U5" s="240"/>
      <c r="V5" s="240"/>
      <c r="W5" s="240"/>
      <c r="X5" s="45"/>
      <c r="Y5" s="45"/>
      <c r="Z5" s="45"/>
      <c r="AA5" s="45"/>
      <c r="AB5" s="45"/>
      <c r="AC5" s="45"/>
      <c r="AD5" s="45"/>
      <c r="AE5" s="45"/>
      <c r="AF5" s="45"/>
    </row>
    <row r="6" spans="1:32" ht="17.100000000000001" customHeight="1">
      <c r="A6" s="240" t="s">
        <v>3339</v>
      </c>
      <c r="B6" s="240"/>
      <c r="C6" s="240"/>
      <c r="D6" s="240"/>
      <c r="E6" s="240"/>
      <c r="F6" s="240"/>
      <c r="G6" s="240"/>
      <c r="H6" s="240"/>
      <c r="I6" s="240"/>
      <c r="J6" s="240"/>
      <c r="K6" s="240"/>
      <c r="L6" s="240"/>
      <c r="M6" s="240"/>
      <c r="N6" s="240" t="s">
        <v>3340</v>
      </c>
      <c r="O6" s="240"/>
      <c r="P6" s="240"/>
      <c r="Q6" s="240"/>
      <c r="R6" s="240"/>
      <c r="S6" s="240"/>
      <c r="T6" s="240"/>
      <c r="U6" s="240"/>
      <c r="V6" s="240"/>
      <c r="W6" s="240"/>
      <c r="X6" s="45"/>
      <c r="Y6" s="45"/>
      <c r="Z6" s="45"/>
      <c r="AA6" s="45"/>
      <c r="AB6" s="45"/>
      <c r="AC6" s="45"/>
      <c r="AD6" s="45"/>
      <c r="AE6" s="45"/>
      <c r="AF6" s="45"/>
    </row>
    <row r="7" spans="1:32" ht="17.100000000000001" customHeight="1">
      <c r="A7" s="240"/>
      <c r="B7" s="240"/>
      <c r="C7" s="240"/>
      <c r="D7" s="240"/>
      <c r="E7" s="240"/>
      <c r="F7" s="240"/>
      <c r="G7" s="240"/>
      <c r="H7" s="240"/>
      <c r="I7" s="240"/>
      <c r="J7" s="240"/>
      <c r="K7" s="240"/>
      <c r="L7" s="240"/>
      <c r="M7" s="240"/>
      <c r="N7" s="240" t="s">
        <v>3341</v>
      </c>
      <c r="O7" s="240"/>
      <c r="P7" s="240"/>
      <c r="Q7" s="240"/>
      <c r="R7" s="240"/>
      <c r="S7" s="240"/>
      <c r="T7" s="240"/>
      <c r="U7" s="240"/>
      <c r="V7" s="240"/>
      <c r="W7" s="240"/>
      <c r="X7" s="45"/>
      <c r="Y7" s="45"/>
      <c r="Z7" s="45"/>
      <c r="AA7" s="45"/>
      <c r="AB7" s="45"/>
      <c r="AC7" s="45"/>
      <c r="AD7" s="45"/>
      <c r="AE7" s="45"/>
      <c r="AF7" s="45"/>
    </row>
    <row r="8" spans="1:32" ht="17.100000000000001" customHeight="1">
      <c r="A8" s="240" t="s">
        <v>3342</v>
      </c>
      <c r="B8" s="240"/>
      <c r="C8" s="240"/>
      <c r="D8" s="240"/>
      <c r="E8" s="240"/>
      <c r="F8" s="240"/>
      <c r="G8" s="240"/>
      <c r="H8" s="240"/>
      <c r="I8" s="240"/>
      <c r="J8" s="240"/>
      <c r="K8" s="240"/>
      <c r="L8" s="240"/>
      <c r="M8" s="240"/>
      <c r="N8" s="240" t="s">
        <v>2426</v>
      </c>
      <c r="O8" s="240"/>
      <c r="P8" s="240"/>
      <c r="Q8" s="240"/>
      <c r="R8" s="240"/>
      <c r="S8" s="240"/>
      <c r="T8" s="240"/>
      <c r="U8" s="240"/>
      <c r="V8" s="240"/>
      <c r="W8" s="240"/>
      <c r="X8" s="45"/>
      <c r="Y8" s="45"/>
      <c r="Z8" s="45"/>
      <c r="AA8" s="45"/>
      <c r="AB8" s="45"/>
      <c r="AC8" s="45"/>
      <c r="AD8" s="45"/>
      <c r="AE8" s="45"/>
      <c r="AF8" s="45"/>
    </row>
    <row r="9" spans="1:32" ht="17.100000000000001" customHeight="1">
      <c r="A9" s="240" t="s">
        <v>3343</v>
      </c>
      <c r="B9" s="240"/>
      <c r="C9" s="240"/>
      <c r="D9" s="240"/>
      <c r="E9" s="240"/>
      <c r="F9" s="240"/>
      <c r="G9" s="240"/>
      <c r="H9" s="240"/>
      <c r="I9" s="240"/>
      <c r="J9" s="240"/>
      <c r="K9" s="240"/>
      <c r="L9" s="240"/>
      <c r="M9" s="240"/>
      <c r="N9" s="240"/>
      <c r="O9" s="240"/>
      <c r="P9" s="240"/>
      <c r="Q9" s="240"/>
      <c r="R9" s="240"/>
      <c r="S9" s="240"/>
      <c r="T9" s="240"/>
      <c r="U9" s="240"/>
      <c r="V9" s="240"/>
      <c r="W9" s="240"/>
      <c r="X9" s="45"/>
      <c r="Y9" s="45"/>
      <c r="Z9" s="45"/>
      <c r="AA9" s="45"/>
      <c r="AB9" s="45"/>
      <c r="AC9" s="45"/>
      <c r="AD9" s="45"/>
      <c r="AE9" s="45"/>
      <c r="AF9" s="45"/>
    </row>
    <row r="10" spans="1:32" ht="17.100000000000001" customHeight="1">
      <c r="A10" s="240"/>
      <c r="B10" s="240"/>
      <c r="C10" s="240"/>
      <c r="D10" s="240"/>
      <c r="E10" s="240"/>
      <c r="F10" s="240"/>
      <c r="G10" s="240"/>
      <c r="H10" s="240"/>
      <c r="I10" s="240"/>
      <c r="J10" s="240"/>
      <c r="K10" s="240"/>
      <c r="L10" s="240"/>
      <c r="M10" s="240"/>
      <c r="N10" s="240" t="s">
        <v>3344</v>
      </c>
      <c r="O10" s="240"/>
      <c r="P10" s="240"/>
      <c r="Q10" s="240"/>
      <c r="R10" s="240"/>
      <c r="S10" s="240"/>
      <c r="T10" s="240"/>
      <c r="U10" s="240"/>
      <c r="V10" s="240"/>
      <c r="W10" s="240"/>
      <c r="X10" s="45"/>
      <c r="Y10" s="45"/>
      <c r="Z10" s="45"/>
      <c r="AA10" s="45"/>
      <c r="AB10" s="45"/>
      <c r="AC10" s="45"/>
      <c r="AD10" s="45"/>
      <c r="AE10" s="45"/>
      <c r="AF10" s="45"/>
    </row>
    <row r="11" spans="1:32" ht="17.100000000000001" customHeight="1">
      <c r="A11" s="240" t="s">
        <v>3345</v>
      </c>
      <c r="B11" s="240"/>
      <c r="C11" s="240"/>
      <c r="D11" s="240"/>
      <c r="E11" s="240"/>
      <c r="F11" s="240"/>
      <c r="G11" s="240"/>
      <c r="H11" s="240"/>
      <c r="I11" s="240"/>
      <c r="J11" s="240"/>
      <c r="K11" s="240"/>
      <c r="L11" s="240"/>
      <c r="M11" s="240"/>
      <c r="N11" s="240" t="s">
        <v>3346</v>
      </c>
      <c r="O11" s="240"/>
      <c r="P11" s="240"/>
      <c r="Q11" s="240"/>
      <c r="R11" s="240"/>
      <c r="S11" s="240"/>
      <c r="T11" s="240"/>
      <c r="U11" s="240"/>
      <c r="V11" s="240"/>
      <c r="W11" s="240"/>
      <c r="X11" s="45"/>
      <c r="Y11" s="45"/>
      <c r="Z11" s="45"/>
      <c r="AA11" s="45"/>
      <c r="AB11" s="45"/>
      <c r="AC11" s="45"/>
      <c r="AD11" s="45"/>
      <c r="AE11" s="45"/>
      <c r="AF11" s="45"/>
    </row>
    <row r="12" spans="1:32" ht="17.100000000000001" customHeight="1">
      <c r="A12" s="240" t="s">
        <v>3347</v>
      </c>
      <c r="B12" s="240"/>
      <c r="C12" s="240"/>
      <c r="D12" s="240"/>
      <c r="E12" s="240"/>
      <c r="F12" s="240"/>
      <c r="G12" s="240"/>
      <c r="H12" s="240"/>
      <c r="I12" s="240"/>
      <c r="J12" s="240"/>
      <c r="K12" s="240"/>
      <c r="L12" s="240"/>
      <c r="M12" s="240"/>
      <c r="N12" s="240"/>
      <c r="O12" s="240"/>
      <c r="P12" s="240"/>
      <c r="Q12" s="240"/>
      <c r="R12" s="240"/>
      <c r="S12" s="240"/>
      <c r="T12" s="240"/>
      <c r="U12" s="240"/>
      <c r="V12" s="240"/>
      <c r="W12" s="240"/>
      <c r="X12" s="45"/>
      <c r="Y12" s="45"/>
      <c r="Z12" s="45"/>
      <c r="AA12" s="45"/>
      <c r="AB12" s="45"/>
      <c r="AC12" s="45"/>
      <c r="AD12" s="45"/>
      <c r="AE12" s="45"/>
      <c r="AF12" s="45"/>
    </row>
    <row r="13" spans="1:32" ht="17.100000000000001" customHeight="1">
      <c r="A13" s="240" t="s">
        <v>3348</v>
      </c>
      <c r="B13" s="240"/>
      <c r="C13" s="240"/>
      <c r="D13" s="240"/>
      <c r="E13" s="240"/>
      <c r="F13" s="240"/>
      <c r="G13" s="240"/>
      <c r="H13" s="240"/>
      <c r="I13" s="240"/>
      <c r="J13" s="240"/>
      <c r="K13" s="240"/>
      <c r="L13" s="240"/>
      <c r="M13" s="240"/>
      <c r="N13" s="240" t="s">
        <v>3349</v>
      </c>
      <c r="O13" s="240"/>
      <c r="P13" s="240"/>
      <c r="Q13" s="240"/>
      <c r="R13" s="240"/>
      <c r="S13" s="240"/>
      <c r="T13" s="240"/>
      <c r="U13" s="240"/>
      <c r="V13" s="240"/>
      <c r="W13" s="240"/>
      <c r="X13" s="45"/>
      <c r="Y13" s="45"/>
      <c r="Z13" s="45"/>
      <c r="AA13" s="45"/>
      <c r="AB13" s="45"/>
      <c r="AC13" s="45"/>
      <c r="AD13" s="45"/>
      <c r="AE13" s="45"/>
      <c r="AF13" s="45"/>
    </row>
    <row r="14" spans="1:32" ht="17.100000000000001" customHeight="1">
      <c r="A14" s="240"/>
      <c r="B14" s="240"/>
      <c r="C14" s="240"/>
      <c r="D14" s="240"/>
      <c r="E14" s="240"/>
      <c r="F14" s="240"/>
      <c r="G14" s="240"/>
      <c r="H14" s="240"/>
      <c r="I14" s="240"/>
      <c r="J14" s="240"/>
      <c r="K14" s="240"/>
      <c r="L14" s="240"/>
      <c r="M14" s="240"/>
      <c r="N14" s="240"/>
      <c r="O14" s="240"/>
      <c r="P14" s="240"/>
      <c r="Q14" s="240"/>
      <c r="R14" s="240"/>
      <c r="S14" s="240"/>
      <c r="T14" s="240"/>
      <c r="U14" s="240"/>
      <c r="V14" s="240"/>
      <c r="W14" s="240"/>
      <c r="X14" s="45"/>
      <c r="Y14" s="45"/>
      <c r="Z14" s="45"/>
      <c r="AA14" s="45"/>
      <c r="AB14" s="45"/>
      <c r="AC14" s="45"/>
      <c r="AD14" s="45"/>
      <c r="AE14" s="45"/>
      <c r="AF14" s="45"/>
    </row>
    <row r="15" spans="1:32" ht="17.100000000000001" customHeight="1">
      <c r="A15" s="240" t="s">
        <v>3350</v>
      </c>
      <c r="B15" s="240"/>
      <c r="C15" s="240"/>
      <c r="D15" s="240"/>
      <c r="E15" s="240"/>
      <c r="F15" s="240"/>
      <c r="G15" s="240"/>
      <c r="H15" s="240"/>
      <c r="I15" s="240"/>
      <c r="J15" s="240"/>
      <c r="K15" s="240"/>
      <c r="L15" s="240"/>
      <c r="M15" s="240"/>
      <c r="N15" s="240" t="s">
        <v>3347</v>
      </c>
      <c r="O15" s="240"/>
      <c r="P15" s="240"/>
      <c r="Q15" s="240"/>
      <c r="R15" s="240"/>
      <c r="S15" s="240"/>
      <c r="T15" s="240"/>
      <c r="U15" s="240"/>
      <c r="V15" s="240"/>
      <c r="W15" s="240"/>
      <c r="X15" s="45"/>
      <c r="Y15" s="45"/>
      <c r="Z15" s="45"/>
      <c r="AA15" s="45"/>
      <c r="AB15" s="45"/>
      <c r="AC15" s="45"/>
      <c r="AD15" s="45"/>
      <c r="AE15" s="45"/>
      <c r="AF15" s="45"/>
    </row>
    <row r="16" spans="1:32" ht="17.100000000000001" customHeight="1">
      <c r="A16" s="240" t="s">
        <v>3351</v>
      </c>
      <c r="B16" s="240"/>
      <c r="C16" s="240"/>
      <c r="D16" s="240"/>
      <c r="E16" s="240"/>
      <c r="F16" s="240"/>
      <c r="G16" s="240"/>
      <c r="H16" s="240"/>
      <c r="I16" s="240"/>
      <c r="J16" s="240"/>
      <c r="K16" s="240"/>
      <c r="L16" s="240"/>
      <c r="M16" s="240"/>
      <c r="N16" s="240" t="s">
        <v>3348</v>
      </c>
      <c r="O16" s="240"/>
      <c r="P16" s="240"/>
      <c r="Q16" s="240"/>
      <c r="R16" s="240"/>
      <c r="S16" s="240"/>
      <c r="T16" s="240"/>
      <c r="U16" s="240"/>
      <c r="V16" s="240"/>
      <c r="W16" s="240"/>
      <c r="X16" s="45"/>
      <c r="Y16" s="45"/>
      <c r="Z16" s="45"/>
      <c r="AA16" s="45"/>
      <c r="AB16" s="45"/>
      <c r="AC16" s="45"/>
      <c r="AD16" s="45"/>
      <c r="AE16" s="45"/>
      <c r="AF16" s="45"/>
    </row>
    <row r="17" spans="1:32" ht="17.100000000000001" customHeight="1">
      <c r="A17" s="240"/>
      <c r="B17" s="240"/>
      <c r="C17" s="240"/>
      <c r="D17" s="240"/>
      <c r="E17" s="240"/>
      <c r="F17" s="240"/>
      <c r="G17" s="240"/>
      <c r="H17" s="240"/>
      <c r="I17" s="240"/>
      <c r="J17" s="240"/>
      <c r="K17" s="240"/>
      <c r="L17" s="240"/>
      <c r="M17" s="240"/>
      <c r="N17" s="240" t="s">
        <v>3352</v>
      </c>
      <c r="O17" s="240"/>
      <c r="P17" s="240"/>
      <c r="Q17" s="240"/>
      <c r="R17" s="240"/>
      <c r="S17" s="240"/>
      <c r="T17" s="240"/>
      <c r="U17" s="240"/>
      <c r="V17" s="240"/>
      <c r="W17" s="240"/>
      <c r="X17" s="45"/>
      <c r="Y17" s="45"/>
      <c r="Z17" s="45"/>
      <c r="AA17" s="45"/>
      <c r="AB17" s="45"/>
      <c r="AC17" s="45"/>
      <c r="AD17" s="45"/>
      <c r="AE17" s="45"/>
      <c r="AF17" s="45"/>
    </row>
    <row r="18" spans="1:32" ht="17.100000000000001" customHeight="1">
      <c r="A18" s="240"/>
      <c r="B18" s="240"/>
      <c r="C18" s="240"/>
      <c r="D18" s="240"/>
      <c r="E18" s="240"/>
      <c r="F18" s="240"/>
      <c r="G18" s="240"/>
      <c r="H18" s="240"/>
      <c r="I18" s="240"/>
      <c r="J18" s="240"/>
      <c r="K18" s="240"/>
      <c r="L18" s="240"/>
      <c r="M18" s="240"/>
      <c r="N18" s="240"/>
      <c r="O18" s="240"/>
      <c r="P18" s="240"/>
      <c r="Q18" s="240"/>
      <c r="R18" s="240"/>
      <c r="S18" s="240"/>
      <c r="T18" s="240"/>
      <c r="U18" s="240"/>
      <c r="V18" s="240"/>
      <c r="W18" s="240"/>
      <c r="X18" s="45"/>
      <c r="Y18" s="45"/>
      <c r="Z18" s="45"/>
      <c r="AA18" s="45"/>
      <c r="AB18" s="45"/>
      <c r="AC18" s="45"/>
      <c r="AD18" s="45"/>
      <c r="AE18" s="45"/>
      <c r="AF18" s="45"/>
    </row>
    <row r="19" spans="1:32" ht="17.100000000000001" customHeight="1">
      <c r="A19" s="240">
        <v>2</v>
      </c>
      <c r="B19" s="240"/>
      <c r="C19" s="240"/>
      <c r="D19" s="240"/>
      <c r="E19" s="240"/>
      <c r="F19" s="240"/>
      <c r="G19" s="240"/>
      <c r="H19" s="240"/>
      <c r="I19" s="240"/>
      <c r="J19" s="240"/>
      <c r="K19" s="240"/>
      <c r="L19" s="240"/>
      <c r="M19" s="240"/>
      <c r="N19" s="240" t="s">
        <v>350</v>
      </c>
      <c r="O19" s="240"/>
      <c r="P19" s="240"/>
      <c r="Q19" s="240"/>
      <c r="R19" s="240"/>
      <c r="S19" s="240"/>
      <c r="T19" s="240"/>
      <c r="U19" s="240"/>
      <c r="V19" s="240"/>
      <c r="W19" s="240"/>
      <c r="X19" s="45"/>
      <c r="Y19" s="45"/>
      <c r="Z19" s="45"/>
      <c r="AA19" s="45"/>
      <c r="AB19" s="45"/>
      <c r="AC19" s="45"/>
      <c r="AD19" s="45"/>
      <c r="AE19" s="45"/>
      <c r="AF19" s="45"/>
    </row>
    <row r="20" spans="1:32" ht="17.100000000000001" customHeight="1">
      <c r="A20" s="240"/>
      <c r="B20" s="240"/>
      <c r="C20" s="240"/>
      <c r="D20" s="240"/>
      <c r="E20" s="240"/>
      <c r="F20" s="240"/>
      <c r="G20" s="240"/>
      <c r="H20" s="240"/>
      <c r="I20" s="240"/>
      <c r="J20" s="240"/>
      <c r="K20" s="240"/>
      <c r="L20" s="240"/>
      <c r="M20" s="240"/>
      <c r="N20" s="240" t="s">
        <v>2451</v>
      </c>
      <c r="O20" s="240"/>
      <c r="P20" s="240"/>
      <c r="Q20" s="240"/>
      <c r="R20" s="240"/>
      <c r="S20" s="240"/>
      <c r="T20" s="240"/>
      <c r="U20" s="240"/>
      <c r="V20" s="240"/>
      <c r="W20" s="240"/>
      <c r="X20" s="45"/>
      <c r="Y20" s="45"/>
      <c r="Z20" s="45"/>
      <c r="AA20" s="45"/>
      <c r="AB20" s="45"/>
      <c r="AC20" s="45"/>
      <c r="AD20" s="45"/>
      <c r="AE20" s="45"/>
      <c r="AF20" s="45"/>
    </row>
    <row r="21" spans="1:32" ht="17.100000000000001" customHeight="1">
      <c r="A21" s="240" t="s">
        <v>350</v>
      </c>
      <c r="B21" s="240"/>
      <c r="C21" s="240"/>
      <c r="D21" s="240"/>
      <c r="E21" s="240"/>
      <c r="F21" s="240"/>
      <c r="G21" s="240"/>
      <c r="H21" s="240"/>
      <c r="I21" s="240"/>
      <c r="J21" s="240"/>
      <c r="K21" s="240"/>
      <c r="L21" s="240"/>
      <c r="M21" s="240"/>
      <c r="N21" s="240"/>
      <c r="O21" s="240"/>
      <c r="P21" s="240"/>
      <c r="Q21" s="240"/>
      <c r="R21" s="240"/>
      <c r="S21" s="240"/>
      <c r="T21" s="240"/>
      <c r="U21" s="240"/>
      <c r="V21" s="240"/>
      <c r="W21" s="240"/>
      <c r="X21" s="45"/>
      <c r="Y21" s="45"/>
      <c r="Z21" s="45"/>
      <c r="AA21" s="45"/>
      <c r="AB21" s="45"/>
      <c r="AC21" s="45"/>
      <c r="AD21" s="45"/>
      <c r="AE21" s="45"/>
      <c r="AF21" s="45"/>
    </row>
    <row r="22" spans="1:32" ht="17.100000000000001" customHeight="1">
      <c r="A22" s="240"/>
      <c r="B22" s="240"/>
      <c r="C22" s="240"/>
      <c r="D22" s="240"/>
      <c r="E22" s="240"/>
      <c r="F22" s="240"/>
      <c r="G22" s="240"/>
      <c r="H22" s="240"/>
      <c r="I22" s="240"/>
      <c r="J22" s="240"/>
      <c r="K22" s="240"/>
      <c r="L22" s="240"/>
      <c r="M22" s="240"/>
      <c r="N22" s="240" t="s">
        <v>3340</v>
      </c>
      <c r="O22" s="240"/>
      <c r="P22" s="240"/>
      <c r="Q22" s="240"/>
      <c r="R22" s="240"/>
      <c r="S22" s="240"/>
      <c r="T22" s="240"/>
      <c r="U22" s="240"/>
      <c r="V22" s="240"/>
      <c r="W22" s="240"/>
      <c r="X22" s="45"/>
      <c r="Y22" s="45"/>
      <c r="Z22" s="45"/>
      <c r="AA22" s="45"/>
      <c r="AB22" s="45"/>
      <c r="AC22" s="45"/>
      <c r="AD22" s="45"/>
      <c r="AE22" s="45"/>
      <c r="AF22" s="45"/>
    </row>
    <row r="23" spans="1:32" ht="17.100000000000001" customHeight="1">
      <c r="A23" s="240" t="s">
        <v>3339</v>
      </c>
      <c r="B23" s="240"/>
      <c r="C23" s="240"/>
      <c r="D23" s="240"/>
      <c r="E23" s="240"/>
      <c r="F23" s="240"/>
      <c r="G23" s="240"/>
      <c r="H23" s="240"/>
      <c r="I23" s="240"/>
      <c r="J23" s="240"/>
      <c r="K23" s="240"/>
      <c r="L23" s="240"/>
      <c r="M23" s="240"/>
      <c r="N23" s="240" t="s">
        <v>3341</v>
      </c>
      <c r="O23" s="240"/>
      <c r="P23" s="240"/>
      <c r="Q23" s="240"/>
      <c r="R23" s="240"/>
      <c r="S23" s="240"/>
      <c r="T23" s="240"/>
      <c r="U23" s="240"/>
      <c r="V23" s="240"/>
      <c r="W23" s="240"/>
      <c r="X23" s="45"/>
      <c r="Y23" s="45"/>
      <c r="Z23" s="45"/>
      <c r="AA23" s="45"/>
      <c r="AB23" s="45"/>
      <c r="AC23" s="45"/>
      <c r="AD23" s="45"/>
      <c r="AE23" s="45"/>
      <c r="AF23" s="45"/>
    </row>
    <row r="24" spans="1:32" ht="17.100000000000001" customHeight="1">
      <c r="A24" s="240"/>
      <c r="B24" s="240"/>
      <c r="C24" s="240"/>
      <c r="D24" s="240"/>
      <c r="E24" s="240"/>
      <c r="F24" s="240"/>
      <c r="G24" s="240"/>
      <c r="H24" s="240"/>
      <c r="I24" s="240"/>
      <c r="J24" s="240"/>
      <c r="K24" s="240"/>
      <c r="L24" s="240"/>
      <c r="M24" s="240"/>
      <c r="N24" s="240" t="s">
        <v>2426</v>
      </c>
      <c r="O24" s="240"/>
      <c r="P24" s="240"/>
      <c r="Q24" s="240"/>
      <c r="R24" s="240"/>
      <c r="S24" s="240"/>
      <c r="T24" s="240"/>
      <c r="U24" s="240"/>
      <c r="V24" s="240"/>
      <c r="W24" s="240"/>
      <c r="X24" s="45"/>
      <c r="Y24" s="45"/>
      <c r="Z24" s="45"/>
      <c r="AA24" s="45"/>
      <c r="AB24" s="45"/>
      <c r="AC24" s="45"/>
      <c r="AD24" s="45"/>
      <c r="AE24" s="45"/>
      <c r="AF24" s="45"/>
    </row>
    <row r="25" spans="1:32" ht="17.100000000000001" customHeight="1">
      <c r="A25" s="240" t="s">
        <v>3343</v>
      </c>
      <c r="B25" s="240"/>
      <c r="C25" s="240"/>
      <c r="D25" s="240"/>
      <c r="E25" s="240"/>
      <c r="F25" s="240"/>
      <c r="G25" s="240"/>
      <c r="H25" s="240"/>
      <c r="I25" s="240"/>
      <c r="J25" s="240"/>
      <c r="K25" s="240"/>
      <c r="L25" s="240"/>
      <c r="M25" s="240"/>
      <c r="N25" s="240"/>
      <c r="O25" s="240"/>
      <c r="P25" s="240"/>
      <c r="Q25" s="240"/>
      <c r="R25" s="240"/>
      <c r="S25" s="240"/>
      <c r="T25" s="240"/>
      <c r="U25" s="240"/>
      <c r="V25" s="240"/>
      <c r="W25" s="240"/>
      <c r="X25" s="45"/>
      <c r="Y25" s="45"/>
      <c r="Z25" s="45"/>
      <c r="AA25" s="45"/>
      <c r="AB25" s="45"/>
      <c r="AC25" s="45"/>
      <c r="AD25" s="45"/>
      <c r="AE25" s="45"/>
      <c r="AF25" s="45"/>
    </row>
    <row r="26" spans="1:32" ht="17.100000000000001" customHeight="1">
      <c r="A26" s="240"/>
      <c r="B26" s="240"/>
      <c r="C26" s="240"/>
      <c r="D26" s="240"/>
      <c r="E26" s="240"/>
      <c r="F26" s="240"/>
      <c r="G26" s="240"/>
      <c r="H26" s="240"/>
      <c r="I26" s="240"/>
      <c r="J26" s="240"/>
      <c r="K26" s="240"/>
      <c r="L26" s="240"/>
      <c r="M26" s="240"/>
      <c r="N26" s="240" t="s">
        <v>3344</v>
      </c>
      <c r="O26" s="240"/>
      <c r="P26" s="240"/>
      <c r="Q26" s="240"/>
      <c r="R26" s="240"/>
      <c r="S26" s="240"/>
      <c r="T26" s="240"/>
      <c r="U26" s="240"/>
      <c r="V26" s="240"/>
      <c r="W26" s="240"/>
      <c r="X26" s="45"/>
      <c r="Y26" s="45"/>
      <c r="Z26" s="45"/>
      <c r="AA26" s="45"/>
      <c r="AB26" s="45"/>
      <c r="AC26" s="45"/>
      <c r="AD26" s="45"/>
      <c r="AE26" s="45"/>
      <c r="AF26" s="45"/>
    </row>
    <row r="27" spans="1:32" ht="17.100000000000001" customHeight="1">
      <c r="A27" s="240" t="s">
        <v>3353</v>
      </c>
      <c r="B27" s="240"/>
      <c r="C27" s="240"/>
      <c r="D27" s="240"/>
      <c r="E27" s="240"/>
      <c r="F27" s="240"/>
      <c r="G27" s="240"/>
      <c r="H27" s="240"/>
      <c r="I27" s="240"/>
      <c r="J27" s="240"/>
      <c r="K27" s="240"/>
      <c r="L27" s="240"/>
      <c r="M27" s="240"/>
      <c r="N27" s="240" t="s">
        <v>3346</v>
      </c>
      <c r="O27" s="240"/>
      <c r="P27" s="240"/>
      <c r="Q27" s="240"/>
      <c r="R27" s="240"/>
      <c r="S27" s="240"/>
      <c r="T27" s="240"/>
      <c r="U27" s="240"/>
      <c r="V27" s="240"/>
      <c r="W27" s="240"/>
      <c r="X27" s="45"/>
      <c r="Y27" s="45"/>
      <c r="Z27" s="45"/>
      <c r="AA27" s="45"/>
      <c r="AB27" s="45"/>
      <c r="AC27" s="45"/>
      <c r="AD27" s="45"/>
      <c r="AE27" s="45"/>
      <c r="AF27" s="45"/>
    </row>
    <row r="28" spans="1:32" ht="17.100000000000001" customHeight="1">
      <c r="A28" s="240"/>
      <c r="B28" s="240"/>
      <c r="C28" s="240"/>
      <c r="D28" s="240"/>
      <c r="E28" s="240"/>
      <c r="F28" s="240"/>
      <c r="G28" s="240"/>
      <c r="H28" s="240"/>
      <c r="I28" s="240"/>
      <c r="J28" s="240"/>
      <c r="K28" s="240"/>
      <c r="L28" s="240"/>
      <c r="M28" s="240"/>
      <c r="N28" s="240"/>
      <c r="O28" s="240"/>
      <c r="P28" s="240"/>
      <c r="Q28" s="240"/>
      <c r="R28" s="240"/>
      <c r="S28" s="240"/>
      <c r="T28" s="240"/>
      <c r="U28" s="240"/>
      <c r="V28" s="240"/>
      <c r="W28" s="240"/>
      <c r="X28" s="45"/>
      <c r="Y28" s="45"/>
      <c r="Z28" s="45"/>
      <c r="AA28" s="45"/>
      <c r="AB28" s="45"/>
      <c r="AC28" s="45"/>
      <c r="AD28" s="45"/>
      <c r="AE28" s="45"/>
      <c r="AF28" s="45"/>
    </row>
    <row r="29" spans="1:32" ht="17.100000000000001" customHeight="1">
      <c r="A29" s="240" t="s">
        <v>3354</v>
      </c>
      <c r="B29" s="240"/>
      <c r="C29" s="240"/>
      <c r="D29" s="240"/>
      <c r="E29" s="240"/>
      <c r="F29" s="240"/>
      <c r="G29" s="240"/>
      <c r="H29" s="240"/>
      <c r="I29" s="240"/>
      <c r="J29" s="240"/>
      <c r="K29" s="240"/>
      <c r="L29" s="240"/>
      <c r="M29" s="240"/>
      <c r="N29" s="240" t="s">
        <v>3349</v>
      </c>
      <c r="O29" s="240"/>
      <c r="P29" s="240"/>
      <c r="Q29" s="240"/>
      <c r="R29" s="240"/>
      <c r="S29" s="240"/>
      <c r="T29" s="240"/>
      <c r="U29" s="240"/>
      <c r="V29" s="240"/>
      <c r="W29" s="240"/>
      <c r="X29" s="45"/>
      <c r="Y29" s="45"/>
      <c r="Z29" s="45"/>
      <c r="AA29" s="45"/>
      <c r="AB29" s="45"/>
      <c r="AC29" s="45"/>
      <c r="AD29" s="45"/>
      <c r="AE29" s="45"/>
      <c r="AF29" s="45"/>
    </row>
    <row r="30" spans="1:32" ht="17.100000000000001" customHeight="1">
      <c r="A30" s="240"/>
      <c r="B30" s="240"/>
      <c r="C30" s="240"/>
      <c r="D30" s="240"/>
      <c r="E30" s="240"/>
      <c r="F30" s="240"/>
      <c r="G30" s="240"/>
      <c r="H30" s="240"/>
      <c r="I30" s="240"/>
      <c r="J30" s="240"/>
      <c r="K30" s="240"/>
      <c r="L30" s="240"/>
      <c r="M30" s="240"/>
      <c r="N30" s="240"/>
      <c r="O30" s="240"/>
      <c r="P30" s="240"/>
      <c r="Q30" s="240"/>
      <c r="R30" s="240"/>
      <c r="S30" s="240"/>
      <c r="T30" s="240"/>
      <c r="U30" s="240"/>
      <c r="V30" s="240"/>
      <c r="W30" s="240"/>
      <c r="X30" s="45"/>
      <c r="Y30" s="45"/>
      <c r="Z30" s="45"/>
      <c r="AA30" s="45"/>
      <c r="AB30" s="45"/>
      <c r="AC30" s="45"/>
      <c r="AD30" s="45"/>
      <c r="AE30" s="45"/>
      <c r="AF30" s="45"/>
    </row>
    <row r="31" spans="1:32" ht="17.100000000000001" customHeight="1">
      <c r="A31" s="240"/>
      <c r="B31" s="240"/>
      <c r="C31" s="240"/>
      <c r="D31" s="240"/>
      <c r="E31" s="240"/>
      <c r="F31" s="240"/>
      <c r="G31" s="240"/>
      <c r="H31" s="240"/>
      <c r="I31" s="240"/>
      <c r="J31" s="240"/>
      <c r="K31" s="240"/>
      <c r="L31" s="240"/>
      <c r="M31" s="240"/>
      <c r="N31" s="240" t="s">
        <v>3347</v>
      </c>
      <c r="O31" s="240"/>
      <c r="P31" s="240"/>
      <c r="Q31" s="240"/>
      <c r="R31" s="240"/>
      <c r="S31" s="240"/>
      <c r="T31" s="240"/>
      <c r="U31" s="240"/>
      <c r="V31" s="240"/>
      <c r="W31" s="240"/>
      <c r="X31" s="45"/>
      <c r="Y31" s="45"/>
      <c r="Z31" s="45"/>
      <c r="AA31" s="45"/>
      <c r="AB31" s="45"/>
      <c r="AC31" s="45"/>
      <c r="AD31" s="45"/>
      <c r="AE31" s="45"/>
      <c r="AF31" s="45"/>
    </row>
    <row r="32" spans="1:32" ht="17.100000000000001" customHeight="1">
      <c r="A32" s="240">
        <v>3</v>
      </c>
      <c r="B32" s="240"/>
      <c r="C32" s="240"/>
      <c r="D32" s="240"/>
      <c r="E32" s="240"/>
      <c r="F32" s="240"/>
      <c r="G32" s="240"/>
      <c r="H32" s="240"/>
      <c r="I32" s="240"/>
      <c r="J32" s="240"/>
      <c r="K32" s="240"/>
      <c r="L32" s="240"/>
      <c r="M32" s="240"/>
      <c r="N32" s="240" t="s">
        <v>3348</v>
      </c>
      <c r="O32" s="240"/>
      <c r="P32" s="240"/>
      <c r="Q32" s="240"/>
      <c r="R32" s="240"/>
      <c r="S32" s="240"/>
      <c r="T32" s="240"/>
      <c r="U32" s="240"/>
      <c r="V32" s="240"/>
      <c r="W32" s="240"/>
      <c r="X32" s="45"/>
      <c r="Y32" s="45"/>
      <c r="Z32" s="45"/>
      <c r="AA32" s="45"/>
      <c r="AB32" s="45"/>
      <c r="AC32" s="45"/>
      <c r="AD32" s="45"/>
      <c r="AE32" s="45"/>
      <c r="AF32" s="45"/>
    </row>
    <row r="33" spans="1:32" ht="17.100000000000001" customHeight="1">
      <c r="A33" s="240" t="s">
        <v>350</v>
      </c>
      <c r="B33" s="240"/>
      <c r="C33" s="240"/>
      <c r="D33" s="240"/>
      <c r="E33" s="240"/>
      <c r="F33" s="240"/>
      <c r="G33" s="240"/>
      <c r="H33" s="240"/>
      <c r="I33" s="240"/>
      <c r="J33" s="240"/>
      <c r="K33" s="240"/>
      <c r="L33" s="240"/>
      <c r="M33" s="240"/>
      <c r="N33" s="240" t="s">
        <v>3352</v>
      </c>
      <c r="O33" s="240"/>
      <c r="P33" s="240"/>
      <c r="Q33" s="240"/>
      <c r="R33" s="240"/>
      <c r="S33" s="240"/>
      <c r="T33" s="240"/>
      <c r="U33" s="240"/>
      <c r="V33" s="240"/>
      <c r="W33" s="240"/>
      <c r="X33" s="45"/>
      <c r="Y33" s="45"/>
      <c r="Z33" s="45"/>
      <c r="AA33" s="45"/>
      <c r="AB33" s="45"/>
      <c r="AC33" s="45"/>
      <c r="AD33" s="45"/>
      <c r="AE33" s="45"/>
      <c r="AF33" s="45"/>
    </row>
    <row r="34" spans="1:32" ht="17.100000000000001" customHeight="1">
      <c r="A34" s="240"/>
      <c r="B34" s="240"/>
      <c r="C34" s="240"/>
      <c r="D34" s="240"/>
      <c r="E34" s="240"/>
      <c r="F34" s="240"/>
      <c r="G34" s="240"/>
      <c r="H34" s="240"/>
      <c r="I34" s="240"/>
      <c r="J34" s="240"/>
      <c r="K34" s="240"/>
      <c r="L34" s="240"/>
      <c r="M34" s="240"/>
      <c r="N34" s="240"/>
      <c r="O34" s="240"/>
      <c r="P34" s="240"/>
      <c r="Q34" s="240"/>
      <c r="R34" s="240"/>
      <c r="S34" s="240"/>
      <c r="T34" s="240"/>
      <c r="U34" s="240"/>
      <c r="V34" s="240"/>
      <c r="W34" s="240"/>
      <c r="X34" s="45"/>
      <c r="Y34" s="45"/>
      <c r="Z34" s="45"/>
      <c r="AA34" s="45"/>
      <c r="AB34" s="45"/>
      <c r="AC34" s="45"/>
      <c r="AD34" s="45"/>
      <c r="AE34" s="45"/>
      <c r="AF34" s="45"/>
    </row>
    <row r="35" spans="1:32" ht="17.100000000000001" customHeight="1">
      <c r="A35" s="240" t="s">
        <v>3339</v>
      </c>
      <c r="B35" s="240"/>
      <c r="C35" s="240"/>
      <c r="D35" s="240"/>
      <c r="E35" s="240"/>
      <c r="F35" s="240"/>
      <c r="G35" s="240"/>
      <c r="H35" s="240"/>
      <c r="I35" s="240"/>
      <c r="J35" s="240"/>
      <c r="K35" s="240"/>
      <c r="L35" s="240"/>
      <c r="M35" s="240"/>
      <c r="N35" s="240"/>
      <c r="O35" s="240"/>
      <c r="P35" s="240"/>
      <c r="Q35" s="240"/>
      <c r="R35" s="240"/>
      <c r="S35" s="240"/>
      <c r="T35" s="240"/>
      <c r="U35" s="240"/>
      <c r="V35" s="240"/>
      <c r="W35" s="240"/>
      <c r="X35" s="45"/>
      <c r="Y35" s="45"/>
      <c r="Z35" s="45"/>
      <c r="AA35" s="45"/>
      <c r="AB35" s="45"/>
      <c r="AC35" s="45"/>
      <c r="AD35" s="45"/>
      <c r="AE35" s="45"/>
      <c r="AF35" s="45"/>
    </row>
    <row r="36" spans="1:32" ht="17.100000000000001" customHeight="1">
      <c r="A36" s="240"/>
      <c r="B36" s="240"/>
      <c r="C36" s="240"/>
      <c r="D36" s="240"/>
      <c r="E36" s="240"/>
      <c r="F36" s="240"/>
      <c r="G36" s="240"/>
      <c r="H36" s="240"/>
      <c r="I36" s="240"/>
      <c r="J36" s="240"/>
      <c r="K36" s="240"/>
      <c r="L36" s="240"/>
      <c r="M36" s="240"/>
      <c r="N36" s="240"/>
      <c r="O36" s="240"/>
      <c r="P36" s="240"/>
      <c r="Q36" s="240"/>
      <c r="R36" s="240"/>
      <c r="S36" s="240"/>
      <c r="T36" s="240"/>
      <c r="U36" s="240"/>
      <c r="V36" s="240"/>
      <c r="W36" s="240"/>
      <c r="X36" s="45"/>
      <c r="Y36" s="45"/>
      <c r="Z36" s="45"/>
      <c r="AA36" s="45"/>
      <c r="AB36" s="45"/>
      <c r="AC36" s="45"/>
      <c r="AD36" s="45"/>
      <c r="AE36" s="45"/>
      <c r="AF36" s="45"/>
    </row>
    <row r="37" spans="1:32" ht="17.100000000000001" customHeight="1">
      <c r="A37" s="240" t="s">
        <v>3343</v>
      </c>
      <c r="B37" s="240"/>
      <c r="C37" s="240"/>
      <c r="D37" s="240"/>
      <c r="E37" s="240"/>
      <c r="F37" s="240"/>
      <c r="G37" s="240"/>
      <c r="H37" s="240"/>
      <c r="I37" s="240"/>
      <c r="J37" s="240"/>
      <c r="K37" s="240"/>
      <c r="L37" s="240"/>
      <c r="M37" s="240"/>
      <c r="N37" s="240"/>
      <c r="O37" s="240"/>
      <c r="P37" s="248" t="s">
        <v>3355</v>
      </c>
      <c r="Q37" s="248"/>
      <c r="R37" s="248"/>
      <c r="S37" s="248"/>
      <c r="T37" s="248" t="s">
        <v>3356</v>
      </c>
      <c r="U37" s="248"/>
      <c r="V37" s="240"/>
      <c r="W37" s="240"/>
      <c r="X37" s="45"/>
      <c r="Y37" s="45"/>
      <c r="Z37" s="45"/>
      <c r="AA37" s="45"/>
      <c r="AB37" s="45"/>
      <c r="AC37" s="45"/>
      <c r="AD37" s="45"/>
      <c r="AE37" s="45"/>
      <c r="AF37" s="45"/>
    </row>
    <row r="38" spans="1:32" ht="17.100000000000001" customHeight="1">
      <c r="A38" s="240"/>
      <c r="B38" s="240"/>
      <c r="C38" s="240"/>
      <c r="D38" s="240"/>
      <c r="E38" s="240"/>
      <c r="F38" s="240"/>
      <c r="G38" s="240"/>
      <c r="H38" s="240"/>
      <c r="I38" s="240"/>
      <c r="J38" s="240"/>
      <c r="K38" s="240"/>
      <c r="L38" s="240"/>
      <c r="M38" s="240"/>
      <c r="N38" s="240"/>
      <c r="O38" s="240"/>
      <c r="P38" s="248" t="s">
        <v>3357</v>
      </c>
      <c r="Q38" s="240"/>
      <c r="R38" s="240"/>
      <c r="S38" s="240"/>
      <c r="T38" s="240"/>
      <c r="U38" s="240"/>
      <c r="V38" s="240"/>
      <c r="W38" s="240"/>
      <c r="X38" s="45"/>
      <c r="Y38" s="45"/>
      <c r="Z38" s="45"/>
      <c r="AA38" s="45"/>
      <c r="AB38" s="45"/>
      <c r="AC38" s="45"/>
      <c r="AD38" s="45"/>
      <c r="AE38" s="45"/>
      <c r="AF38" s="45"/>
    </row>
    <row r="39" spans="1:32" ht="17.100000000000001" customHeight="1">
      <c r="A39" s="240" t="s">
        <v>3353</v>
      </c>
      <c r="B39" s="240"/>
      <c r="C39" s="240"/>
      <c r="D39" s="240"/>
      <c r="E39" s="240"/>
      <c r="F39" s="240"/>
      <c r="G39" s="240"/>
      <c r="H39" s="240"/>
      <c r="I39" s="240"/>
      <c r="J39" s="240"/>
      <c r="K39" s="240"/>
      <c r="L39" s="240"/>
      <c r="M39" s="240"/>
      <c r="N39" s="240"/>
      <c r="O39" s="240"/>
      <c r="P39" s="240" t="s">
        <v>350</v>
      </c>
      <c r="Q39" s="240"/>
      <c r="R39" s="240"/>
      <c r="S39" s="240"/>
      <c r="T39" s="240"/>
      <c r="U39" s="240"/>
      <c r="V39" s="240"/>
      <c r="W39" s="240"/>
      <c r="X39" s="45"/>
      <c r="Y39" s="45"/>
      <c r="Z39" s="45"/>
      <c r="AA39" s="45"/>
      <c r="AB39" s="45"/>
      <c r="AC39" s="45"/>
      <c r="AD39" s="45"/>
      <c r="AE39" s="45"/>
      <c r="AF39" s="45"/>
    </row>
    <row r="40" spans="1:32" ht="17.100000000000001" customHeight="1">
      <c r="A40" s="240"/>
      <c r="B40" s="240"/>
      <c r="C40" s="240"/>
      <c r="D40" s="240"/>
      <c r="E40" s="240"/>
      <c r="F40" s="240"/>
      <c r="G40" s="240"/>
      <c r="H40" s="240"/>
      <c r="I40" s="240"/>
      <c r="J40" s="240"/>
      <c r="K40" s="240"/>
      <c r="L40" s="240"/>
      <c r="M40" s="240"/>
      <c r="N40" s="240"/>
      <c r="O40" s="240"/>
      <c r="P40" s="240" t="s">
        <v>2451</v>
      </c>
      <c r="Q40" s="240"/>
      <c r="R40" s="240"/>
      <c r="S40" s="240"/>
      <c r="T40" s="240"/>
      <c r="U40" s="240"/>
      <c r="V40" s="240"/>
      <c r="W40" s="240"/>
      <c r="X40" s="45"/>
      <c r="Y40" s="45"/>
      <c r="Z40" s="45"/>
      <c r="AA40" s="45"/>
      <c r="AB40" s="45"/>
      <c r="AC40" s="45"/>
      <c r="AD40" s="45"/>
      <c r="AE40" s="45"/>
      <c r="AF40" s="45"/>
    </row>
    <row r="41" spans="1:32" ht="17.100000000000001" customHeight="1">
      <c r="A41" s="240" t="s">
        <v>3354</v>
      </c>
      <c r="B41" s="240"/>
      <c r="C41" s="240"/>
      <c r="D41" s="240"/>
      <c r="E41" s="240"/>
      <c r="F41" s="240"/>
      <c r="G41" s="240"/>
      <c r="H41" s="240"/>
      <c r="I41" s="240"/>
      <c r="J41" s="240"/>
      <c r="K41" s="240"/>
      <c r="L41" s="240"/>
      <c r="M41" s="240"/>
      <c r="N41" s="240"/>
      <c r="O41" s="240"/>
      <c r="P41" s="240"/>
      <c r="Q41" s="240"/>
      <c r="R41" s="240"/>
      <c r="S41" s="240"/>
      <c r="T41" s="240"/>
      <c r="U41" s="240"/>
      <c r="V41" s="240"/>
      <c r="W41" s="240"/>
      <c r="X41" s="45"/>
      <c r="Y41" s="45"/>
      <c r="Z41" s="45"/>
      <c r="AA41" s="45"/>
      <c r="AB41" s="45"/>
      <c r="AC41" s="45"/>
      <c r="AD41" s="45"/>
      <c r="AE41" s="45"/>
      <c r="AF41" s="45"/>
    </row>
    <row r="42" spans="1:32" ht="17.100000000000001" customHeight="1">
      <c r="A42" s="240"/>
      <c r="B42" s="240"/>
      <c r="C42" s="240"/>
      <c r="D42" s="240"/>
      <c r="E42" s="240"/>
      <c r="F42" s="240"/>
      <c r="G42" s="240"/>
      <c r="H42" s="240"/>
      <c r="I42" s="240"/>
      <c r="J42" s="240"/>
      <c r="K42" s="240"/>
      <c r="L42" s="240"/>
      <c r="M42" s="240"/>
      <c r="N42" s="240"/>
      <c r="O42" s="240"/>
      <c r="P42" s="240" t="s">
        <v>3358</v>
      </c>
      <c r="Q42" s="240"/>
      <c r="R42" s="240"/>
      <c r="S42" s="240"/>
      <c r="T42" s="240"/>
      <c r="U42" s="240"/>
      <c r="V42" s="240"/>
      <c r="W42" s="240"/>
      <c r="X42" s="45"/>
      <c r="Y42" s="45"/>
      <c r="Z42" s="45"/>
      <c r="AA42" s="45"/>
      <c r="AB42" s="45"/>
      <c r="AC42" s="45"/>
      <c r="AD42" s="45"/>
      <c r="AE42" s="45"/>
      <c r="AF42" s="45"/>
    </row>
    <row r="43" spans="1:32" ht="17.100000000000001" customHeight="1">
      <c r="A43" s="240" t="s">
        <v>3359</v>
      </c>
      <c r="B43" s="240"/>
      <c r="C43" s="240"/>
      <c r="D43" s="240"/>
      <c r="E43" s="240"/>
      <c r="F43" s="240"/>
      <c r="G43" s="240"/>
      <c r="H43" s="240"/>
      <c r="I43" s="240"/>
      <c r="J43" s="240"/>
      <c r="K43" s="240"/>
      <c r="L43" s="240"/>
      <c r="M43" s="240"/>
      <c r="N43" s="240"/>
      <c r="O43" s="240"/>
      <c r="P43" s="240" t="s">
        <v>3360</v>
      </c>
      <c r="Q43" s="240"/>
      <c r="R43" s="240"/>
      <c r="S43" s="240"/>
      <c r="T43" s="240"/>
      <c r="U43" s="240"/>
      <c r="V43" s="240"/>
      <c r="W43" s="240"/>
      <c r="X43" s="45"/>
      <c r="Y43" s="45"/>
      <c r="Z43" s="45"/>
      <c r="AA43" s="45"/>
      <c r="AB43" s="45"/>
      <c r="AC43" s="45"/>
      <c r="AD43" s="45"/>
      <c r="AE43" s="45"/>
      <c r="AF43" s="45"/>
    </row>
    <row r="44" spans="1:32" ht="17.100000000000001" customHeight="1">
      <c r="A44" s="240"/>
      <c r="B44" s="240"/>
      <c r="C44" s="240"/>
      <c r="D44" s="240"/>
      <c r="E44" s="240"/>
      <c r="F44" s="240"/>
      <c r="G44" s="240"/>
      <c r="H44" s="240"/>
      <c r="I44" s="240"/>
      <c r="J44" s="240"/>
      <c r="K44" s="240"/>
      <c r="L44" s="240"/>
      <c r="M44" s="240"/>
      <c r="N44" s="240"/>
      <c r="O44" s="240"/>
      <c r="P44" s="240" t="s">
        <v>3361</v>
      </c>
      <c r="Q44" s="240"/>
      <c r="R44" s="240"/>
      <c r="S44" s="240"/>
      <c r="T44" s="240"/>
      <c r="U44" s="240"/>
      <c r="V44" s="240"/>
      <c r="W44" s="240"/>
      <c r="X44" s="45"/>
      <c r="Y44" s="45"/>
      <c r="Z44" s="45"/>
      <c r="AA44" s="45"/>
      <c r="AB44" s="45"/>
      <c r="AC44" s="45"/>
      <c r="AD44" s="45"/>
      <c r="AE44" s="45"/>
      <c r="AF44" s="45"/>
    </row>
    <row r="45" spans="1:32" ht="17.100000000000001" customHeight="1">
      <c r="A45" s="240">
        <v>4</v>
      </c>
      <c r="B45" s="240"/>
      <c r="C45" s="240"/>
      <c r="D45" s="240"/>
      <c r="E45" s="240"/>
      <c r="F45" s="240"/>
      <c r="G45" s="240"/>
      <c r="H45" s="240"/>
      <c r="I45" s="240"/>
      <c r="J45" s="240"/>
      <c r="K45" s="240"/>
      <c r="L45" s="240"/>
      <c r="M45" s="240"/>
      <c r="N45" s="240"/>
      <c r="O45" s="240"/>
      <c r="P45" s="240" t="s">
        <v>3362</v>
      </c>
      <c r="Q45" s="240"/>
      <c r="R45" s="240"/>
      <c r="S45" s="240"/>
      <c r="T45" s="240"/>
      <c r="U45" s="240"/>
      <c r="V45" s="240"/>
      <c r="W45" s="240"/>
      <c r="X45" s="45"/>
      <c r="Y45" s="45"/>
      <c r="Z45" s="45"/>
      <c r="AA45" s="45"/>
      <c r="AB45" s="45"/>
      <c r="AC45" s="45"/>
      <c r="AD45" s="45"/>
      <c r="AE45" s="45"/>
      <c r="AF45" s="45"/>
    </row>
    <row r="46" spans="1:32" ht="17.100000000000001" customHeight="1">
      <c r="A46" s="240" t="s">
        <v>350</v>
      </c>
      <c r="B46" s="240"/>
      <c r="C46" s="240"/>
      <c r="D46" s="240"/>
      <c r="E46" s="240"/>
      <c r="F46" s="240"/>
      <c r="G46" s="240"/>
      <c r="H46" s="240"/>
      <c r="I46" s="240"/>
      <c r="J46" s="240"/>
      <c r="K46" s="240"/>
      <c r="L46" s="240"/>
      <c r="M46" s="240"/>
      <c r="N46" s="240"/>
      <c r="O46" s="240"/>
      <c r="P46" s="240" t="s">
        <v>3363</v>
      </c>
      <c r="Q46" s="240"/>
      <c r="R46" s="240"/>
      <c r="S46" s="240"/>
      <c r="T46" s="240"/>
      <c r="U46" s="240"/>
      <c r="V46" s="240"/>
      <c r="W46" s="240"/>
      <c r="X46" s="45"/>
      <c r="Y46" s="45"/>
      <c r="Z46" s="45"/>
      <c r="AA46" s="45"/>
      <c r="AB46" s="45"/>
      <c r="AC46" s="45"/>
      <c r="AD46" s="45"/>
      <c r="AE46" s="45"/>
      <c r="AF46" s="45"/>
    </row>
    <row r="47" spans="1:32" ht="17.100000000000001" customHeight="1">
      <c r="A47" s="240"/>
      <c r="B47" s="240"/>
      <c r="C47" s="240"/>
      <c r="D47" s="240"/>
      <c r="E47" s="240"/>
      <c r="F47" s="240"/>
      <c r="G47" s="240"/>
      <c r="H47" s="240"/>
      <c r="I47" s="240"/>
      <c r="J47" s="240"/>
      <c r="K47" s="240"/>
      <c r="L47" s="240"/>
      <c r="M47" s="240"/>
      <c r="N47" s="240"/>
      <c r="O47" s="240"/>
      <c r="P47" s="240" t="s">
        <v>3361</v>
      </c>
      <c r="Q47" s="240"/>
      <c r="R47" s="240"/>
      <c r="S47" s="240"/>
      <c r="T47" s="240"/>
      <c r="U47" s="240"/>
      <c r="V47" s="240"/>
      <c r="W47" s="240"/>
      <c r="X47" s="45"/>
      <c r="Y47" s="45"/>
      <c r="Z47" s="45"/>
      <c r="AA47" s="45"/>
      <c r="AB47" s="45"/>
      <c r="AC47" s="45"/>
      <c r="AD47" s="45"/>
      <c r="AE47" s="45"/>
      <c r="AF47" s="45"/>
    </row>
    <row r="48" spans="1:32" ht="17.100000000000001" customHeight="1">
      <c r="A48" s="240" t="s">
        <v>3339</v>
      </c>
      <c r="B48" s="240"/>
      <c r="C48" s="240"/>
      <c r="D48" s="240"/>
      <c r="E48" s="240"/>
      <c r="F48" s="240"/>
      <c r="G48" s="240"/>
      <c r="H48" s="240"/>
      <c r="I48" s="240"/>
      <c r="J48" s="240"/>
      <c r="K48" s="240"/>
      <c r="L48" s="240"/>
      <c r="M48" s="240"/>
      <c r="N48" s="240"/>
      <c r="O48" s="240"/>
      <c r="P48" s="240" t="s">
        <v>3364</v>
      </c>
      <c r="Q48" s="240"/>
      <c r="R48" s="240"/>
      <c r="S48" s="240"/>
      <c r="T48" s="240"/>
      <c r="U48" s="240"/>
      <c r="V48" s="240"/>
      <c r="W48" s="240"/>
      <c r="X48" s="45"/>
      <c r="Y48" s="45"/>
      <c r="Z48" s="45"/>
      <c r="AA48" s="45"/>
      <c r="AB48" s="45"/>
      <c r="AC48" s="45"/>
      <c r="AD48" s="45"/>
      <c r="AE48" s="45"/>
      <c r="AF48" s="45"/>
    </row>
    <row r="49" spans="1:32" ht="17.100000000000001" customHeight="1">
      <c r="A49" s="240"/>
      <c r="B49" s="240"/>
      <c r="C49" s="240"/>
      <c r="D49" s="240"/>
      <c r="E49" s="240"/>
      <c r="F49" s="240"/>
      <c r="G49" s="240"/>
      <c r="H49" s="240"/>
      <c r="I49" s="240"/>
      <c r="J49" s="240"/>
      <c r="K49" s="240"/>
      <c r="L49" s="240"/>
      <c r="M49" s="240"/>
      <c r="N49" s="240"/>
      <c r="O49" s="240"/>
      <c r="P49" s="240" t="s">
        <v>2366</v>
      </c>
      <c r="Q49" s="240"/>
      <c r="R49" s="240"/>
      <c r="S49" s="240"/>
      <c r="T49" s="240"/>
      <c r="U49" s="240"/>
      <c r="V49" s="240"/>
      <c r="W49" s="240"/>
      <c r="X49" s="45"/>
      <c r="Y49" s="45"/>
      <c r="Z49" s="45"/>
      <c r="AA49" s="45"/>
      <c r="AB49" s="45"/>
      <c r="AC49" s="45"/>
      <c r="AD49" s="45"/>
      <c r="AE49" s="45"/>
      <c r="AF49" s="45"/>
    </row>
    <row r="50" spans="1:32" ht="17.100000000000001" customHeight="1">
      <c r="A50" s="240" t="s">
        <v>3343</v>
      </c>
      <c r="B50" s="240"/>
      <c r="C50" s="240"/>
      <c r="D50" s="240"/>
      <c r="E50" s="240"/>
      <c r="F50" s="240"/>
      <c r="G50" s="240"/>
      <c r="H50" s="240"/>
      <c r="I50" s="240"/>
      <c r="J50" s="240"/>
      <c r="K50" s="240"/>
      <c r="L50" s="240"/>
      <c r="M50" s="240"/>
      <c r="N50" s="240"/>
      <c r="O50" s="240"/>
      <c r="P50" s="240" t="s">
        <v>3365</v>
      </c>
      <c r="Q50" s="240"/>
      <c r="R50" s="240"/>
      <c r="S50" s="240"/>
      <c r="T50" s="240"/>
      <c r="U50" s="240"/>
      <c r="V50" s="240"/>
      <c r="W50" s="240"/>
      <c r="X50" s="45"/>
      <c r="Y50" s="45"/>
      <c r="Z50" s="45"/>
      <c r="AA50" s="45"/>
      <c r="AB50" s="45"/>
      <c r="AC50" s="45"/>
      <c r="AD50" s="45"/>
      <c r="AE50" s="45"/>
      <c r="AF50" s="45"/>
    </row>
    <row r="51" spans="1:32" ht="17.100000000000001" customHeight="1">
      <c r="A51" s="240"/>
      <c r="B51" s="240"/>
      <c r="C51" s="240"/>
      <c r="D51" s="240"/>
      <c r="E51" s="240"/>
      <c r="F51" s="240"/>
      <c r="G51" s="240"/>
      <c r="H51" s="240"/>
      <c r="I51" s="240"/>
      <c r="J51" s="240"/>
      <c r="K51" s="240"/>
      <c r="L51" s="240"/>
      <c r="M51" s="240"/>
      <c r="N51" s="240"/>
      <c r="O51" s="240"/>
      <c r="P51" s="240" t="s">
        <v>3366</v>
      </c>
      <c r="Q51" s="240"/>
      <c r="R51" s="240"/>
      <c r="S51" s="240"/>
      <c r="T51" s="240"/>
      <c r="U51" s="240"/>
      <c r="V51" s="240"/>
      <c r="W51" s="240"/>
      <c r="X51" s="45"/>
      <c r="Y51" s="45"/>
      <c r="Z51" s="45"/>
      <c r="AA51" s="45"/>
      <c r="AB51" s="45"/>
      <c r="AC51" s="45"/>
      <c r="AD51" s="45"/>
      <c r="AE51" s="45"/>
      <c r="AF51" s="45"/>
    </row>
    <row r="52" spans="1:32" ht="17.100000000000001" customHeight="1">
      <c r="A52" s="240" t="s">
        <v>3367</v>
      </c>
      <c r="B52" s="240"/>
      <c r="C52" s="240"/>
      <c r="D52" s="240"/>
      <c r="E52" s="240"/>
      <c r="F52" s="240"/>
      <c r="G52" s="240"/>
      <c r="H52" s="240"/>
      <c r="I52" s="240"/>
      <c r="J52" s="240"/>
      <c r="K52" s="240"/>
      <c r="L52" s="240"/>
      <c r="M52" s="240"/>
      <c r="N52" s="240"/>
      <c r="O52" s="240"/>
      <c r="P52" s="240" t="s">
        <v>3358</v>
      </c>
      <c r="Q52" s="240"/>
      <c r="R52" s="240"/>
      <c r="S52" s="240"/>
      <c r="T52" s="240"/>
      <c r="U52" s="240"/>
      <c r="V52" s="240"/>
      <c r="W52" s="240"/>
      <c r="X52" s="45"/>
      <c r="Y52" s="45"/>
      <c r="Z52" s="45"/>
      <c r="AA52" s="45"/>
      <c r="AB52" s="45"/>
      <c r="AC52" s="45"/>
      <c r="AD52" s="45"/>
      <c r="AE52" s="45"/>
      <c r="AF52" s="45"/>
    </row>
    <row r="53" spans="1:32" ht="17.100000000000001" customHeight="1">
      <c r="A53" s="240" t="s">
        <v>3368</v>
      </c>
      <c r="B53" s="240"/>
      <c r="C53" s="240"/>
      <c r="D53" s="240"/>
      <c r="E53" s="240"/>
      <c r="F53" s="240"/>
      <c r="G53" s="240"/>
      <c r="H53" s="240"/>
      <c r="I53" s="240"/>
      <c r="J53" s="240"/>
      <c r="K53" s="240"/>
      <c r="L53" s="240"/>
      <c r="M53" s="240"/>
      <c r="N53" s="240"/>
      <c r="O53" s="240"/>
      <c r="P53" s="240"/>
      <c r="Q53" s="240"/>
      <c r="R53" s="240"/>
      <c r="S53" s="240"/>
      <c r="T53" s="240"/>
      <c r="U53" s="240"/>
      <c r="V53" s="240"/>
      <c r="W53" s="240"/>
      <c r="X53" s="45"/>
      <c r="Y53" s="45"/>
      <c r="Z53" s="45"/>
      <c r="AA53" s="45"/>
      <c r="AB53" s="45"/>
      <c r="AC53" s="45"/>
      <c r="AD53" s="45"/>
      <c r="AE53" s="45"/>
      <c r="AF53" s="45"/>
    </row>
    <row r="54" spans="1:32" ht="17.100000000000001" customHeight="1">
      <c r="A54" s="240" t="s">
        <v>3369</v>
      </c>
      <c r="B54" s="240"/>
      <c r="C54" s="240"/>
      <c r="D54" s="240"/>
      <c r="E54" s="240"/>
      <c r="F54" s="240"/>
      <c r="G54" s="240"/>
      <c r="H54" s="240"/>
      <c r="I54" s="240"/>
      <c r="J54" s="240"/>
      <c r="K54" s="240"/>
      <c r="L54" s="240"/>
      <c r="M54" s="240"/>
      <c r="N54" s="240"/>
      <c r="O54" s="240"/>
      <c r="P54" s="240" t="s">
        <v>3992</v>
      </c>
      <c r="Q54" s="240"/>
      <c r="R54" s="240"/>
      <c r="S54" s="240"/>
      <c r="T54" s="240"/>
      <c r="U54" s="240"/>
      <c r="V54" s="240"/>
      <c r="W54" s="240"/>
      <c r="X54" s="45"/>
      <c r="Y54" s="45"/>
      <c r="Z54" s="45"/>
      <c r="AA54" s="45"/>
      <c r="AB54" s="45"/>
      <c r="AC54" s="45"/>
      <c r="AD54" s="45"/>
      <c r="AE54" s="45"/>
      <c r="AF54" s="45"/>
    </row>
    <row r="55" spans="1:32" ht="17.100000000000001" customHeight="1">
      <c r="A55" s="240" t="s">
        <v>3370</v>
      </c>
      <c r="B55" s="240"/>
      <c r="C55" s="240"/>
      <c r="D55" s="240"/>
      <c r="E55" s="240"/>
      <c r="F55" s="240"/>
      <c r="G55" s="240"/>
      <c r="H55" s="240"/>
      <c r="I55" s="240"/>
      <c r="J55" s="240"/>
      <c r="K55" s="240"/>
      <c r="L55" s="240"/>
      <c r="M55" s="240"/>
      <c r="N55" s="240"/>
      <c r="O55" s="240"/>
      <c r="P55" s="240" t="s">
        <v>3371</v>
      </c>
      <c r="Q55" s="240"/>
      <c r="R55" s="240"/>
      <c r="S55" s="240"/>
      <c r="T55" s="240"/>
      <c r="U55" s="240"/>
      <c r="V55" s="240"/>
      <c r="W55" s="240"/>
      <c r="X55" s="45"/>
      <c r="Y55" s="45"/>
      <c r="Z55" s="45"/>
      <c r="AA55" s="45"/>
      <c r="AB55" s="45"/>
      <c r="AC55" s="45"/>
      <c r="AD55" s="45"/>
      <c r="AE55" s="45"/>
      <c r="AF55" s="45"/>
    </row>
    <row r="56" spans="1:32" ht="17.100000000000001" customHeight="1">
      <c r="A56" s="240" t="s">
        <v>3372</v>
      </c>
      <c r="B56" s="240"/>
      <c r="C56" s="240"/>
      <c r="D56" s="240"/>
      <c r="E56" s="240"/>
      <c r="F56" s="240"/>
      <c r="G56" s="240"/>
      <c r="H56" s="240"/>
      <c r="I56" s="240"/>
      <c r="J56" s="240"/>
      <c r="K56" s="240"/>
      <c r="L56" s="240"/>
      <c r="M56" s="240"/>
      <c r="N56" s="240"/>
      <c r="O56" s="240"/>
      <c r="P56" s="240" t="s">
        <v>3373</v>
      </c>
      <c r="Q56" s="240"/>
      <c r="R56" s="240"/>
      <c r="S56" s="240"/>
      <c r="T56" s="240"/>
      <c r="U56" s="240"/>
      <c r="V56" s="240"/>
      <c r="W56" s="240"/>
      <c r="X56" s="45"/>
      <c r="Y56" s="45"/>
      <c r="Z56" s="45"/>
      <c r="AA56" s="45"/>
      <c r="AB56" s="45"/>
      <c r="AC56" s="45"/>
      <c r="AD56" s="45"/>
      <c r="AE56" s="45"/>
      <c r="AF56" s="45"/>
    </row>
    <row r="57" spans="1:32" ht="17.100000000000001" customHeight="1">
      <c r="A57" s="240" t="s">
        <v>3374</v>
      </c>
      <c r="B57" s="240"/>
      <c r="C57" s="240"/>
      <c r="D57" s="240"/>
      <c r="E57" s="240"/>
      <c r="F57" s="240"/>
      <c r="G57" s="240"/>
      <c r="H57" s="240"/>
      <c r="I57" s="240"/>
      <c r="J57" s="240"/>
      <c r="K57" s="240"/>
      <c r="L57" s="240"/>
      <c r="M57" s="240"/>
      <c r="N57" s="240"/>
      <c r="O57" s="240"/>
      <c r="P57" s="240" t="s">
        <v>2426</v>
      </c>
      <c r="Q57" s="240"/>
      <c r="R57" s="240"/>
      <c r="S57" s="240"/>
      <c r="T57" s="240"/>
      <c r="U57" s="240"/>
      <c r="V57" s="240"/>
      <c r="W57" s="240"/>
      <c r="X57" s="45"/>
      <c r="Y57" s="45"/>
      <c r="Z57" s="45"/>
      <c r="AA57" s="45"/>
      <c r="AB57" s="45"/>
      <c r="AC57" s="45"/>
      <c r="AD57" s="45"/>
      <c r="AE57" s="45"/>
      <c r="AF57" s="45"/>
    </row>
    <row r="58" spans="1:32" ht="17.100000000000001" customHeight="1">
      <c r="A58" s="240" t="s">
        <v>3375</v>
      </c>
      <c r="B58" s="240"/>
      <c r="C58" s="240"/>
      <c r="D58" s="240"/>
      <c r="E58" s="240"/>
      <c r="F58" s="240"/>
      <c r="G58" s="240"/>
      <c r="H58" s="240"/>
      <c r="I58" s="240"/>
      <c r="J58" s="240"/>
      <c r="K58" s="240"/>
      <c r="L58" s="240"/>
      <c r="M58" s="240"/>
      <c r="N58" s="240"/>
      <c r="O58" s="240"/>
      <c r="P58" s="240"/>
      <c r="Q58" s="240"/>
      <c r="R58" s="240"/>
      <c r="S58" s="240"/>
      <c r="T58" s="240"/>
      <c r="U58" s="240"/>
      <c r="V58" s="240"/>
      <c r="W58" s="240"/>
      <c r="X58" s="45"/>
      <c r="Y58" s="45"/>
      <c r="Z58" s="45"/>
      <c r="AA58" s="45"/>
      <c r="AB58" s="45"/>
      <c r="AC58" s="45"/>
      <c r="AD58" s="45"/>
      <c r="AE58" s="45"/>
      <c r="AF58" s="45"/>
    </row>
    <row r="59" spans="1:32" ht="17.100000000000001" customHeight="1">
      <c r="A59" s="240" t="s">
        <v>3376</v>
      </c>
      <c r="B59" s="240"/>
      <c r="C59" s="240"/>
      <c r="D59" s="240"/>
      <c r="E59" s="240"/>
      <c r="F59" s="240"/>
      <c r="G59" s="240"/>
      <c r="H59" s="240"/>
      <c r="I59" s="240"/>
      <c r="J59" s="240"/>
      <c r="K59" s="240"/>
      <c r="L59" s="240"/>
      <c r="M59" s="240"/>
      <c r="N59" s="240"/>
      <c r="O59" s="240"/>
      <c r="P59" s="240" t="s">
        <v>3377</v>
      </c>
      <c r="Q59" s="240"/>
      <c r="R59" s="240"/>
      <c r="S59" s="240"/>
      <c r="T59" s="240"/>
      <c r="U59" s="240"/>
      <c r="V59" s="240"/>
      <c r="W59" s="248" t="s">
        <v>3378</v>
      </c>
      <c r="X59" s="45"/>
      <c r="Y59" s="45"/>
      <c r="Z59" s="45"/>
      <c r="AA59" s="45"/>
      <c r="AB59" s="45"/>
      <c r="AC59" s="45"/>
      <c r="AD59" s="45"/>
      <c r="AE59" s="45"/>
      <c r="AF59" s="45"/>
    </row>
    <row r="60" spans="1:32" ht="17.100000000000001" customHeight="1">
      <c r="A60" s="240" t="s">
        <v>3379</v>
      </c>
      <c r="B60" s="240"/>
      <c r="C60" s="240"/>
      <c r="D60" s="240"/>
      <c r="E60" s="240"/>
      <c r="F60" s="240"/>
      <c r="G60" s="240"/>
      <c r="H60" s="240"/>
      <c r="I60" s="240"/>
      <c r="J60" s="240"/>
      <c r="K60" s="240"/>
      <c r="L60" s="240"/>
      <c r="M60" s="240"/>
      <c r="N60" s="240"/>
      <c r="O60" s="240"/>
      <c r="P60" s="240"/>
      <c r="Q60" s="240"/>
      <c r="R60" s="240"/>
      <c r="S60" s="240"/>
      <c r="T60" s="240"/>
      <c r="U60" s="240"/>
      <c r="V60" s="240"/>
      <c r="W60" s="240" t="s">
        <v>2451</v>
      </c>
      <c r="X60" s="45"/>
      <c r="Y60" s="45"/>
      <c r="Z60" s="45"/>
      <c r="AA60" s="45"/>
      <c r="AB60" s="45"/>
      <c r="AC60" s="45"/>
      <c r="AD60" s="45"/>
      <c r="AE60" s="45"/>
      <c r="AF60" s="45"/>
    </row>
    <row r="61" spans="1:32" ht="17.100000000000001" customHeight="1">
      <c r="A61" s="240" t="s">
        <v>3380</v>
      </c>
      <c r="B61" s="240"/>
      <c r="C61" s="240"/>
      <c r="D61" s="240"/>
      <c r="E61" s="240"/>
      <c r="F61" s="240"/>
      <c r="G61" s="240"/>
      <c r="H61" s="240"/>
      <c r="I61" s="240"/>
      <c r="J61" s="240"/>
      <c r="K61" s="240"/>
      <c r="L61" s="240"/>
      <c r="M61" s="240"/>
      <c r="N61" s="240"/>
      <c r="O61" s="240"/>
      <c r="P61" s="240" t="s">
        <v>3381</v>
      </c>
      <c r="Q61" s="240"/>
      <c r="R61" s="240"/>
      <c r="S61" s="240"/>
      <c r="T61" s="240"/>
      <c r="U61" s="240"/>
      <c r="V61" s="240"/>
      <c r="W61" s="240"/>
      <c r="X61" s="45"/>
      <c r="Y61" s="45"/>
      <c r="Z61" s="45"/>
      <c r="AA61" s="45"/>
      <c r="AB61" s="45"/>
      <c r="AC61" s="45"/>
      <c r="AD61" s="45"/>
      <c r="AE61" s="45"/>
      <c r="AF61" s="45"/>
    </row>
    <row r="62" spans="1:32" ht="17.100000000000001" customHeight="1">
      <c r="A62" s="240" t="s">
        <v>3382</v>
      </c>
      <c r="B62" s="240"/>
      <c r="C62" s="240"/>
      <c r="D62" s="240"/>
      <c r="E62" s="240"/>
      <c r="F62" s="240"/>
      <c r="G62" s="240"/>
      <c r="H62" s="240"/>
      <c r="I62" s="240"/>
      <c r="J62" s="240"/>
      <c r="K62" s="240"/>
      <c r="L62" s="240"/>
      <c r="M62" s="240"/>
      <c r="N62" s="240"/>
      <c r="O62" s="240"/>
      <c r="P62" s="240" t="s">
        <v>3383</v>
      </c>
      <c r="Q62" s="240"/>
      <c r="R62" s="240"/>
      <c r="S62" s="240"/>
      <c r="T62" s="240"/>
      <c r="U62" s="240"/>
      <c r="V62" s="240"/>
      <c r="W62" s="240" t="s">
        <v>3384</v>
      </c>
      <c r="X62" s="45"/>
      <c r="Y62" s="45"/>
      <c r="Z62" s="45"/>
      <c r="AA62" s="45"/>
      <c r="AB62" s="45"/>
      <c r="AC62" s="45"/>
      <c r="AD62" s="45"/>
      <c r="AE62" s="45"/>
      <c r="AF62" s="45"/>
    </row>
    <row r="63" spans="1:32" ht="17.100000000000001" customHeight="1">
      <c r="A63" s="240" t="s">
        <v>3385</v>
      </c>
      <c r="B63" s="240"/>
      <c r="C63" s="240"/>
      <c r="D63" s="240"/>
      <c r="E63" s="240"/>
      <c r="F63" s="240"/>
      <c r="G63" s="240"/>
      <c r="H63" s="240"/>
      <c r="I63" s="240"/>
      <c r="J63" s="240"/>
      <c r="K63" s="240"/>
      <c r="L63" s="240"/>
      <c r="M63" s="240"/>
      <c r="N63" s="240"/>
      <c r="O63" s="240"/>
      <c r="P63" s="240"/>
      <c r="Q63" s="240"/>
      <c r="R63" s="240"/>
      <c r="S63" s="240"/>
      <c r="T63" s="240"/>
      <c r="U63" s="240"/>
      <c r="V63" s="240"/>
      <c r="W63" s="240" t="s">
        <v>3386</v>
      </c>
      <c r="X63" s="45"/>
      <c r="Y63" s="45"/>
      <c r="Z63" s="45"/>
      <c r="AA63" s="45"/>
      <c r="AB63" s="45"/>
      <c r="AC63" s="45"/>
      <c r="AD63" s="45"/>
      <c r="AE63" s="45"/>
      <c r="AF63" s="45"/>
    </row>
    <row r="64" spans="1:32" ht="17.100000000000001" customHeight="1">
      <c r="A64" s="240" t="s">
        <v>3387</v>
      </c>
      <c r="B64" s="240"/>
      <c r="C64" s="240"/>
      <c r="D64" s="240"/>
      <c r="E64" s="240"/>
      <c r="F64" s="240"/>
      <c r="G64" s="240"/>
      <c r="H64" s="240"/>
      <c r="I64" s="240"/>
      <c r="J64" s="240"/>
      <c r="K64" s="240"/>
      <c r="L64" s="240"/>
      <c r="M64" s="240"/>
      <c r="N64" s="240"/>
      <c r="O64" s="240"/>
      <c r="P64" s="240" t="s">
        <v>3388</v>
      </c>
      <c r="Q64" s="240"/>
      <c r="R64" s="240"/>
      <c r="S64" s="240"/>
      <c r="T64" s="240"/>
      <c r="U64" s="240"/>
      <c r="V64" s="240"/>
      <c r="W64" s="240"/>
      <c r="X64" s="45"/>
      <c r="Y64" s="45"/>
      <c r="Z64" s="45"/>
      <c r="AA64" s="45"/>
      <c r="AB64" s="45"/>
      <c r="AC64" s="45"/>
      <c r="AD64" s="45"/>
      <c r="AE64" s="45"/>
      <c r="AF64" s="45"/>
    </row>
    <row r="65" spans="1:32" ht="17.100000000000001" customHeight="1">
      <c r="A65" s="240" t="s">
        <v>431</v>
      </c>
      <c r="B65" s="240"/>
      <c r="C65" s="240"/>
      <c r="D65" s="240"/>
      <c r="E65" s="240"/>
      <c r="F65" s="240"/>
      <c r="G65" s="240"/>
      <c r="H65" s="240"/>
      <c r="I65" s="240"/>
      <c r="J65" s="240"/>
      <c r="K65" s="240"/>
      <c r="L65" s="240"/>
      <c r="M65" s="240"/>
      <c r="N65" s="240"/>
      <c r="O65" s="240"/>
      <c r="P65" s="240"/>
      <c r="Q65" s="240"/>
      <c r="R65" s="240"/>
      <c r="S65" s="240"/>
      <c r="T65" s="240"/>
      <c r="U65" s="240"/>
      <c r="V65" s="240"/>
      <c r="W65" s="240" t="s">
        <v>3389</v>
      </c>
      <c r="X65" s="45"/>
      <c r="Y65" s="45"/>
      <c r="Z65" s="45"/>
      <c r="AA65" s="45"/>
      <c r="AB65" s="45"/>
      <c r="AC65" s="45"/>
      <c r="AD65" s="45"/>
      <c r="AE65" s="45"/>
      <c r="AF65" s="45"/>
    </row>
    <row r="66" spans="1:32" ht="17.100000000000001" customHeight="1">
      <c r="A66" s="240"/>
      <c r="B66" s="240"/>
      <c r="C66" s="240"/>
      <c r="D66" s="240"/>
      <c r="E66" s="240"/>
      <c r="F66" s="240"/>
      <c r="G66" s="240"/>
      <c r="H66" s="240"/>
      <c r="I66" s="240"/>
      <c r="J66" s="240"/>
      <c r="K66" s="240"/>
      <c r="L66" s="240"/>
      <c r="M66" s="240"/>
      <c r="N66" s="240"/>
      <c r="O66" s="240"/>
      <c r="P66" s="240" t="s">
        <v>3390</v>
      </c>
      <c r="Q66" s="240"/>
      <c r="R66" s="240"/>
      <c r="S66" s="240"/>
      <c r="T66" s="240"/>
      <c r="U66" s="240"/>
      <c r="V66" s="240"/>
      <c r="W66" s="240" t="s">
        <v>3391</v>
      </c>
      <c r="X66" s="45"/>
      <c r="Y66" s="45"/>
      <c r="Z66" s="45"/>
      <c r="AA66" s="45"/>
      <c r="AB66" s="45"/>
      <c r="AC66" s="45"/>
      <c r="AD66" s="45"/>
      <c r="AE66" s="45"/>
      <c r="AF66" s="45"/>
    </row>
    <row r="67" spans="1:32" ht="17.100000000000001" customHeight="1">
      <c r="A67" s="240" t="s">
        <v>3392</v>
      </c>
      <c r="B67" s="240"/>
      <c r="C67" s="240"/>
      <c r="D67" s="240"/>
      <c r="E67" s="240"/>
      <c r="F67" s="240"/>
      <c r="G67" s="240"/>
      <c r="H67" s="240"/>
      <c r="I67" s="240"/>
      <c r="J67" s="240"/>
      <c r="K67" s="240"/>
      <c r="L67" s="240"/>
      <c r="M67" s="240"/>
      <c r="N67" s="240"/>
      <c r="O67" s="240"/>
      <c r="P67" s="240" t="s">
        <v>3393</v>
      </c>
      <c r="Q67" s="240"/>
      <c r="R67" s="240"/>
      <c r="S67" s="240"/>
      <c r="T67" s="240"/>
      <c r="U67" s="240"/>
      <c r="V67" s="240"/>
      <c r="W67" s="240" t="s">
        <v>3394</v>
      </c>
      <c r="X67" s="45"/>
      <c r="Y67" s="45"/>
      <c r="Z67" s="45"/>
      <c r="AA67" s="45"/>
      <c r="AB67" s="45"/>
      <c r="AC67" s="45"/>
      <c r="AD67" s="45"/>
      <c r="AE67" s="45"/>
      <c r="AF67" s="45"/>
    </row>
    <row r="68" spans="1:32" ht="17.100000000000001" customHeight="1">
      <c r="A68" s="240" t="s">
        <v>3395</v>
      </c>
      <c r="B68" s="240"/>
      <c r="C68" s="240"/>
      <c r="D68" s="240"/>
      <c r="E68" s="240"/>
      <c r="F68" s="240"/>
      <c r="G68" s="240"/>
      <c r="H68" s="240"/>
      <c r="I68" s="240"/>
      <c r="J68" s="240"/>
      <c r="K68" s="240"/>
      <c r="L68" s="240"/>
      <c r="M68" s="240"/>
      <c r="N68" s="240"/>
      <c r="O68" s="240"/>
      <c r="P68" s="240" t="s">
        <v>3396</v>
      </c>
      <c r="Q68" s="240"/>
      <c r="R68" s="240"/>
      <c r="S68" s="240"/>
      <c r="T68" s="240"/>
      <c r="U68" s="240"/>
      <c r="V68" s="240"/>
      <c r="W68" s="240"/>
      <c r="X68" s="45"/>
      <c r="Y68" s="45"/>
      <c r="Z68" s="45"/>
      <c r="AA68" s="45"/>
      <c r="AB68" s="45"/>
      <c r="AC68" s="45"/>
      <c r="AD68" s="45"/>
      <c r="AE68" s="45"/>
      <c r="AF68" s="45"/>
    </row>
    <row r="69" spans="1:32" ht="17.100000000000001" customHeight="1">
      <c r="A69" s="240" t="s">
        <v>3397</v>
      </c>
      <c r="B69" s="240"/>
      <c r="C69" s="240"/>
      <c r="D69" s="240"/>
      <c r="E69" s="240"/>
      <c r="F69" s="240"/>
      <c r="G69" s="240"/>
      <c r="H69" s="240"/>
      <c r="I69" s="240"/>
      <c r="J69" s="240"/>
      <c r="K69" s="240"/>
      <c r="L69" s="240"/>
      <c r="M69" s="240"/>
      <c r="N69" s="240"/>
      <c r="O69" s="240"/>
      <c r="P69" s="240"/>
      <c r="Q69" s="240"/>
      <c r="R69" s="240"/>
      <c r="S69" s="240"/>
      <c r="T69" s="240"/>
      <c r="U69" s="240"/>
      <c r="V69" s="240"/>
      <c r="W69" s="240" t="s">
        <v>3398</v>
      </c>
      <c r="X69" s="45"/>
      <c r="Y69" s="45"/>
      <c r="Z69" s="45"/>
      <c r="AA69" s="45"/>
      <c r="AB69" s="45"/>
      <c r="AC69" s="45"/>
      <c r="AD69" s="45"/>
      <c r="AE69" s="45"/>
      <c r="AF69" s="45"/>
    </row>
    <row r="70" spans="1:32" ht="17.100000000000001" customHeight="1">
      <c r="A70" s="240" t="s">
        <v>3399</v>
      </c>
      <c r="B70" s="240"/>
      <c r="C70" s="240"/>
      <c r="D70" s="240"/>
      <c r="E70" s="240"/>
      <c r="F70" s="240"/>
      <c r="G70" s="240"/>
      <c r="H70" s="240"/>
      <c r="I70" s="240"/>
      <c r="J70" s="240"/>
      <c r="K70" s="240"/>
      <c r="L70" s="240"/>
      <c r="M70" s="240"/>
      <c r="N70" s="240"/>
      <c r="O70" s="240"/>
      <c r="P70" s="240" t="s">
        <v>3400</v>
      </c>
      <c r="Q70" s="240"/>
      <c r="R70" s="240"/>
      <c r="S70" s="240"/>
      <c r="T70" s="240"/>
      <c r="U70" s="240"/>
      <c r="V70" s="240"/>
      <c r="W70" s="240" t="s">
        <v>3401</v>
      </c>
      <c r="X70" s="45"/>
      <c r="Y70" s="45"/>
      <c r="Z70" s="45"/>
      <c r="AA70" s="45"/>
      <c r="AB70" s="45"/>
      <c r="AC70" s="45"/>
      <c r="AD70" s="45"/>
      <c r="AE70" s="45"/>
      <c r="AF70" s="45"/>
    </row>
    <row r="71" spans="1:32" ht="17.100000000000001" customHeight="1">
      <c r="A71" s="240"/>
      <c r="B71" s="240"/>
      <c r="C71" s="240"/>
      <c r="D71" s="240"/>
      <c r="E71" s="240"/>
      <c r="F71" s="240"/>
      <c r="G71" s="240"/>
      <c r="H71" s="240"/>
      <c r="I71" s="240"/>
      <c r="J71" s="240"/>
      <c r="K71" s="240"/>
      <c r="L71" s="240"/>
      <c r="M71" s="240"/>
      <c r="N71" s="240"/>
      <c r="O71" s="240"/>
      <c r="P71" s="240"/>
      <c r="Q71" s="240"/>
      <c r="R71" s="240"/>
      <c r="S71" s="240"/>
      <c r="T71" s="240"/>
      <c r="U71" s="240"/>
      <c r="V71" s="240"/>
      <c r="W71" s="240"/>
      <c r="X71" s="45"/>
      <c r="Y71" s="45"/>
      <c r="Z71" s="45"/>
      <c r="AA71" s="45"/>
      <c r="AB71" s="45"/>
      <c r="AC71" s="45"/>
      <c r="AD71" s="45"/>
      <c r="AE71" s="45"/>
      <c r="AF71" s="45"/>
    </row>
    <row r="72" spans="1:32" ht="17.100000000000001" customHeight="1">
      <c r="A72" s="240" t="s">
        <v>3402</v>
      </c>
      <c r="B72" s="240"/>
      <c r="C72" s="240"/>
      <c r="D72" s="240"/>
      <c r="E72" s="240"/>
      <c r="F72" s="240"/>
      <c r="G72" s="240"/>
      <c r="H72" s="240"/>
      <c r="I72" s="240"/>
      <c r="J72" s="240"/>
      <c r="K72" s="240"/>
      <c r="L72" s="240"/>
      <c r="M72" s="240"/>
      <c r="N72" s="240"/>
      <c r="O72" s="240"/>
      <c r="P72" s="240" t="s">
        <v>3403</v>
      </c>
      <c r="Q72" s="240"/>
      <c r="R72" s="240"/>
      <c r="S72" s="240"/>
      <c r="T72" s="240"/>
      <c r="U72" s="240"/>
      <c r="V72" s="240"/>
      <c r="W72" s="240"/>
      <c r="X72" s="45"/>
      <c r="Y72" s="45"/>
      <c r="Z72" s="45"/>
      <c r="AA72" s="45"/>
      <c r="AB72" s="45"/>
      <c r="AC72" s="45"/>
      <c r="AD72" s="45"/>
      <c r="AE72" s="45"/>
      <c r="AF72" s="45"/>
    </row>
    <row r="73" spans="1:32" ht="17.100000000000001" customHeight="1">
      <c r="A73" s="240"/>
      <c r="B73" s="240"/>
      <c r="C73" s="240"/>
      <c r="D73" s="240"/>
      <c r="E73" s="240"/>
      <c r="F73" s="240"/>
      <c r="G73" s="240"/>
      <c r="H73" s="240"/>
      <c r="I73" s="240"/>
      <c r="J73" s="240"/>
      <c r="K73" s="240"/>
      <c r="L73" s="240"/>
      <c r="M73" s="240"/>
      <c r="N73" s="240"/>
      <c r="O73" s="240"/>
      <c r="P73" s="240"/>
      <c r="Q73" s="240"/>
      <c r="R73" s="240"/>
      <c r="S73" s="240"/>
      <c r="T73" s="240"/>
      <c r="U73" s="240"/>
      <c r="V73" s="240"/>
      <c r="W73" s="240"/>
      <c r="X73" s="45"/>
      <c r="Y73" s="45"/>
      <c r="Z73" s="45"/>
      <c r="AA73" s="45"/>
      <c r="AB73" s="45"/>
      <c r="AC73" s="45"/>
      <c r="AD73" s="45"/>
      <c r="AE73" s="45"/>
      <c r="AF73" s="45"/>
    </row>
    <row r="74" spans="1:32" ht="17.100000000000001" customHeight="1">
      <c r="A74" s="240"/>
      <c r="B74" s="240"/>
      <c r="C74" s="240"/>
      <c r="D74" s="240"/>
      <c r="E74" s="240"/>
      <c r="F74" s="240"/>
      <c r="G74" s="240"/>
      <c r="H74" s="240"/>
      <c r="I74" s="240"/>
      <c r="J74" s="240"/>
      <c r="K74" s="240"/>
      <c r="L74" s="240"/>
      <c r="M74" s="240"/>
      <c r="N74" s="240"/>
      <c r="O74" s="240"/>
      <c r="P74" s="240" t="s">
        <v>3404</v>
      </c>
      <c r="Q74" s="240"/>
      <c r="R74" s="240"/>
      <c r="S74" s="240"/>
      <c r="T74" s="240"/>
      <c r="U74" s="240"/>
      <c r="V74" s="240"/>
      <c r="W74" s="240"/>
      <c r="X74" s="45"/>
      <c r="Y74" s="45"/>
      <c r="Z74" s="45"/>
      <c r="AA74" s="45"/>
      <c r="AB74" s="45"/>
      <c r="AC74" s="45"/>
      <c r="AD74" s="45"/>
      <c r="AE74" s="45"/>
      <c r="AF74" s="45"/>
    </row>
    <row r="75" spans="1:32" ht="17.100000000000001" customHeight="1">
      <c r="A75" s="240"/>
      <c r="B75" s="240"/>
      <c r="C75" s="240"/>
      <c r="D75" s="240"/>
      <c r="E75" s="240"/>
      <c r="F75" s="240"/>
      <c r="G75" s="240"/>
      <c r="H75" s="240"/>
      <c r="I75" s="240"/>
      <c r="J75" s="240"/>
      <c r="K75" s="240"/>
      <c r="L75" s="240"/>
      <c r="M75" s="240"/>
      <c r="N75" s="240"/>
      <c r="O75" s="240"/>
      <c r="P75" s="240" t="s">
        <v>3405</v>
      </c>
      <c r="Q75" s="240"/>
      <c r="R75" s="240"/>
      <c r="S75" s="240"/>
      <c r="T75" s="240"/>
      <c r="U75" s="240"/>
      <c r="V75" s="240"/>
      <c r="W75" s="240"/>
      <c r="X75" s="45"/>
      <c r="Y75" s="45"/>
      <c r="Z75" s="45"/>
      <c r="AA75" s="45"/>
      <c r="AB75" s="45"/>
      <c r="AC75" s="45"/>
      <c r="AD75" s="45"/>
      <c r="AE75" s="45"/>
      <c r="AF75" s="45"/>
    </row>
    <row r="76" spans="1:32" ht="17.100000000000001" customHeight="1">
      <c r="A76" s="240"/>
      <c r="B76" s="240"/>
      <c r="C76" s="240"/>
      <c r="D76" s="240"/>
      <c r="E76" s="240"/>
      <c r="F76" s="240"/>
      <c r="G76" s="240"/>
      <c r="H76" s="240"/>
      <c r="I76" s="240"/>
      <c r="J76" s="240"/>
      <c r="K76" s="240"/>
      <c r="L76" s="240"/>
      <c r="M76" s="240"/>
      <c r="N76" s="240"/>
      <c r="O76" s="240"/>
      <c r="P76" s="240" t="s">
        <v>3406</v>
      </c>
      <c r="Q76" s="240"/>
      <c r="R76" s="240"/>
      <c r="S76" s="240"/>
      <c r="T76" s="240"/>
      <c r="U76" s="240"/>
      <c r="V76" s="240"/>
      <c r="W76" s="240"/>
      <c r="X76" s="45"/>
      <c r="Y76" s="45"/>
      <c r="Z76" s="45"/>
      <c r="AA76" s="45"/>
      <c r="AB76" s="45"/>
      <c r="AC76" s="45"/>
      <c r="AD76" s="45"/>
      <c r="AE76" s="45"/>
      <c r="AF76" s="45"/>
    </row>
    <row r="77" spans="1:32" ht="17.100000000000001" customHeight="1">
      <c r="A77" s="240"/>
      <c r="B77" s="240"/>
      <c r="C77" s="240"/>
      <c r="D77" s="240"/>
      <c r="E77" s="240"/>
      <c r="F77" s="240"/>
      <c r="G77" s="240"/>
      <c r="H77" s="240"/>
      <c r="I77" s="240"/>
      <c r="J77" s="240"/>
      <c r="K77" s="240"/>
      <c r="L77" s="240"/>
      <c r="M77" s="240"/>
      <c r="N77" s="240"/>
      <c r="O77" s="240"/>
      <c r="P77" s="240" t="s">
        <v>3407</v>
      </c>
      <c r="Q77" s="240"/>
      <c r="R77" s="240"/>
      <c r="S77" s="240"/>
      <c r="T77" s="240"/>
      <c r="U77" s="240"/>
      <c r="V77" s="240"/>
      <c r="W77" s="240"/>
      <c r="X77" s="45"/>
      <c r="Y77" s="45"/>
      <c r="Z77" s="45"/>
      <c r="AA77" s="45"/>
      <c r="AB77" s="45"/>
      <c r="AC77" s="45"/>
      <c r="AD77" s="45"/>
      <c r="AE77" s="45"/>
      <c r="AF77" s="45"/>
    </row>
    <row r="78" spans="1:32" ht="17.100000000000001" customHeight="1">
      <c r="A78" s="240"/>
      <c r="B78" s="240"/>
      <c r="C78" s="240"/>
      <c r="D78" s="240"/>
      <c r="E78" s="240"/>
      <c r="F78" s="240"/>
      <c r="G78" s="240"/>
      <c r="H78" s="240"/>
      <c r="I78" s="240"/>
      <c r="J78" s="240"/>
      <c r="K78" s="240"/>
      <c r="L78" s="240"/>
      <c r="M78" s="240"/>
      <c r="N78" s="240"/>
      <c r="O78" s="240"/>
      <c r="P78" s="240" t="s">
        <v>3408</v>
      </c>
      <c r="Q78" s="240"/>
      <c r="R78" s="240"/>
      <c r="S78" s="240"/>
      <c r="T78" s="240"/>
      <c r="U78" s="240"/>
      <c r="V78" s="240"/>
      <c r="W78" s="240"/>
      <c r="X78" s="45"/>
      <c r="Y78" s="45"/>
      <c r="Z78" s="45"/>
      <c r="AA78" s="45"/>
      <c r="AB78" s="45"/>
      <c r="AC78" s="45"/>
      <c r="AD78" s="45"/>
      <c r="AE78" s="45"/>
      <c r="AF78" s="45"/>
    </row>
    <row r="79" spans="1:32" ht="17.100000000000001" customHeight="1">
      <c r="A79" s="240"/>
      <c r="B79" s="240"/>
      <c r="C79" s="240"/>
      <c r="D79" s="240"/>
      <c r="E79" s="240"/>
      <c r="F79" s="240"/>
      <c r="G79" s="240"/>
      <c r="H79" s="240"/>
      <c r="I79" s="240"/>
      <c r="J79" s="240"/>
      <c r="K79" s="240"/>
      <c r="L79" s="240"/>
      <c r="M79" s="240"/>
      <c r="N79" s="240"/>
      <c r="O79" s="240"/>
      <c r="P79" s="240"/>
      <c r="Q79" s="240"/>
      <c r="R79" s="240"/>
      <c r="S79" s="240"/>
      <c r="T79" s="240"/>
      <c r="U79" s="240"/>
      <c r="V79" s="240"/>
      <c r="W79" s="240"/>
      <c r="X79" s="45"/>
      <c r="Y79" s="45"/>
      <c r="Z79" s="45"/>
      <c r="AA79" s="45"/>
      <c r="AB79" s="45"/>
      <c r="AC79" s="45"/>
      <c r="AD79" s="45"/>
      <c r="AE79" s="45"/>
      <c r="AF79" s="45"/>
    </row>
    <row r="80" spans="1:32" ht="17.100000000000001" customHeight="1">
      <c r="A80" s="240"/>
      <c r="B80" s="240"/>
      <c r="C80" s="240"/>
      <c r="D80" s="240"/>
      <c r="E80" s="240"/>
      <c r="F80" s="240"/>
      <c r="G80" s="240"/>
      <c r="H80" s="240"/>
      <c r="I80" s="240"/>
      <c r="J80" s="240"/>
      <c r="K80" s="240"/>
      <c r="L80" s="240"/>
      <c r="M80" s="240"/>
      <c r="N80" s="240"/>
      <c r="O80" s="240"/>
      <c r="P80" s="240" t="s">
        <v>3409</v>
      </c>
      <c r="Q80" s="240"/>
      <c r="R80" s="240"/>
      <c r="S80" s="240"/>
      <c r="T80" s="240"/>
      <c r="U80" s="240"/>
      <c r="V80" s="240"/>
      <c r="W80" s="240"/>
      <c r="X80" s="45"/>
      <c r="Y80" s="45"/>
      <c r="Z80" s="45"/>
      <c r="AA80" s="45"/>
      <c r="AB80" s="45"/>
      <c r="AC80" s="45"/>
      <c r="AD80" s="45"/>
      <c r="AE80" s="45"/>
      <c r="AF80" s="45"/>
    </row>
    <row r="81" spans="1:32" ht="17.100000000000001" customHeight="1">
      <c r="A81" s="240"/>
      <c r="B81" s="240"/>
      <c r="C81" s="240"/>
      <c r="D81" s="240"/>
      <c r="E81" s="240"/>
      <c r="F81" s="240"/>
      <c r="G81" s="240"/>
      <c r="H81" s="240"/>
      <c r="I81" s="240"/>
      <c r="J81" s="240"/>
      <c r="K81" s="240"/>
      <c r="L81" s="240"/>
      <c r="M81" s="240"/>
      <c r="N81" s="240"/>
      <c r="O81" s="240"/>
      <c r="P81" s="240"/>
      <c r="Q81" s="240"/>
      <c r="R81" s="240"/>
      <c r="S81" s="240"/>
      <c r="T81" s="240"/>
      <c r="U81" s="240"/>
      <c r="V81" s="240"/>
      <c r="W81" s="240"/>
      <c r="X81" s="45"/>
      <c r="Y81" s="45"/>
      <c r="Z81" s="45"/>
      <c r="AA81" s="45"/>
      <c r="AB81" s="45"/>
      <c r="AC81" s="45"/>
      <c r="AD81" s="45"/>
      <c r="AE81" s="45"/>
      <c r="AF81" s="45"/>
    </row>
    <row r="82" spans="1:32" ht="17.100000000000001" customHeight="1">
      <c r="A82" s="240"/>
      <c r="B82" s="240"/>
      <c r="C82" s="240"/>
      <c r="D82" s="240"/>
      <c r="E82" s="240"/>
      <c r="F82" s="240"/>
      <c r="G82" s="240"/>
      <c r="H82" s="240"/>
      <c r="I82" s="240"/>
      <c r="J82" s="240"/>
      <c r="K82" s="240"/>
      <c r="L82" s="240"/>
      <c r="M82" s="240"/>
      <c r="N82" s="240"/>
      <c r="O82" s="240"/>
      <c r="P82" s="240" t="s">
        <v>3410</v>
      </c>
      <c r="Q82" s="240"/>
      <c r="R82" s="240"/>
      <c r="S82" s="240"/>
      <c r="T82" s="240"/>
      <c r="U82" s="240"/>
      <c r="V82" s="240"/>
      <c r="W82" s="240"/>
      <c r="X82" s="45"/>
      <c r="Y82" s="45"/>
      <c r="Z82" s="45"/>
      <c r="AA82" s="45"/>
      <c r="AB82" s="45"/>
      <c r="AC82" s="45"/>
      <c r="AD82" s="45"/>
      <c r="AE82" s="45"/>
      <c r="AF82" s="45"/>
    </row>
    <row r="83" spans="1:32" ht="17.100000000000001" customHeight="1">
      <c r="A83" s="240"/>
      <c r="B83" s="240"/>
      <c r="C83" s="240"/>
      <c r="D83" s="240"/>
      <c r="E83" s="240"/>
      <c r="F83" s="240"/>
      <c r="G83" s="240"/>
      <c r="H83" s="240"/>
      <c r="I83" s="240"/>
      <c r="J83" s="240"/>
      <c r="K83" s="240"/>
      <c r="L83" s="240"/>
      <c r="M83" s="240"/>
      <c r="N83" s="240"/>
      <c r="O83" s="240"/>
      <c r="P83" s="240" t="s">
        <v>3411</v>
      </c>
      <c r="Q83" s="240"/>
      <c r="R83" s="240"/>
      <c r="S83" s="240"/>
      <c r="T83" s="240"/>
      <c r="U83" s="240"/>
      <c r="V83" s="240"/>
      <c r="W83" s="240"/>
      <c r="X83" s="45"/>
      <c r="Y83" s="45"/>
      <c r="Z83" s="45"/>
      <c r="AA83" s="45"/>
      <c r="AB83" s="45"/>
      <c r="AC83" s="45"/>
      <c r="AD83" s="45"/>
      <c r="AE83" s="45"/>
      <c r="AF83" s="45"/>
    </row>
    <row r="84" spans="1:32" ht="17.100000000000001" customHeight="1">
      <c r="A84" s="240"/>
      <c r="B84" s="240"/>
      <c r="C84" s="240"/>
      <c r="D84" s="240"/>
      <c r="E84" s="240"/>
      <c r="F84" s="240"/>
      <c r="G84" s="240"/>
      <c r="H84" s="240"/>
      <c r="I84" s="240"/>
      <c r="J84" s="240"/>
      <c r="K84" s="240"/>
      <c r="L84" s="240"/>
      <c r="M84" s="240"/>
      <c r="N84" s="240"/>
      <c r="O84" s="240"/>
      <c r="P84" s="240" t="s">
        <v>2673</v>
      </c>
      <c r="Q84" s="240"/>
      <c r="R84" s="240"/>
      <c r="S84" s="240"/>
      <c r="T84" s="240"/>
      <c r="U84" s="240"/>
      <c r="V84" s="240"/>
      <c r="W84" s="240"/>
      <c r="X84" s="45"/>
      <c r="Y84" s="45"/>
      <c r="Z84" s="45"/>
      <c r="AA84" s="45"/>
      <c r="AB84" s="45"/>
      <c r="AC84" s="45"/>
      <c r="AD84" s="45"/>
      <c r="AE84" s="45"/>
      <c r="AF84" s="45"/>
    </row>
    <row r="85" spans="1:32" ht="17.100000000000001" customHeight="1">
      <c r="A85" s="240"/>
      <c r="B85" s="240"/>
      <c r="C85" s="240"/>
      <c r="D85" s="240"/>
      <c r="E85" s="240"/>
      <c r="F85" s="240"/>
      <c r="G85" s="240"/>
      <c r="H85" s="240"/>
      <c r="I85" s="240"/>
      <c r="J85" s="240"/>
      <c r="K85" s="240"/>
      <c r="L85" s="240"/>
      <c r="M85" s="240"/>
      <c r="N85" s="240"/>
      <c r="O85" s="240"/>
      <c r="P85" s="240" t="s">
        <v>2426</v>
      </c>
      <c r="Q85" s="240"/>
      <c r="R85" s="240"/>
      <c r="S85" s="240"/>
      <c r="T85" s="240"/>
      <c r="U85" s="240"/>
      <c r="V85" s="240"/>
      <c r="W85" s="240"/>
      <c r="X85" s="45"/>
      <c r="Y85" s="45"/>
      <c r="Z85" s="45"/>
      <c r="AA85" s="45"/>
      <c r="AB85" s="45"/>
      <c r="AC85" s="45"/>
      <c r="AD85" s="45"/>
      <c r="AE85" s="45"/>
      <c r="AF85" s="45"/>
    </row>
    <row r="86" spans="1:32" ht="17.100000000000001" customHeight="1">
      <c r="A86" s="240"/>
      <c r="B86" s="240"/>
      <c r="C86" s="240"/>
      <c r="D86" s="240"/>
      <c r="E86" s="240"/>
      <c r="F86" s="240"/>
      <c r="G86" s="240"/>
      <c r="H86" s="240"/>
      <c r="I86" s="240"/>
      <c r="J86" s="240"/>
      <c r="K86" s="240"/>
      <c r="L86" s="240"/>
      <c r="M86" s="240"/>
      <c r="N86" s="240"/>
      <c r="O86" s="240"/>
      <c r="P86" s="240"/>
      <c r="Q86" s="240"/>
      <c r="R86" s="240"/>
      <c r="S86" s="240"/>
      <c r="T86" s="240"/>
      <c r="U86" s="240"/>
      <c r="V86" s="240"/>
      <c r="W86" s="240"/>
      <c r="X86" s="45"/>
      <c r="Y86" s="45"/>
      <c r="Z86" s="45"/>
      <c r="AA86" s="45"/>
      <c r="AB86" s="45"/>
      <c r="AC86" s="45"/>
      <c r="AD86" s="45"/>
      <c r="AE86" s="45"/>
      <c r="AF86" s="45"/>
    </row>
    <row r="87" spans="1:32" ht="17.100000000000001" customHeight="1">
      <c r="A87" s="240"/>
      <c r="B87" s="240"/>
      <c r="C87" s="240"/>
      <c r="D87" s="240"/>
      <c r="E87" s="240"/>
      <c r="F87" s="240"/>
      <c r="G87" s="240"/>
      <c r="H87" s="240"/>
      <c r="I87" s="240"/>
      <c r="J87" s="240"/>
      <c r="K87" s="240"/>
      <c r="L87" s="240"/>
      <c r="M87" s="240"/>
      <c r="N87" s="240"/>
      <c r="O87" s="240"/>
      <c r="P87" s="240" t="s">
        <v>3412</v>
      </c>
      <c r="Q87" s="240"/>
      <c r="R87" s="240"/>
      <c r="S87" s="240"/>
      <c r="T87" s="240"/>
      <c r="U87" s="240"/>
      <c r="V87" s="240"/>
      <c r="W87" s="240"/>
      <c r="X87" s="45"/>
      <c r="Y87" s="45"/>
      <c r="Z87" s="45"/>
      <c r="AA87" s="45"/>
      <c r="AB87" s="45"/>
      <c r="AC87" s="45"/>
      <c r="AD87" s="45"/>
      <c r="AE87" s="45"/>
      <c r="AF87" s="45"/>
    </row>
    <row r="88" spans="1:32" ht="17.100000000000001" customHeight="1">
      <c r="A88" s="240"/>
      <c r="B88" s="240"/>
      <c r="C88" s="240"/>
      <c r="D88" s="240"/>
      <c r="E88" s="240"/>
      <c r="F88" s="240"/>
      <c r="G88" s="240"/>
      <c r="H88" s="240"/>
      <c r="I88" s="240"/>
      <c r="J88" s="240"/>
      <c r="K88" s="240"/>
      <c r="L88" s="240"/>
      <c r="M88" s="240"/>
      <c r="N88" s="240"/>
      <c r="O88" s="240"/>
      <c r="P88" s="240" t="s">
        <v>3413</v>
      </c>
      <c r="Q88" s="240"/>
      <c r="R88" s="240"/>
      <c r="S88" s="240"/>
      <c r="T88" s="240"/>
      <c r="U88" s="240"/>
      <c r="V88" s="240"/>
      <c r="W88" s="240"/>
      <c r="X88" s="45"/>
      <c r="Y88" s="45"/>
      <c r="Z88" s="45"/>
      <c r="AA88" s="45"/>
      <c r="AB88" s="45"/>
      <c r="AC88" s="45"/>
      <c r="AD88" s="45"/>
      <c r="AE88" s="45"/>
      <c r="AF88" s="45"/>
    </row>
    <row r="89" spans="1:32">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tabColor theme="5" tint="-0.249977111117893"/>
  </sheetPr>
  <dimension ref="A1:D37"/>
  <sheetViews>
    <sheetView showGridLines="0" workbookViewId="0">
      <selection sqref="A1:D1"/>
    </sheetView>
  </sheetViews>
  <sheetFormatPr defaultRowHeight="15"/>
  <cols>
    <col min="1" max="1" width="26" customWidth="1"/>
    <col min="2" max="2" width="31" customWidth="1"/>
    <col min="3" max="3" width="81" customWidth="1"/>
    <col min="4" max="4" width="57" customWidth="1"/>
  </cols>
  <sheetData>
    <row r="1" spans="1:4" ht="30.95" customHeight="1">
      <c r="A1" s="282" t="s">
        <v>4319</v>
      </c>
      <c r="B1" s="283"/>
      <c r="C1" s="283"/>
      <c r="D1" s="283"/>
    </row>
    <row r="2" spans="1:4" ht="23.1" customHeight="1">
      <c r="A2" s="284" t="s">
        <v>3414</v>
      </c>
      <c r="B2" s="284"/>
      <c r="C2" s="284"/>
      <c r="D2" s="284"/>
    </row>
    <row r="3" spans="1:4" ht="23.1" customHeight="1">
      <c r="A3" s="284" t="s">
        <v>3415</v>
      </c>
      <c r="B3" s="284"/>
      <c r="C3" s="284"/>
      <c r="D3" s="284"/>
    </row>
    <row r="4" spans="1:4">
      <c r="A4" s="9"/>
      <c r="B4" s="9"/>
      <c r="C4" s="9"/>
      <c r="D4" s="9"/>
    </row>
    <row r="5" spans="1:4" ht="24.95" customHeight="1">
      <c r="A5" s="10" t="s">
        <v>3416</v>
      </c>
      <c r="B5" s="10" t="s">
        <v>3417</v>
      </c>
      <c r="C5" s="10" t="s">
        <v>3418</v>
      </c>
      <c r="D5" s="10" t="s">
        <v>3419</v>
      </c>
    </row>
    <row r="6" spans="1:4" ht="90" customHeight="1">
      <c r="A6" s="11" t="s">
        <v>3420</v>
      </c>
      <c r="B6" s="11" t="s">
        <v>3421</v>
      </c>
      <c r="C6" s="111" t="s">
        <v>3422</v>
      </c>
      <c r="D6" s="12" t="s">
        <v>3423</v>
      </c>
    </row>
    <row r="7" spans="1:4" ht="33.950000000000003" customHeight="1">
      <c r="A7" s="249" t="s">
        <v>3420</v>
      </c>
      <c r="B7" s="249" t="s">
        <v>3424</v>
      </c>
      <c r="C7" s="250" t="s">
        <v>3425</v>
      </c>
      <c r="D7" s="251" t="s">
        <v>3426</v>
      </c>
    </row>
    <row r="8" spans="1:4" ht="33.950000000000003" customHeight="1">
      <c r="A8" s="11" t="s">
        <v>3420</v>
      </c>
      <c r="B8" s="11" t="s">
        <v>3427</v>
      </c>
      <c r="C8" s="111" t="s">
        <v>3428</v>
      </c>
      <c r="D8" s="12" t="s">
        <v>3429</v>
      </c>
    </row>
    <row r="9" spans="1:4" ht="405" customHeight="1">
      <c r="A9" s="249" t="s">
        <v>3420</v>
      </c>
      <c r="B9" s="249" t="s">
        <v>3430</v>
      </c>
      <c r="C9" s="250" t="s">
        <v>3431</v>
      </c>
      <c r="D9" s="251" t="s">
        <v>3432</v>
      </c>
    </row>
    <row r="10" spans="1:4" ht="90" customHeight="1">
      <c r="A10" s="11" t="s">
        <v>3420</v>
      </c>
      <c r="B10" s="11" t="s">
        <v>3433</v>
      </c>
      <c r="C10" s="111" t="s">
        <v>3434</v>
      </c>
      <c r="D10" s="12" t="s">
        <v>3426</v>
      </c>
    </row>
    <row r="11" spans="1:4" ht="153.94999999999999" customHeight="1">
      <c r="A11" s="249" t="s">
        <v>3420</v>
      </c>
      <c r="B11" s="249" t="s">
        <v>3435</v>
      </c>
      <c r="C11" s="250" t="s">
        <v>3436</v>
      </c>
      <c r="D11" s="251" t="s">
        <v>3426</v>
      </c>
    </row>
    <row r="12" spans="1:4" ht="122.1" customHeight="1">
      <c r="A12" s="11" t="s">
        <v>3420</v>
      </c>
      <c r="B12" s="11" t="s">
        <v>3437</v>
      </c>
      <c r="C12" s="111" t="s">
        <v>3438</v>
      </c>
      <c r="D12" s="12" t="s">
        <v>3426</v>
      </c>
    </row>
    <row r="13" spans="1:4" ht="33.950000000000003" customHeight="1">
      <c r="A13" s="249" t="s">
        <v>3420</v>
      </c>
      <c r="B13" s="249" t="s">
        <v>3439</v>
      </c>
      <c r="C13" s="250" t="s">
        <v>3440</v>
      </c>
      <c r="D13" s="251" t="s">
        <v>3426</v>
      </c>
    </row>
    <row r="14" spans="1:4" ht="33.950000000000003" customHeight="1">
      <c r="A14" s="11" t="s">
        <v>3420</v>
      </c>
      <c r="B14" s="11" t="s">
        <v>3441</v>
      </c>
      <c r="C14" s="111" t="s">
        <v>3442</v>
      </c>
      <c r="D14" s="12" t="s">
        <v>3443</v>
      </c>
    </row>
    <row r="15" spans="1:4" ht="405" customHeight="1">
      <c r="A15" s="249" t="s">
        <v>3420</v>
      </c>
      <c r="B15" s="249" t="s">
        <v>3444</v>
      </c>
      <c r="C15" s="250" t="s">
        <v>3445</v>
      </c>
      <c r="D15" s="251" t="s">
        <v>3446</v>
      </c>
    </row>
    <row r="16" spans="1:4" ht="90" customHeight="1">
      <c r="A16" s="11" t="s">
        <v>3420</v>
      </c>
      <c r="B16" s="11" t="s">
        <v>3447</v>
      </c>
      <c r="C16" s="111" t="s">
        <v>3448</v>
      </c>
      <c r="D16" s="12" t="s">
        <v>3426</v>
      </c>
    </row>
    <row r="17" spans="1:4" ht="153.94999999999999" customHeight="1">
      <c r="A17" s="249" t="s">
        <v>3420</v>
      </c>
      <c r="B17" s="249" t="s">
        <v>3449</v>
      </c>
      <c r="C17" s="250" t="s">
        <v>3450</v>
      </c>
      <c r="D17" s="251" t="s">
        <v>3426</v>
      </c>
    </row>
    <row r="18" spans="1:4" ht="122.1" customHeight="1">
      <c r="A18" s="11" t="s">
        <v>3420</v>
      </c>
      <c r="B18" s="11" t="s">
        <v>3451</v>
      </c>
      <c r="C18" s="111" t="s">
        <v>3452</v>
      </c>
      <c r="D18" s="12" t="s">
        <v>3426</v>
      </c>
    </row>
    <row r="19" spans="1:4" ht="170.1" customHeight="1">
      <c r="A19" s="249" t="s">
        <v>3420</v>
      </c>
      <c r="B19" s="249" t="s">
        <v>3453</v>
      </c>
      <c r="C19" s="250" t="s">
        <v>3454</v>
      </c>
      <c r="D19" s="251" t="s">
        <v>3426</v>
      </c>
    </row>
    <row r="20" spans="1:4" ht="90" customHeight="1">
      <c r="A20" s="11" t="s">
        <v>3455</v>
      </c>
      <c r="B20" s="11" t="s">
        <v>3456</v>
      </c>
      <c r="C20" s="111" t="s">
        <v>3457</v>
      </c>
      <c r="D20" s="12" t="s">
        <v>3426</v>
      </c>
    </row>
    <row r="21" spans="1:4" ht="90" customHeight="1">
      <c r="A21" s="249" t="s">
        <v>3455</v>
      </c>
      <c r="B21" s="249" t="s">
        <v>3458</v>
      </c>
      <c r="C21" s="250" t="s">
        <v>3459</v>
      </c>
      <c r="D21" s="251" t="s">
        <v>3426</v>
      </c>
    </row>
    <row r="22" spans="1:4" ht="33.950000000000003" customHeight="1">
      <c r="A22" s="11" t="s">
        <v>3460</v>
      </c>
      <c r="B22" s="11" t="s">
        <v>3461</v>
      </c>
      <c r="C22" s="111" t="s">
        <v>3462</v>
      </c>
      <c r="D22" s="12" t="s">
        <v>3463</v>
      </c>
    </row>
    <row r="23" spans="1:4" ht="33.950000000000003" customHeight="1">
      <c r="A23" s="249" t="s">
        <v>3460</v>
      </c>
      <c r="B23" s="249" t="s">
        <v>3464</v>
      </c>
      <c r="C23" s="250" t="s">
        <v>3465</v>
      </c>
      <c r="D23" s="251" t="s">
        <v>3466</v>
      </c>
    </row>
    <row r="24" spans="1:4" ht="33.950000000000003" customHeight="1">
      <c r="A24" s="11" t="s">
        <v>3460</v>
      </c>
      <c r="B24" s="11" t="s">
        <v>3467</v>
      </c>
      <c r="C24" s="111" t="s">
        <v>3468</v>
      </c>
      <c r="D24" s="12" t="s">
        <v>3469</v>
      </c>
    </row>
    <row r="25" spans="1:4" ht="33.950000000000003" customHeight="1">
      <c r="A25" s="249" t="s">
        <v>3460</v>
      </c>
      <c r="B25" s="249" t="s">
        <v>3470</v>
      </c>
      <c r="C25" s="250" t="s">
        <v>3471</v>
      </c>
      <c r="D25" s="251" t="s">
        <v>3472</v>
      </c>
    </row>
    <row r="26" spans="1:4" ht="33.950000000000003" customHeight="1">
      <c r="A26" s="11" t="s">
        <v>3460</v>
      </c>
      <c r="B26" s="11" t="s">
        <v>3473</v>
      </c>
      <c r="C26" s="111" t="s">
        <v>3474</v>
      </c>
      <c r="D26" s="12" t="s">
        <v>3475</v>
      </c>
    </row>
    <row r="27" spans="1:4" ht="33.950000000000003" customHeight="1">
      <c r="A27" s="249" t="s">
        <v>3460</v>
      </c>
      <c r="B27" s="249" t="s">
        <v>3476</v>
      </c>
      <c r="C27" s="250" t="s">
        <v>3477</v>
      </c>
      <c r="D27" s="251" t="s">
        <v>3478</v>
      </c>
    </row>
    <row r="28" spans="1:4" ht="33.950000000000003" customHeight="1">
      <c r="A28" s="11" t="s">
        <v>3460</v>
      </c>
      <c r="B28" s="11" t="s">
        <v>3479</v>
      </c>
      <c r="C28" s="111" t="s">
        <v>3480</v>
      </c>
      <c r="D28" s="12" t="s">
        <v>3481</v>
      </c>
    </row>
    <row r="29" spans="1:4" ht="33.950000000000003" customHeight="1">
      <c r="A29" s="249" t="s">
        <v>3460</v>
      </c>
      <c r="B29" s="249" t="s">
        <v>3482</v>
      </c>
      <c r="C29" s="250" t="s">
        <v>3483</v>
      </c>
      <c r="D29" s="251" t="s">
        <v>3484</v>
      </c>
    </row>
    <row r="30" spans="1:4" ht="33.950000000000003" customHeight="1">
      <c r="A30" s="11" t="s">
        <v>3460</v>
      </c>
      <c r="B30" s="11" t="s">
        <v>3485</v>
      </c>
      <c r="C30" s="111" t="s">
        <v>3486</v>
      </c>
      <c r="D30" s="12" t="s">
        <v>3487</v>
      </c>
    </row>
    <row r="31" spans="1:4" ht="33.950000000000003" customHeight="1">
      <c r="A31" s="249" t="s">
        <v>3460</v>
      </c>
      <c r="B31" s="249" t="s">
        <v>3488</v>
      </c>
      <c r="C31" s="250" t="s">
        <v>3489</v>
      </c>
      <c r="D31" s="251" t="s">
        <v>3490</v>
      </c>
    </row>
    <row r="32" spans="1:4" ht="201.95" customHeight="1">
      <c r="A32" s="11" t="s">
        <v>3491</v>
      </c>
      <c r="B32" s="11" t="s">
        <v>3492</v>
      </c>
      <c r="C32" s="111" t="s">
        <v>3493</v>
      </c>
      <c r="D32" s="12" t="s">
        <v>3494</v>
      </c>
    </row>
    <row r="33" spans="1:4">
      <c r="A33" s="10" t="s">
        <v>3495</v>
      </c>
      <c r="B33" s="10" t="s">
        <v>3307</v>
      </c>
      <c r="C33" s="10" t="s">
        <v>3418</v>
      </c>
      <c r="D33" s="10" t="s">
        <v>3496</v>
      </c>
    </row>
    <row r="34" spans="1:4">
      <c r="A34" s="252" t="s">
        <v>477</v>
      </c>
      <c r="B34" s="252" t="s">
        <v>3497</v>
      </c>
      <c r="C34" s="253" t="s">
        <v>3498</v>
      </c>
      <c r="D34" s="253" t="s">
        <v>3499</v>
      </c>
    </row>
    <row r="35" spans="1:4" ht="130.5" customHeight="1">
      <c r="A35" s="252" t="s">
        <v>3491</v>
      </c>
      <c r="B35" s="252" t="s">
        <v>3500</v>
      </c>
      <c r="C35" s="253" t="s">
        <v>3501</v>
      </c>
      <c r="D35" s="253" t="s">
        <v>3502</v>
      </c>
    </row>
    <row r="36" spans="1:4">
      <c r="A36" s="254"/>
      <c r="B36" s="254"/>
      <c r="C36" s="254"/>
      <c r="D36" s="254"/>
    </row>
    <row r="37" spans="1:4" ht="15" customHeight="1"/>
  </sheetData>
  <mergeCells count="3">
    <mergeCell ref="A1:D1"/>
    <mergeCell ref="A2:D2"/>
    <mergeCell ref="A3: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tabColor theme="5" tint="-0.249977111117893"/>
  </sheetPr>
  <dimension ref="A1:X71"/>
  <sheetViews>
    <sheetView showGridLines="0" workbookViewId="0"/>
  </sheetViews>
  <sheetFormatPr defaultRowHeight="15"/>
  <cols>
    <col min="1" max="3" width="9" style="105"/>
    <col min="4" max="4" width="44.875" style="105" customWidth="1"/>
    <col min="5" max="16384" width="9" style="105"/>
  </cols>
  <sheetData>
    <row r="1" spans="1:24" ht="30.75" customHeight="1">
      <c r="A1" s="101"/>
      <c r="B1" s="102"/>
      <c r="C1" s="102"/>
      <c r="D1" s="103"/>
      <c r="E1" s="103"/>
      <c r="F1" s="102"/>
      <c r="G1" s="102"/>
      <c r="H1" s="104" t="s">
        <v>4320</v>
      </c>
      <c r="I1" s="102"/>
      <c r="J1" s="102"/>
      <c r="K1" s="102"/>
      <c r="L1" s="102"/>
      <c r="M1" s="102"/>
      <c r="N1" s="102"/>
      <c r="O1" s="102"/>
      <c r="P1" s="102"/>
      <c r="Q1" s="102"/>
      <c r="R1" s="102"/>
      <c r="S1" s="102"/>
      <c r="T1" s="102"/>
      <c r="U1" s="102"/>
      <c r="V1" s="102"/>
      <c r="W1" s="102"/>
      <c r="X1" s="102"/>
    </row>
    <row r="2" spans="1:24" ht="15" customHeight="1">
      <c r="A2" s="106"/>
      <c r="B2" s="102"/>
      <c r="C2" s="102"/>
      <c r="D2" s="103"/>
      <c r="E2" s="107"/>
      <c r="F2" s="103"/>
      <c r="G2" s="102"/>
      <c r="H2" s="108" t="s">
        <v>3508</v>
      </c>
      <c r="I2" s="102"/>
      <c r="J2" s="102"/>
      <c r="K2" s="102"/>
      <c r="L2" s="102"/>
      <c r="M2" s="102"/>
      <c r="N2" s="102"/>
      <c r="O2" s="102"/>
      <c r="P2" s="102"/>
      <c r="Q2" s="102"/>
      <c r="R2" s="102"/>
      <c r="S2" s="102"/>
      <c r="T2" s="102"/>
      <c r="U2" s="102"/>
      <c r="V2" s="102"/>
      <c r="W2" s="102"/>
      <c r="X2" s="102"/>
    </row>
    <row r="3" spans="1:24">
      <c r="A3" s="255" t="s">
        <v>3509</v>
      </c>
      <c r="B3" s="255"/>
      <c r="C3" s="255"/>
      <c r="D3" s="255"/>
      <c r="E3" s="255" t="s">
        <v>3510</v>
      </c>
      <c r="F3" s="255"/>
      <c r="G3" s="255"/>
      <c r="H3" s="255"/>
      <c r="I3" s="255"/>
      <c r="J3" s="242"/>
      <c r="K3" s="255"/>
      <c r="L3" s="255"/>
      <c r="M3" s="256" t="s">
        <v>3511</v>
      </c>
      <c r="N3" s="255"/>
      <c r="O3" s="255"/>
      <c r="P3" s="255"/>
      <c r="Q3" s="255"/>
      <c r="R3" s="242"/>
      <c r="S3" s="255" t="s">
        <v>3512</v>
      </c>
      <c r="T3" s="255"/>
      <c r="U3" s="255"/>
      <c r="V3" s="255"/>
      <c r="W3" s="255"/>
      <c r="X3" s="242"/>
    </row>
    <row r="4" spans="1:24">
      <c r="A4" s="255" t="s">
        <v>3513</v>
      </c>
      <c r="B4" s="255"/>
      <c r="C4" s="255"/>
      <c r="D4" s="255"/>
      <c r="E4" s="255" t="s">
        <v>3514</v>
      </c>
      <c r="F4" s="255"/>
      <c r="G4" s="255"/>
      <c r="H4" s="255"/>
      <c r="I4" s="255"/>
      <c r="J4" s="242"/>
      <c r="K4" s="255"/>
      <c r="L4" s="255"/>
      <c r="M4" s="257" t="s">
        <v>3515</v>
      </c>
      <c r="N4" s="255"/>
      <c r="O4" s="255"/>
      <c r="P4" s="255"/>
      <c r="Q4" s="255"/>
      <c r="R4" s="242"/>
      <c r="S4" s="255" t="s">
        <v>3516</v>
      </c>
      <c r="T4" s="255"/>
      <c r="U4" s="255"/>
      <c r="V4" s="255"/>
      <c r="W4" s="255"/>
      <c r="X4" s="242"/>
    </row>
    <row r="5" spans="1:24">
      <c r="A5" s="255" t="s">
        <v>3517</v>
      </c>
      <c r="B5" s="255"/>
      <c r="C5" s="255"/>
      <c r="D5" s="257"/>
      <c r="E5" s="255" t="s">
        <v>2435</v>
      </c>
      <c r="F5" s="255"/>
      <c r="G5" s="255"/>
      <c r="H5" s="255"/>
      <c r="I5" s="255"/>
      <c r="J5" s="242"/>
      <c r="K5" s="255"/>
      <c r="L5" s="255"/>
      <c r="M5" s="257" t="s">
        <v>3518</v>
      </c>
      <c r="N5" s="255"/>
      <c r="O5" s="255"/>
      <c r="P5" s="255"/>
      <c r="Q5" s="255"/>
      <c r="R5" s="242"/>
      <c r="S5" s="255" t="s">
        <v>2435</v>
      </c>
      <c r="T5" s="255"/>
      <c r="U5" s="255"/>
      <c r="V5" s="255"/>
      <c r="W5" s="255"/>
      <c r="X5" s="242"/>
    </row>
    <row r="6" spans="1:24">
      <c r="A6" s="255"/>
      <c r="B6" s="255"/>
      <c r="C6" s="255"/>
      <c r="D6" s="255"/>
      <c r="E6" s="255" t="s">
        <v>3519</v>
      </c>
      <c r="F6" s="255"/>
      <c r="G6" s="255"/>
      <c r="H6" s="255"/>
      <c r="I6" s="255"/>
      <c r="J6" s="242"/>
      <c r="K6" s="255"/>
      <c r="L6" s="255"/>
      <c r="M6" s="257" t="s">
        <v>3520</v>
      </c>
      <c r="N6" s="255"/>
      <c r="O6" s="255"/>
      <c r="P6" s="255"/>
      <c r="Q6" s="257"/>
      <c r="R6" s="242"/>
      <c r="S6" s="255" t="s">
        <v>3521</v>
      </c>
      <c r="T6" s="255"/>
      <c r="U6" s="255"/>
      <c r="V6" s="255"/>
      <c r="W6" s="255"/>
      <c r="X6" s="242"/>
    </row>
    <row r="7" spans="1:24">
      <c r="A7" s="255" t="s">
        <v>2434</v>
      </c>
      <c r="B7" s="255"/>
      <c r="C7" s="255"/>
      <c r="D7" s="255"/>
      <c r="E7" s="255" t="s">
        <v>3522</v>
      </c>
      <c r="F7" s="255"/>
      <c r="G7" s="255"/>
      <c r="H7" s="255"/>
      <c r="I7" s="255"/>
      <c r="J7" s="242"/>
      <c r="K7" s="255"/>
      <c r="L7" s="255"/>
      <c r="M7" s="257" t="s">
        <v>3523</v>
      </c>
      <c r="N7" s="255"/>
      <c r="O7" s="255"/>
      <c r="P7" s="255"/>
      <c r="Q7" s="257"/>
      <c r="R7" s="242"/>
      <c r="S7" s="255" t="s">
        <v>3524</v>
      </c>
      <c r="T7" s="255"/>
      <c r="U7" s="255"/>
      <c r="V7" s="255"/>
      <c r="W7" s="255"/>
      <c r="X7" s="242"/>
    </row>
    <row r="8" spans="1:24">
      <c r="A8" s="255" t="s">
        <v>3525</v>
      </c>
      <c r="B8" s="255"/>
      <c r="C8" s="255"/>
      <c r="D8" s="255"/>
      <c r="E8" s="255" t="s">
        <v>2426</v>
      </c>
      <c r="F8" s="255"/>
      <c r="G8" s="255"/>
      <c r="H8" s="255"/>
      <c r="I8" s="255"/>
      <c r="J8" s="242"/>
      <c r="K8" s="255"/>
      <c r="L8" s="255"/>
      <c r="M8" s="257" t="s">
        <v>3526</v>
      </c>
      <c r="N8" s="255"/>
      <c r="O8" s="255"/>
      <c r="P8" s="255"/>
      <c r="Q8" s="257"/>
      <c r="R8" s="242"/>
      <c r="S8" s="255" t="s">
        <v>3527</v>
      </c>
      <c r="T8" s="255"/>
      <c r="U8" s="255"/>
      <c r="V8" s="255"/>
      <c r="W8" s="255"/>
      <c r="X8" s="242"/>
    </row>
    <row r="9" spans="1:24">
      <c r="A9" s="255" t="s">
        <v>3528</v>
      </c>
      <c r="B9" s="255"/>
      <c r="C9" s="255"/>
      <c r="D9" s="255"/>
      <c r="E9" s="255"/>
      <c r="F9" s="255"/>
      <c r="G9" s="255"/>
      <c r="H9" s="255"/>
      <c r="I9" s="255"/>
      <c r="J9" s="242"/>
      <c r="K9" s="255"/>
      <c r="L9" s="255"/>
      <c r="M9" s="257" t="s">
        <v>2289</v>
      </c>
      <c r="N9" s="255"/>
      <c r="O9" s="255"/>
      <c r="P9" s="255"/>
      <c r="Q9" s="257"/>
      <c r="R9" s="242"/>
      <c r="S9" s="255" t="s">
        <v>2426</v>
      </c>
      <c r="T9" s="255"/>
      <c r="U9" s="255"/>
      <c r="V9" s="255"/>
      <c r="W9" s="255"/>
      <c r="X9" s="242"/>
    </row>
    <row r="10" spans="1:24">
      <c r="A10" s="255" t="s">
        <v>3529</v>
      </c>
      <c r="B10" s="255"/>
      <c r="C10" s="255"/>
      <c r="D10" s="255"/>
      <c r="E10" s="255" t="s">
        <v>3530</v>
      </c>
      <c r="F10" s="255"/>
      <c r="G10" s="255"/>
      <c r="H10" s="255"/>
      <c r="I10" s="255"/>
      <c r="J10" s="242"/>
      <c r="K10" s="255"/>
      <c r="L10" s="255"/>
      <c r="M10" s="257" t="s">
        <v>3531</v>
      </c>
      <c r="N10" s="255"/>
      <c r="O10" s="255"/>
      <c r="P10" s="255"/>
      <c r="Q10" s="257"/>
      <c r="R10" s="242"/>
      <c r="S10" s="255"/>
      <c r="T10" s="255"/>
      <c r="U10" s="255"/>
      <c r="V10" s="255"/>
      <c r="W10" s="255"/>
      <c r="X10" s="242"/>
    </row>
    <row r="11" spans="1:24">
      <c r="A11" s="255" t="s">
        <v>3532</v>
      </c>
      <c r="B11" s="255"/>
      <c r="C11" s="255"/>
      <c r="D11" s="255"/>
      <c r="E11" s="255" t="s">
        <v>2435</v>
      </c>
      <c r="F11" s="255"/>
      <c r="G11" s="255"/>
      <c r="H11" s="255"/>
      <c r="I11" s="255"/>
      <c r="J11" s="242"/>
      <c r="K11" s="255"/>
      <c r="L11" s="255"/>
      <c r="M11" s="257" t="s">
        <v>3533</v>
      </c>
      <c r="N11" s="255"/>
      <c r="O11" s="255"/>
      <c r="P11" s="255"/>
      <c r="Q11" s="257"/>
      <c r="R11" s="242"/>
      <c r="S11" s="255"/>
      <c r="T11" s="255"/>
      <c r="U11" s="255"/>
      <c r="V11" s="255"/>
      <c r="W11" s="255"/>
      <c r="X11" s="255"/>
    </row>
    <row r="12" spans="1:24">
      <c r="A12" s="255" t="s">
        <v>3534</v>
      </c>
      <c r="B12" s="255"/>
      <c r="C12" s="255"/>
      <c r="D12" s="255"/>
      <c r="E12" s="255" t="s">
        <v>3519</v>
      </c>
      <c r="F12" s="255"/>
      <c r="G12" s="255"/>
      <c r="H12" s="255"/>
      <c r="I12" s="255"/>
      <c r="J12" s="242"/>
      <c r="K12" s="255"/>
      <c r="L12" s="255"/>
      <c r="M12" s="257" t="s">
        <v>3535</v>
      </c>
      <c r="N12" s="255"/>
      <c r="O12" s="255"/>
      <c r="P12" s="255"/>
      <c r="Q12" s="257"/>
      <c r="R12" s="242"/>
      <c r="S12" s="255"/>
      <c r="T12" s="255"/>
      <c r="U12" s="255"/>
      <c r="V12" s="255"/>
      <c r="W12" s="255"/>
      <c r="X12" s="255"/>
    </row>
    <row r="13" spans="1:24">
      <c r="A13" s="255" t="s">
        <v>3536</v>
      </c>
      <c r="B13" s="255"/>
      <c r="C13" s="255"/>
      <c r="D13" s="255"/>
      <c r="E13" s="255" t="s">
        <v>3537</v>
      </c>
      <c r="F13" s="255"/>
      <c r="G13" s="255"/>
      <c r="H13" s="255"/>
      <c r="I13" s="255"/>
      <c r="J13" s="242"/>
      <c r="K13" s="255"/>
      <c r="L13" s="255"/>
      <c r="M13" s="257" t="s">
        <v>3538</v>
      </c>
      <c r="N13" s="255"/>
      <c r="O13" s="255"/>
      <c r="P13" s="255"/>
      <c r="Q13" s="257"/>
      <c r="R13" s="242"/>
      <c r="S13" s="255"/>
      <c r="T13" s="255"/>
      <c r="U13" s="255"/>
      <c r="V13" s="255"/>
      <c r="W13" s="255"/>
      <c r="X13" s="255"/>
    </row>
    <row r="14" spans="1:24">
      <c r="A14" s="255" t="s">
        <v>3539</v>
      </c>
      <c r="B14" s="255"/>
      <c r="C14" s="255"/>
      <c r="D14" s="255"/>
      <c r="E14" s="255" t="s">
        <v>2426</v>
      </c>
      <c r="F14" s="255"/>
      <c r="G14" s="255"/>
      <c r="H14" s="255"/>
      <c r="I14" s="255"/>
      <c r="J14" s="242"/>
      <c r="K14" s="255"/>
      <c r="L14" s="255"/>
      <c r="M14" s="257" t="s">
        <v>3316</v>
      </c>
      <c r="N14" s="255"/>
      <c r="O14" s="255"/>
      <c r="P14" s="255"/>
      <c r="Q14" s="257"/>
      <c r="R14" s="242"/>
      <c r="S14" s="255"/>
      <c r="T14" s="255"/>
      <c r="U14" s="255"/>
      <c r="V14" s="255"/>
      <c r="W14" s="255"/>
      <c r="X14" s="255"/>
    </row>
    <row r="15" spans="1:24">
      <c r="A15" s="255" t="s">
        <v>2426</v>
      </c>
      <c r="B15" s="255"/>
      <c r="C15" s="255"/>
      <c r="D15" s="255"/>
      <c r="E15" s="255"/>
      <c r="F15" s="255"/>
      <c r="G15" s="255"/>
      <c r="H15" s="255"/>
      <c r="I15" s="255"/>
      <c r="J15" s="242"/>
      <c r="K15" s="255"/>
      <c r="L15" s="255"/>
      <c r="M15" s="255"/>
      <c r="N15" s="255"/>
      <c r="O15" s="255"/>
      <c r="P15" s="255"/>
      <c r="Q15" s="257"/>
      <c r="R15" s="255"/>
      <c r="S15" s="255"/>
      <c r="T15" s="255"/>
      <c r="U15" s="255"/>
      <c r="V15" s="255"/>
      <c r="W15" s="255"/>
      <c r="X15" s="255"/>
    </row>
    <row r="16" spans="1:24">
      <c r="A16" s="255"/>
      <c r="B16" s="255"/>
      <c r="C16" s="255"/>
      <c r="D16" s="255"/>
      <c r="E16" s="255" t="s">
        <v>3540</v>
      </c>
      <c r="F16" s="255"/>
      <c r="G16" s="255"/>
      <c r="H16" s="255"/>
      <c r="I16" s="255"/>
      <c r="J16" s="242"/>
      <c r="K16" s="255"/>
      <c r="L16" s="255"/>
      <c r="M16" s="255"/>
      <c r="N16" s="255"/>
      <c r="O16" s="255"/>
      <c r="P16" s="255"/>
      <c r="Q16" s="257"/>
      <c r="R16" s="255"/>
      <c r="S16" s="255"/>
      <c r="T16" s="255"/>
      <c r="U16" s="255"/>
      <c r="V16" s="255"/>
      <c r="W16" s="255"/>
      <c r="X16" s="255"/>
    </row>
    <row r="17" spans="1:24">
      <c r="A17" s="255"/>
      <c r="B17" s="255"/>
      <c r="C17" s="255"/>
      <c r="D17" s="255"/>
      <c r="E17" s="255" t="s">
        <v>2435</v>
      </c>
      <c r="F17" s="255"/>
      <c r="G17" s="255"/>
      <c r="H17" s="255"/>
      <c r="I17" s="255"/>
      <c r="J17" s="242"/>
      <c r="K17" s="255"/>
      <c r="L17" s="255"/>
      <c r="M17" s="255"/>
      <c r="N17" s="255"/>
      <c r="O17" s="255"/>
      <c r="P17" s="255"/>
      <c r="Q17" s="255"/>
      <c r="R17" s="255"/>
      <c r="S17" s="255"/>
      <c r="T17" s="255"/>
      <c r="U17" s="255"/>
      <c r="V17" s="255"/>
      <c r="W17" s="255"/>
      <c r="X17" s="255"/>
    </row>
    <row r="18" spans="1:24">
      <c r="A18" s="255"/>
      <c r="B18" s="255"/>
      <c r="C18" s="255"/>
      <c r="D18" s="255"/>
      <c r="E18" s="255" t="s">
        <v>3519</v>
      </c>
      <c r="F18" s="255"/>
      <c r="G18" s="255"/>
      <c r="H18" s="255"/>
      <c r="I18" s="255"/>
      <c r="J18" s="242"/>
      <c r="K18" s="255"/>
      <c r="L18" s="255"/>
      <c r="M18" s="255"/>
      <c r="N18" s="255"/>
      <c r="O18" s="255"/>
      <c r="P18" s="255"/>
      <c r="Q18" s="255"/>
      <c r="R18" s="255"/>
      <c r="S18" s="255"/>
      <c r="T18" s="255"/>
      <c r="U18" s="255"/>
      <c r="V18" s="255"/>
      <c r="W18" s="255"/>
      <c r="X18" s="255"/>
    </row>
    <row r="19" spans="1:24">
      <c r="A19" s="255"/>
      <c r="B19" s="255"/>
      <c r="C19" s="255"/>
      <c r="D19" s="255"/>
      <c r="E19" s="255" t="s">
        <v>3541</v>
      </c>
      <c r="F19" s="255"/>
      <c r="G19" s="255"/>
      <c r="H19" s="255"/>
      <c r="I19" s="255"/>
      <c r="J19" s="242"/>
      <c r="K19" s="255"/>
      <c r="L19" s="255"/>
      <c r="M19" s="255"/>
      <c r="N19" s="255"/>
      <c r="O19" s="255"/>
      <c r="P19" s="255"/>
      <c r="Q19" s="255"/>
      <c r="R19" s="255"/>
      <c r="S19" s="255"/>
      <c r="T19" s="255"/>
      <c r="U19" s="255"/>
      <c r="V19" s="255"/>
      <c r="W19" s="255"/>
      <c r="X19" s="255"/>
    </row>
    <row r="20" spans="1:24">
      <c r="A20" s="256"/>
      <c r="B20" s="256"/>
      <c r="C20" s="256"/>
      <c r="D20" s="256"/>
      <c r="E20" s="255" t="s">
        <v>2426</v>
      </c>
      <c r="F20" s="256"/>
      <c r="G20" s="256"/>
      <c r="H20" s="256"/>
      <c r="I20" s="255"/>
      <c r="J20" s="242"/>
      <c r="K20" s="255"/>
      <c r="L20" s="255"/>
      <c r="M20" s="255"/>
      <c r="N20" s="255"/>
      <c r="O20" s="255"/>
      <c r="P20" s="255"/>
      <c r="Q20" s="255"/>
      <c r="R20" s="255"/>
      <c r="S20" s="255"/>
      <c r="T20" s="255"/>
      <c r="U20" s="255"/>
      <c r="V20" s="255"/>
      <c r="W20" s="255"/>
      <c r="X20" s="255"/>
    </row>
    <row r="21" spans="1:24">
      <c r="A21" s="256"/>
      <c r="B21" s="255"/>
      <c r="C21" s="255"/>
      <c r="D21" s="255"/>
      <c r="E21" s="255"/>
      <c r="F21" s="255"/>
      <c r="G21" s="255"/>
      <c r="H21" s="255"/>
      <c r="I21" s="255"/>
      <c r="J21" s="242"/>
      <c r="K21" s="255"/>
      <c r="L21" s="255"/>
      <c r="M21" s="255"/>
      <c r="N21" s="255"/>
      <c r="O21" s="255"/>
      <c r="P21" s="255"/>
      <c r="Q21" s="255"/>
      <c r="R21" s="255"/>
      <c r="S21" s="255"/>
      <c r="T21" s="255"/>
      <c r="U21" s="255"/>
      <c r="V21" s="255"/>
      <c r="W21" s="255"/>
      <c r="X21" s="255"/>
    </row>
    <row r="22" spans="1:24">
      <c r="A22" s="255"/>
      <c r="B22" s="255"/>
      <c r="C22" s="255"/>
      <c r="D22" s="255"/>
      <c r="E22" s="255" t="s">
        <v>3542</v>
      </c>
      <c r="F22" s="255"/>
      <c r="G22" s="255"/>
      <c r="H22" s="255"/>
      <c r="I22" s="255"/>
      <c r="J22" s="242"/>
      <c r="K22" s="255"/>
      <c r="L22" s="255"/>
      <c r="M22" s="255"/>
      <c r="N22" s="255"/>
      <c r="O22" s="255"/>
      <c r="P22" s="255"/>
      <c r="Q22" s="255"/>
      <c r="R22" s="255"/>
      <c r="S22" s="255"/>
      <c r="T22" s="255"/>
      <c r="U22" s="255"/>
      <c r="V22" s="255"/>
      <c r="W22" s="255"/>
      <c r="X22" s="255"/>
    </row>
    <row r="23" spans="1:24">
      <c r="A23" s="255"/>
      <c r="B23" s="255"/>
      <c r="C23" s="255"/>
      <c r="D23" s="255"/>
      <c r="E23" s="255" t="s">
        <v>2435</v>
      </c>
      <c r="F23" s="255"/>
      <c r="G23" s="255"/>
      <c r="H23" s="255"/>
      <c r="I23" s="255"/>
      <c r="J23" s="242"/>
      <c r="K23" s="255"/>
      <c r="L23" s="255"/>
      <c r="M23" s="255"/>
      <c r="N23" s="255"/>
      <c r="O23" s="255"/>
      <c r="P23" s="255"/>
      <c r="Q23" s="255"/>
      <c r="R23" s="255"/>
      <c r="S23" s="255"/>
      <c r="T23" s="255"/>
      <c r="U23" s="255"/>
      <c r="V23" s="255"/>
      <c r="W23" s="255"/>
      <c r="X23" s="255"/>
    </row>
    <row r="24" spans="1:24">
      <c r="A24" s="255"/>
      <c r="B24" s="255"/>
      <c r="C24" s="255"/>
      <c r="D24" s="255"/>
      <c r="E24" s="255" t="s">
        <v>3519</v>
      </c>
      <c r="F24" s="255"/>
      <c r="G24" s="255"/>
      <c r="H24" s="255"/>
      <c r="I24" s="255"/>
      <c r="J24" s="242"/>
      <c r="K24" s="255"/>
      <c r="L24" s="255"/>
      <c r="M24" s="255"/>
      <c r="N24" s="255"/>
      <c r="O24" s="255"/>
      <c r="P24" s="255"/>
      <c r="Q24" s="255"/>
      <c r="R24" s="255"/>
      <c r="S24" s="255"/>
      <c r="T24" s="255"/>
      <c r="U24" s="255"/>
      <c r="V24" s="255"/>
      <c r="W24" s="255"/>
      <c r="X24" s="255"/>
    </row>
    <row r="25" spans="1:24">
      <c r="A25" s="255"/>
      <c r="B25" s="255"/>
      <c r="C25" s="255"/>
      <c r="D25" s="255"/>
      <c r="E25" s="255" t="s">
        <v>3543</v>
      </c>
      <c r="F25" s="255"/>
      <c r="G25" s="255"/>
      <c r="H25" s="255"/>
      <c r="I25" s="255"/>
      <c r="J25" s="242"/>
      <c r="K25" s="255"/>
      <c r="L25" s="255"/>
      <c r="M25" s="255"/>
      <c r="N25" s="255"/>
      <c r="O25" s="255"/>
      <c r="P25" s="255"/>
      <c r="Q25" s="255"/>
      <c r="R25" s="255"/>
      <c r="S25" s="255"/>
      <c r="T25" s="255"/>
      <c r="U25" s="255"/>
      <c r="V25" s="255"/>
      <c r="W25" s="255"/>
      <c r="X25" s="255"/>
    </row>
    <row r="26" spans="1:24">
      <c r="A26" s="255"/>
      <c r="B26" s="255"/>
      <c r="C26" s="255"/>
      <c r="D26" s="255"/>
      <c r="E26" s="255" t="s">
        <v>2426</v>
      </c>
      <c r="F26" s="255"/>
      <c r="G26" s="255"/>
      <c r="H26" s="255"/>
      <c r="I26" s="255"/>
      <c r="J26" s="242"/>
      <c r="K26" s="255"/>
      <c r="L26" s="255"/>
      <c r="M26" s="255"/>
      <c r="N26" s="255"/>
      <c r="O26" s="255"/>
      <c r="P26" s="255"/>
      <c r="Q26" s="255"/>
      <c r="R26" s="255"/>
      <c r="S26" s="255"/>
      <c r="T26" s="255"/>
      <c r="U26" s="255"/>
      <c r="V26" s="255"/>
      <c r="W26" s="255"/>
      <c r="X26" s="255"/>
    </row>
    <row r="27" spans="1:24">
      <c r="A27" s="255"/>
      <c r="B27" s="255"/>
      <c r="C27" s="255"/>
      <c r="D27" s="255"/>
      <c r="E27" s="255"/>
      <c r="F27" s="255"/>
      <c r="G27" s="255"/>
      <c r="H27" s="255"/>
      <c r="I27" s="255"/>
      <c r="J27" s="255"/>
      <c r="K27" s="255"/>
      <c r="L27" s="255"/>
      <c r="M27" s="255"/>
      <c r="N27" s="255"/>
      <c r="O27" s="255"/>
      <c r="P27" s="255"/>
      <c r="Q27" s="255"/>
      <c r="R27" s="255"/>
      <c r="S27" s="255"/>
      <c r="T27" s="255"/>
      <c r="U27" s="255"/>
      <c r="V27" s="255"/>
      <c r="W27" s="255"/>
      <c r="X27" s="255"/>
    </row>
    <row r="28" spans="1:24">
      <c r="A28" s="255"/>
      <c r="B28" s="255"/>
      <c r="C28" s="255"/>
      <c r="D28" s="255"/>
      <c r="E28" s="255"/>
      <c r="F28" s="255"/>
      <c r="G28" s="255"/>
      <c r="H28" s="255"/>
      <c r="I28" s="255"/>
      <c r="J28" s="255"/>
      <c r="K28" s="255"/>
      <c r="L28" s="255"/>
      <c r="M28" s="255"/>
      <c r="N28" s="255"/>
      <c r="O28" s="255"/>
      <c r="P28" s="255"/>
      <c r="Q28" s="255"/>
      <c r="R28" s="255"/>
      <c r="S28" s="255"/>
      <c r="T28" s="255"/>
      <c r="U28" s="255"/>
      <c r="V28" s="255"/>
      <c r="W28" s="255"/>
      <c r="X28" s="255"/>
    </row>
    <row r="29" spans="1:24">
      <c r="A29" s="255"/>
      <c r="B29" s="255"/>
      <c r="C29" s="255"/>
      <c r="D29" s="255"/>
      <c r="E29" s="255"/>
      <c r="F29" s="255"/>
      <c r="G29" s="255"/>
      <c r="H29" s="255"/>
      <c r="I29" s="255"/>
      <c r="J29" s="255"/>
      <c r="K29" s="255"/>
      <c r="L29" s="255"/>
      <c r="M29" s="255"/>
      <c r="N29" s="255"/>
      <c r="O29" s="255"/>
      <c r="P29" s="255"/>
      <c r="Q29" s="255"/>
      <c r="R29" s="255"/>
      <c r="S29" s="255"/>
      <c r="T29" s="255"/>
      <c r="U29" s="255"/>
      <c r="V29" s="255"/>
      <c r="W29" s="255"/>
      <c r="X29" s="255"/>
    </row>
    <row r="30" spans="1:24">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row>
    <row r="31" spans="1:24">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row>
    <row r="32" spans="1:24">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row>
    <row r="33" spans="1:24">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row>
    <row r="34" spans="1:24">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row>
    <row r="35" spans="1:24">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row>
    <row r="36" spans="1:24">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row>
    <row r="37" spans="1:24">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row>
    <row r="38" spans="1:24">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row>
    <row r="39" spans="1:24">
      <c r="A39" s="109"/>
      <c r="B39" s="109"/>
      <c r="C39" s="109"/>
      <c r="D39" s="109"/>
      <c r="E39" s="109"/>
      <c r="F39" s="109"/>
      <c r="G39" s="109"/>
      <c r="H39" s="109"/>
      <c r="I39" s="109"/>
      <c r="J39" s="109"/>
      <c r="K39" s="109"/>
      <c r="L39" s="109"/>
      <c r="M39" s="109"/>
      <c r="N39" s="110"/>
      <c r="O39" s="109"/>
      <c r="P39" s="109"/>
      <c r="Q39" s="109"/>
      <c r="R39" s="109"/>
      <c r="S39" s="109"/>
      <c r="T39" s="109"/>
      <c r="U39" s="109"/>
      <c r="V39" s="109"/>
      <c r="W39" s="109"/>
      <c r="X39" s="109"/>
    </row>
    <row r="40" spans="1:24">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row>
    <row r="41" spans="1:24">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row>
    <row r="42" spans="1:24">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row>
    <row r="43" spans="1:24">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row>
    <row r="44" spans="1:24">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row>
    <row r="45" spans="1:24">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row>
    <row r="46" spans="1:24">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row>
    <row r="47" spans="1:24">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row>
    <row r="48" spans="1:24">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row>
    <row r="49" spans="1:24">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row>
    <row r="50" spans="1:24">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row>
    <row r="51" spans="1:24">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row>
    <row r="52" spans="1:24">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row>
    <row r="53" spans="1:24">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row>
    <row r="54" spans="1:24">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row>
    <row r="55" spans="1:24">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row>
    <row r="56" spans="1:24">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row>
    <row r="57" spans="1:24">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row>
    <row r="58" spans="1:24">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row>
    <row r="59" spans="1:24">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row>
    <row r="60" spans="1:24">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row>
    <row r="61" spans="1:24">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row>
    <row r="62" spans="1:24">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row>
    <row r="63" spans="1:24">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row>
    <row r="64" spans="1:2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row>
    <row r="65" spans="1:24">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row>
    <row r="66" spans="1:24">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row>
    <row r="67" spans="1:24">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row>
    <row r="68" spans="1:24">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row>
    <row r="69" spans="1:24">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row>
    <row r="70" spans="1:24">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row>
    <row r="71" spans="1:24">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22DB-B0CC-4118-9922-19A70EA4FAA3}">
  <sheetPr codeName="Sheet29">
    <tabColor theme="5" tint="-0.249977111117893"/>
  </sheetPr>
  <dimension ref="A1:E358"/>
  <sheetViews>
    <sheetView showGridLines="0" zoomScaleNormal="100" workbookViewId="0"/>
  </sheetViews>
  <sheetFormatPr defaultColWidth="52.625" defaultRowHeight="15"/>
  <cols>
    <col min="1" max="2" width="52.625" style="87"/>
    <col min="3" max="3" width="52.625" style="87" customWidth="1"/>
    <col min="4" max="16384" width="52.625" style="87"/>
  </cols>
  <sheetData>
    <row r="1" spans="1:5" s="93" customFormat="1" ht="30.75" customHeight="1">
      <c r="A1" s="92"/>
      <c r="C1" s="79" t="s">
        <v>3895</v>
      </c>
    </row>
    <row r="2" spans="1:5">
      <c r="A2" s="258" t="s">
        <v>4391</v>
      </c>
      <c r="B2" s="258"/>
      <c r="C2" s="258"/>
      <c r="D2" s="258"/>
      <c r="E2" s="258"/>
    </row>
    <row r="3" spans="1:5">
      <c r="A3" s="258" t="s">
        <v>4196</v>
      </c>
      <c r="B3" s="258"/>
      <c r="C3" s="258"/>
      <c r="D3" s="258"/>
      <c r="E3" s="258"/>
    </row>
    <row r="4" spans="1:5">
      <c r="A4" s="258" t="s">
        <v>4195</v>
      </c>
      <c r="B4" s="258"/>
      <c r="C4" s="258"/>
      <c r="D4" s="258"/>
      <c r="E4" s="258"/>
    </row>
    <row r="5" spans="1:5" ht="15" customHeight="1">
      <c r="A5" s="258"/>
      <c r="B5" s="258"/>
      <c r="C5" s="258"/>
      <c r="D5" s="258"/>
      <c r="E5" s="258"/>
    </row>
    <row r="6" spans="1:5" ht="15" customHeight="1">
      <c r="A6" s="259" t="s">
        <v>3896</v>
      </c>
      <c r="B6" s="259" t="s">
        <v>4191</v>
      </c>
      <c r="C6" s="259" t="s">
        <v>3897</v>
      </c>
      <c r="D6" s="259" t="s">
        <v>3902</v>
      </c>
      <c r="E6" s="259" t="s">
        <v>4284</v>
      </c>
    </row>
    <row r="7" spans="1:5" s="95" customFormat="1" ht="36" customHeight="1">
      <c r="A7" s="258" t="s">
        <v>4392</v>
      </c>
      <c r="B7" s="260" t="s">
        <v>4393</v>
      </c>
      <c r="C7" s="258" t="s">
        <v>4394</v>
      </c>
      <c r="D7" s="258" t="s">
        <v>4395</v>
      </c>
      <c r="E7" s="261" t="s">
        <v>1629</v>
      </c>
    </row>
    <row r="8" spans="1:5" s="95" customFormat="1" ht="15" customHeight="1">
      <c r="A8" s="258" t="s">
        <v>4096</v>
      </c>
      <c r="B8" s="260" t="s">
        <v>4396</v>
      </c>
      <c r="C8" s="258" t="s">
        <v>4118</v>
      </c>
      <c r="D8" s="258" t="s">
        <v>4136</v>
      </c>
      <c r="E8" s="258" t="s">
        <v>4397</v>
      </c>
    </row>
    <row r="9" spans="1:5">
      <c r="A9" s="258" t="s">
        <v>4097</v>
      </c>
      <c r="B9" s="260" t="s">
        <v>4398</v>
      </c>
      <c r="C9" s="262" t="s">
        <v>4119</v>
      </c>
      <c r="D9" s="258" t="s">
        <v>4137</v>
      </c>
      <c r="E9" s="258" t="s">
        <v>4197</v>
      </c>
    </row>
    <row r="10" spans="1:5" ht="15" customHeight="1">
      <c r="A10" s="258" t="s">
        <v>4098</v>
      </c>
      <c r="B10" s="260" t="s">
        <v>4399</v>
      </c>
      <c r="C10" s="258" t="s">
        <v>4120</v>
      </c>
      <c r="D10" s="258" t="s">
        <v>4138</v>
      </c>
      <c r="E10" s="258" t="s">
        <v>4198</v>
      </c>
    </row>
    <row r="11" spans="1:5" ht="15" customHeight="1">
      <c r="A11" s="258" t="s">
        <v>4099</v>
      </c>
      <c r="B11" s="258"/>
      <c r="C11" s="258" t="s">
        <v>4121</v>
      </c>
      <c r="D11" s="258" t="s">
        <v>4139</v>
      </c>
      <c r="E11" s="258" t="s">
        <v>4199</v>
      </c>
    </row>
    <row r="12" spans="1:5">
      <c r="A12" s="258"/>
      <c r="B12" s="258" t="s">
        <v>4400</v>
      </c>
      <c r="C12" s="258" t="s">
        <v>4122</v>
      </c>
      <c r="D12" s="258" t="s">
        <v>4140</v>
      </c>
      <c r="E12" s="258"/>
    </row>
    <row r="13" spans="1:5">
      <c r="A13" s="258" t="s">
        <v>4401</v>
      </c>
      <c r="B13" s="258" t="s">
        <v>4192</v>
      </c>
      <c r="C13" s="258"/>
      <c r="D13" s="258"/>
      <c r="E13" s="258" t="s">
        <v>4402</v>
      </c>
    </row>
    <row r="14" spans="1:5">
      <c r="A14" s="258" t="s">
        <v>4100</v>
      </c>
      <c r="B14" s="258" t="s">
        <v>4112</v>
      </c>
      <c r="C14" s="263" t="s">
        <v>4123</v>
      </c>
      <c r="D14" s="258" t="s">
        <v>4403</v>
      </c>
      <c r="E14" s="258" t="s">
        <v>4200</v>
      </c>
    </row>
    <row r="15" spans="1:5">
      <c r="A15" s="258" t="s">
        <v>4101</v>
      </c>
      <c r="B15" s="258" t="s">
        <v>4113</v>
      </c>
      <c r="C15" s="258" t="s">
        <v>4124</v>
      </c>
      <c r="D15" s="258" t="s">
        <v>4145</v>
      </c>
      <c r="E15" s="258" t="s">
        <v>4201</v>
      </c>
    </row>
    <row r="16" spans="1:5">
      <c r="A16" s="258" t="s">
        <v>4103</v>
      </c>
      <c r="B16" s="258" t="s">
        <v>4114</v>
      </c>
      <c r="C16" s="258" t="s">
        <v>3898</v>
      </c>
      <c r="D16" s="258" t="s">
        <v>4144</v>
      </c>
      <c r="E16" s="258" t="s">
        <v>4202</v>
      </c>
    </row>
    <row r="17" spans="1:5">
      <c r="A17" s="258" t="s">
        <v>4102</v>
      </c>
      <c r="B17" s="258" t="s">
        <v>4115</v>
      </c>
      <c r="C17" s="258" t="s">
        <v>4125</v>
      </c>
      <c r="D17" s="258" t="s">
        <v>4143</v>
      </c>
      <c r="E17" s="258" t="s">
        <v>4203</v>
      </c>
    </row>
    <row r="18" spans="1:5">
      <c r="A18" s="258"/>
      <c r="B18" s="258"/>
      <c r="C18" s="258" t="s">
        <v>4126</v>
      </c>
      <c r="D18" s="258" t="s">
        <v>4142</v>
      </c>
      <c r="E18" s="258"/>
    </row>
    <row r="19" spans="1:5">
      <c r="A19" s="260" t="s">
        <v>4404</v>
      </c>
      <c r="B19" s="258" t="s">
        <v>4405</v>
      </c>
      <c r="C19" s="258" t="s">
        <v>4127</v>
      </c>
      <c r="D19" s="258"/>
      <c r="E19" s="260" t="s">
        <v>4283</v>
      </c>
    </row>
    <row r="20" spans="1:5">
      <c r="A20" s="258" t="s">
        <v>4104</v>
      </c>
      <c r="B20" s="258" t="s">
        <v>4116</v>
      </c>
      <c r="C20" s="258" t="s">
        <v>2426</v>
      </c>
      <c r="D20" s="260" t="s">
        <v>3973</v>
      </c>
      <c r="E20" s="264" t="s">
        <v>4406</v>
      </c>
    </row>
    <row r="21" spans="1:5">
      <c r="A21" s="258" t="s">
        <v>4105</v>
      </c>
      <c r="B21" s="258" t="s">
        <v>4117</v>
      </c>
      <c r="C21" s="258"/>
      <c r="D21" s="264" t="s">
        <v>3903</v>
      </c>
      <c r="E21" s="264" t="s">
        <v>4407</v>
      </c>
    </row>
    <row r="22" spans="1:5">
      <c r="A22" s="258" t="s">
        <v>4106</v>
      </c>
      <c r="B22" s="258"/>
      <c r="C22" s="263" t="s">
        <v>3899</v>
      </c>
      <c r="D22" s="258"/>
      <c r="E22" s="264" t="s">
        <v>4408</v>
      </c>
    </row>
    <row r="23" spans="1:5">
      <c r="A23" s="258" t="s">
        <v>4107</v>
      </c>
      <c r="B23" s="258"/>
      <c r="C23" s="258" t="s">
        <v>3898</v>
      </c>
      <c r="D23" s="258" t="s">
        <v>4409</v>
      </c>
      <c r="E23" s="264" t="s">
        <v>4410</v>
      </c>
    </row>
    <row r="24" spans="1:5">
      <c r="A24" s="258"/>
      <c r="B24" s="258"/>
      <c r="C24" s="258" t="s">
        <v>4128</v>
      </c>
      <c r="D24" s="258" t="s">
        <v>4141</v>
      </c>
      <c r="E24" s="264" t="s">
        <v>4411</v>
      </c>
    </row>
    <row r="25" spans="1:5">
      <c r="A25" s="258" t="s">
        <v>4412</v>
      </c>
      <c r="B25" s="258"/>
      <c r="C25" s="258" t="s">
        <v>4129</v>
      </c>
      <c r="D25" s="258" t="s">
        <v>4156</v>
      </c>
      <c r="E25" s="264" t="s">
        <v>4413</v>
      </c>
    </row>
    <row r="26" spans="1:5">
      <c r="A26" s="258" t="s">
        <v>4108</v>
      </c>
      <c r="B26" s="258"/>
      <c r="C26" s="258" t="s">
        <v>4127</v>
      </c>
      <c r="D26" s="258" t="s">
        <v>4155</v>
      </c>
      <c r="E26" s="264" t="s">
        <v>4414</v>
      </c>
    </row>
    <row r="27" spans="1:5">
      <c r="A27" s="258"/>
      <c r="B27" s="258"/>
      <c r="C27" s="258" t="s">
        <v>2426</v>
      </c>
      <c r="D27" s="258"/>
      <c r="E27" s="258"/>
    </row>
    <row r="28" spans="1:5">
      <c r="A28" s="258" t="s">
        <v>4415</v>
      </c>
      <c r="B28" s="258"/>
      <c r="C28" s="258"/>
      <c r="D28" s="258" t="s">
        <v>4416</v>
      </c>
      <c r="E28" s="258" t="s">
        <v>4417</v>
      </c>
    </row>
    <row r="29" spans="1:5">
      <c r="A29" s="258"/>
      <c r="B29" s="258"/>
      <c r="C29" s="263" t="s">
        <v>3900</v>
      </c>
      <c r="D29" s="258" t="s">
        <v>4146</v>
      </c>
      <c r="E29" s="258" t="s">
        <v>4204</v>
      </c>
    </row>
    <row r="30" spans="1:5">
      <c r="A30" s="258" t="s">
        <v>4418</v>
      </c>
      <c r="B30" s="258"/>
      <c r="C30" s="258" t="s">
        <v>3901</v>
      </c>
      <c r="D30" s="258" t="s">
        <v>4147</v>
      </c>
      <c r="E30" s="258" t="s">
        <v>4205</v>
      </c>
    </row>
    <row r="31" spans="1:5">
      <c r="A31" s="258"/>
      <c r="B31" s="258"/>
      <c r="C31" s="258" t="s">
        <v>4130</v>
      </c>
      <c r="D31" s="258" t="s">
        <v>4148</v>
      </c>
      <c r="E31" s="258" t="s">
        <v>4206</v>
      </c>
    </row>
    <row r="32" spans="1:5">
      <c r="A32" s="258" t="s">
        <v>4419</v>
      </c>
      <c r="B32" s="258"/>
      <c r="C32" s="258" t="s">
        <v>4131</v>
      </c>
      <c r="D32" s="258" t="s">
        <v>4149</v>
      </c>
      <c r="E32" s="258" t="s">
        <v>4207</v>
      </c>
    </row>
    <row r="33" spans="1:5">
      <c r="A33" s="258" t="s">
        <v>4109</v>
      </c>
      <c r="B33" s="258"/>
      <c r="C33" s="258" t="s">
        <v>2426</v>
      </c>
      <c r="D33" s="258"/>
      <c r="E33" s="258"/>
    </row>
    <row r="34" spans="1:5">
      <c r="A34" s="258" t="s">
        <v>4110</v>
      </c>
      <c r="B34" s="258"/>
      <c r="C34" s="258" t="s">
        <v>4193</v>
      </c>
      <c r="D34" s="258" t="s">
        <v>4420</v>
      </c>
      <c r="E34" s="258" t="s">
        <v>4421</v>
      </c>
    </row>
    <row r="35" spans="1:5">
      <c r="A35" s="258" t="s">
        <v>4111</v>
      </c>
      <c r="B35" s="258"/>
      <c r="C35" s="258"/>
      <c r="D35" s="258" t="s">
        <v>4157</v>
      </c>
      <c r="E35" s="258" t="s">
        <v>4279</v>
      </c>
    </row>
    <row r="36" spans="1:5">
      <c r="A36" s="258"/>
      <c r="B36" s="258"/>
      <c r="C36" s="258" t="s">
        <v>4422</v>
      </c>
      <c r="D36" s="258" t="s">
        <v>4185</v>
      </c>
      <c r="E36" s="258" t="s">
        <v>4278</v>
      </c>
    </row>
    <row r="37" spans="1:5">
      <c r="A37" s="258"/>
      <c r="B37" s="258"/>
      <c r="C37" s="258" t="s">
        <v>4132</v>
      </c>
      <c r="D37" s="258" t="s">
        <v>4186</v>
      </c>
      <c r="E37" s="258" t="s">
        <v>4289</v>
      </c>
    </row>
    <row r="38" spans="1:5">
      <c r="A38" s="258"/>
      <c r="B38" s="258"/>
      <c r="C38" s="258" t="s">
        <v>4133</v>
      </c>
      <c r="D38" s="258"/>
      <c r="E38" s="258" t="s">
        <v>4209</v>
      </c>
    </row>
    <row r="39" spans="1:5">
      <c r="A39" s="258"/>
      <c r="B39" s="258"/>
      <c r="C39" s="258" t="s">
        <v>4134</v>
      </c>
      <c r="D39" s="260" t="s">
        <v>3974</v>
      </c>
      <c r="E39" s="258" t="s">
        <v>4208</v>
      </c>
    </row>
    <row r="40" spans="1:5">
      <c r="A40" s="258"/>
      <c r="B40" s="258"/>
      <c r="C40" s="258" t="s">
        <v>4135</v>
      </c>
      <c r="D40" s="264" t="s">
        <v>3904</v>
      </c>
      <c r="E40" s="258"/>
    </row>
    <row r="41" spans="1:5">
      <c r="A41" s="258"/>
      <c r="B41" s="258"/>
      <c r="C41" s="258"/>
      <c r="D41" s="258"/>
      <c r="E41" s="258" t="s">
        <v>4423</v>
      </c>
    </row>
    <row r="42" spans="1:5">
      <c r="A42" s="258"/>
      <c r="B42" s="258"/>
      <c r="C42" s="258"/>
      <c r="D42" s="258" t="s">
        <v>4424</v>
      </c>
      <c r="E42" s="258" t="s">
        <v>4210</v>
      </c>
    </row>
    <row r="43" spans="1:5">
      <c r="A43" s="258"/>
      <c r="B43" s="258"/>
      <c r="C43" s="258"/>
      <c r="D43" s="258" t="s">
        <v>4161</v>
      </c>
      <c r="E43" s="258" t="s">
        <v>4211</v>
      </c>
    </row>
    <row r="44" spans="1:5">
      <c r="A44" s="258"/>
      <c r="B44" s="258"/>
      <c r="C44" s="258"/>
      <c r="D44" s="258" t="s">
        <v>4160</v>
      </c>
      <c r="E44" s="258" t="s">
        <v>4212</v>
      </c>
    </row>
    <row r="45" spans="1:5">
      <c r="A45" s="258"/>
      <c r="B45" s="258"/>
      <c r="C45" s="258"/>
      <c r="D45" s="258" t="s">
        <v>4159</v>
      </c>
      <c r="E45" s="258" t="s">
        <v>4213</v>
      </c>
    </row>
    <row r="46" spans="1:5">
      <c r="A46" s="258"/>
      <c r="B46" s="258"/>
      <c r="C46" s="258"/>
      <c r="D46" s="258" t="s">
        <v>4158</v>
      </c>
      <c r="E46" s="258"/>
    </row>
    <row r="47" spans="1:5">
      <c r="A47" s="258"/>
      <c r="B47" s="258"/>
      <c r="C47" s="258"/>
      <c r="D47" s="258"/>
      <c r="E47" s="265" t="s">
        <v>3989</v>
      </c>
    </row>
    <row r="48" spans="1:5">
      <c r="A48" s="258"/>
      <c r="B48" s="258"/>
      <c r="C48" s="258"/>
      <c r="D48" s="260" t="s">
        <v>3975</v>
      </c>
      <c r="E48" s="265" t="s">
        <v>4425</v>
      </c>
    </row>
    <row r="49" spans="1:5">
      <c r="A49" s="258"/>
      <c r="B49" s="258"/>
      <c r="C49" s="258"/>
      <c r="D49" s="264" t="s">
        <v>3905</v>
      </c>
      <c r="E49" s="265" t="s">
        <v>4426</v>
      </c>
    </row>
    <row r="50" spans="1:5">
      <c r="A50" s="258"/>
      <c r="B50" s="258"/>
      <c r="C50" s="258"/>
      <c r="D50" s="264" t="s">
        <v>3906</v>
      </c>
      <c r="E50" s="265" t="s">
        <v>4427</v>
      </c>
    </row>
    <row r="51" spans="1:5">
      <c r="A51" s="258"/>
      <c r="B51" s="258"/>
      <c r="C51" s="258"/>
      <c r="D51" s="264" t="s">
        <v>3907</v>
      </c>
      <c r="E51" s="265"/>
    </row>
    <row r="52" spans="1:5">
      <c r="A52" s="258"/>
      <c r="B52" s="258"/>
      <c r="C52" s="258"/>
      <c r="D52" s="258"/>
      <c r="E52" s="265" t="s">
        <v>4428</v>
      </c>
    </row>
    <row r="53" spans="1:5">
      <c r="A53" s="258"/>
      <c r="B53" s="258"/>
      <c r="C53" s="258"/>
      <c r="D53" s="258" t="s">
        <v>4429</v>
      </c>
      <c r="E53" s="265" t="s">
        <v>3912</v>
      </c>
    </row>
    <row r="54" spans="1:5">
      <c r="A54" s="258"/>
      <c r="B54" s="258"/>
      <c r="C54" s="258"/>
      <c r="D54" s="258" t="s">
        <v>4150</v>
      </c>
      <c r="E54" s="266" t="s">
        <v>35</v>
      </c>
    </row>
    <row r="55" spans="1:5">
      <c r="A55" s="258"/>
      <c r="B55" s="258"/>
      <c r="C55" s="258"/>
      <c r="D55" s="258" t="s">
        <v>4151</v>
      </c>
      <c r="E55" s="266" t="s">
        <v>763</v>
      </c>
    </row>
    <row r="56" spans="1:5">
      <c r="A56" s="258"/>
      <c r="B56" s="258"/>
      <c r="C56" s="258"/>
      <c r="D56" s="258" t="s">
        <v>4152</v>
      </c>
      <c r="E56" s="266" t="s">
        <v>3913</v>
      </c>
    </row>
    <row r="57" spans="1:5">
      <c r="A57" s="258"/>
      <c r="B57" s="258"/>
      <c r="C57" s="258"/>
      <c r="D57" s="258" t="s">
        <v>4153</v>
      </c>
      <c r="E57" s="258"/>
    </row>
    <row r="58" spans="1:5">
      <c r="A58" s="258"/>
      <c r="B58" s="258"/>
      <c r="C58" s="258"/>
      <c r="D58" s="258" t="s">
        <v>4154</v>
      </c>
      <c r="E58" s="265" t="s">
        <v>3914</v>
      </c>
    </row>
    <row r="59" spans="1:5">
      <c r="A59" s="258"/>
      <c r="B59" s="258"/>
      <c r="C59" s="258"/>
      <c r="D59" s="258"/>
      <c r="E59" s="266" t="s">
        <v>3913</v>
      </c>
    </row>
    <row r="60" spans="1:5">
      <c r="A60" s="258"/>
      <c r="B60" s="258"/>
      <c r="C60" s="258"/>
      <c r="D60" s="260" t="s">
        <v>3973</v>
      </c>
      <c r="E60" s="266" t="s">
        <v>3915</v>
      </c>
    </row>
    <row r="61" spans="1:5">
      <c r="A61" s="258"/>
      <c r="B61" s="258"/>
      <c r="C61" s="258"/>
      <c r="D61" s="264" t="s">
        <v>3908</v>
      </c>
      <c r="E61" s="266" t="s">
        <v>3916</v>
      </c>
    </row>
    <row r="62" spans="1:5">
      <c r="A62" s="258"/>
      <c r="B62" s="258"/>
      <c r="C62" s="258"/>
      <c r="D62" s="258"/>
      <c r="E62" s="266" t="s">
        <v>3917</v>
      </c>
    </row>
    <row r="63" spans="1:5">
      <c r="A63" s="258"/>
      <c r="B63" s="258"/>
      <c r="C63" s="258"/>
      <c r="D63" s="258" t="s">
        <v>4430</v>
      </c>
      <c r="E63" s="266" t="s">
        <v>3918</v>
      </c>
    </row>
    <row r="64" spans="1:5">
      <c r="A64" s="258"/>
      <c r="B64" s="258"/>
      <c r="C64" s="258"/>
      <c r="D64" s="258" t="s">
        <v>4190</v>
      </c>
      <c r="E64" s="266" t="s">
        <v>3919</v>
      </c>
    </row>
    <row r="65" spans="1:5">
      <c r="A65" s="258"/>
      <c r="B65" s="258"/>
      <c r="C65" s="258"/>
      <c r="D65" s="258" t="s">
        <v>4162</v>
      </c>
      <c r="E65" s="266" t="s">
        <v>3920</v>
      </c>
    </row>
    <row r="66" spans="1:5">
      <c r="A66" s="258"/>
      <c r="B66" s="258"/>
      <c r="C66" s="258"/>
      <c r="D66" s="258" t="s">
        <v>4163</v>
      </c>
      <c r="E66" s="258"/>
    </row>
    <row r="67" spans="1:5">
      <c r="A67" s="258"/>
      <c r="B67" s="258"/>
      <c r="C67" s="258"/>
      <c r="D67" s="258" t="s">
        <v>4164</v>
      </c>
      <c r="E67" s="265" t="s">
        <v>3921</v>
      </c>
    </row>
    <row r="68" spans="1:5">
      <c r="A68" s="258"/>
      <c r="B68" s="258"/>
      <c r="C68" s="258"/>
      <c r="D68" s="264"/>
      <c r="E68" s="266" t="s">
        <v>3922</v>
      </c>
    </row>
    <row r="69" spans="1:5">
      <c r="A69" s="258"/>
      <c r="B69" s="258"/>
      <c r="C69" s="258"/>
      <c r="D69" s="260" t="s">
        <v>3974</v>
      </c>
      <c r="E69" s="266" t="s">
        <v>3923</v>
      </c>
    </row>
    <row r="70" spans="1:5">
      <c r="A70" s="258"/>
      <c r="B70" s="258"/>
      <c r="C70" s="258"/>
      <c r="D70" s="264" t="s">
        <v>3904</v>
      </c>
      <c r="E70" s="266" t="s">
        <v>3924</v>
      </c>
    </row>
    <row r="71" spans="1:5">
      <c r="A71" s="258"/>
      <c r="B71" s="258"/>
      <c r="C71" s="258"/>
      <c r="D71" s="258"/>
      <c r="E71" s="266" t="s">
        <v>3925</v>
      </c>
    </row>
    <row r="72" spans="1:5">
      <c r="A72" s="258"/>
      <c r="B72" s="258"/>
      <c r="C72" s="258"/>
      <c r="D72" s="258" t="s">
        <v>4431</v>
      </c>
      <c r="E72" s="266" t="s">
        <v>3926</v>
      </c>
    </row>
    <row r="73" spans="1:5">
      <c r="A73" s="258"/>
      <c r="B73" s="258"/>
      <c r="C73" s="258"/>
      <c r="D73" s="258" t="s">
        <v>4165</v>
      </c>
      <c r="E73" s="266" t="s">
        <v>3919</v>
      </c>
    </row>
    <row r="74" spans="1:5">
      <c r="A74" s="258"/>
      <c r="B74" s="258"/>
      <c r="C74" s="258"/>
      <c r="D74" s="258" t="s">
        <v>4285</v>
      </c>
      <c r="E74" s="266" t="s">
        <v>3927</v>
      </c>
    </row>
    <row r="75" spans="1:5">
      <c r="A75" s="258"/>
      <c r="B75" s="258"/>
      <c r="C75" s="258"/>
      <c r="D75" s="258" t="s">
        <v>4286</v>
      </c>
      <c r="E75" s="258"/>
    </row>
    <row r="76" spans="1:5">
      <c r="A76" s="258"/>
      <c r="B76" s="258"/>
      <c r="C76" s="258"/>
      <c r="D76" s="258" t="s">
        <v>4287</v>
      </c>
      <c r="E76" s="258" t="s">
        <v>4432</v>
      </c>
    </row>
    <row r="77" spans="1:5">
      <c r="A77" s="258"/>
      <c r="B77" s="258"/>
      <c r="C77" s="258"/>
      <c r="D77" s="258" t="s">
        <v>4288</v>
      </c>
      <c r="E77" s="258" t="s">
        <v>4214</v>
      </c>
    </row>
    <row r="78" spans="1:5">
      <c r="A78" s="258"/>
      <c r="B78" s="258"/>
      <c r="C78" s="258"/>
      <c r="D78" s="258"/>
      <c r="E78" s="258" t="s">
        <v>4215</v>
      </c>
    </row>
    <row r="79" spans="1:5">
      <c r="A79" s="258"/>
      <c r="B79" s="258"/>
      <c r="C79" s="258"/>
      <c r="D79" s="260" t="s">
        <v>3909</v>
      </c>
      <c r="E79" s="258" t="s">
        <v>4216</v>
      </c>
    </row>
    <row r="80" spans="1:5">
      <c r="A80" s="258"/>
      <c r="B80" s="258"/>
      <c r="C80" s="258"/>
      <c r="D80" s="265" t="s">
        <v>4433</v>
      </c>
      <c r="E80" s="258" t="s">
        <v>4217</v>
      </c>
    </row>
    <row r="81" spans="1:5">
      <c r="A81" s="258"/>
      <c r="B81" s="258"/>
      <c r="C81" s="258"/>
      <c r="D81" s="265" t="s">
        <v>4434</v>
      </c>
      <c r="E81" s="258" t="s">
        <v>4218</v>
      </c>
    </row>
    <row r="82" spans="1:5">
      <c r="A82" s="258"/>
      <c r="B82" s="258"/>
      <c r="C82" s="258"/>
      <c r="D82" s="258"/>
      <c r="E82" s="258" t="s">
        <v>4220</v>
      </c>
    </row>
    <row r="83" spans="1:5">
      <c r="A83" s="258"/>
      <c r="B83" s="258"/>
      <c r="C83" s="258"/>
      <c r="D83" s="258" t="s">
        <v>4435</v>
      </c>
      <c r="E83" s="258" t="s">
        <v>4219</v>
      </c>
    </row>
    <row r="84" spans="1:5">
      <c r="A84" s="258"/>
      <c r="B84" s="258"/>
      <c r="C84" s="258"/>
      <c r="D84" s="258" t="s">
        <v>4166</v>
      </c>
      <c r="E84" s="258"/>
    </row>
    <row r="85" spans="1:5">
      <c r="A85" s="258"/>
      <c r="B85" s="258"/>
      <c r="C85" s="258"/>
      <c r="D85" s="258" t="s">
        <v>4167</v>
      </c>
      <c r="E85" s="260" t="s">
        <v>3970</v>
      </c>
    </row>
    <row r="86" spans="1:5">
      <c r="A86" s="258"/>
      <c r="B86" s="258"/>
      <c r="C86" s="258"/>
      <c r="D86" s="258" t="s">
        <v>4168</v>
      </c>
      <c r="E86" s="264" t="s">
        <v>3928</v>
      </c>
    </row>
    <row r="87" spans="1:5">
      <c r="A87" s="258"/>
      <c r="B87" s="258"/>
      <c r="C87" s="258"/>
      <c r="D87" s="258" t="s">
        <v>4169</v>
      </c>
      <c r="E87" s="264" t="s">
        <v>3929</v>
      </c>
    </row>
    <row r="88" spans="1:5">
      <c r="A88" s="258"/>
      <c r="B88" s="258"/>
      <c r="C88" s="258"/>
      <c r="D88" s="258" t="s">
        <v>4170</v>
      </c>
      <c r="E88" s="264" t="s">
        <v>4272</v>
      </c>
    </row>
    <row r="89" spans="1:5">
      <c r="A89" s="258"/>
      <c r="B89" s="258"/>
      <c r="C89" s="258"/>
      <c r="D89" s="258"/>
      <c r="E89" s="264" t="s">
        <v>4273</v>
      </c>
    </row>
    <row r="90" spans="1:5">
      <c r="A90" s="258"/>
      <c r="B90" s="258"/>
      <c r="C90" s="258"/>
      <c r="D90" s="258"/>
      <c r="E90" s="264" t="s">
        <v>3930</v>
      </c>
    </row>
    <row r="91" spans="1:5">
      <c r="A91" s="258"/>
      <c r="B91" s="258"/>
      <c r="C91" s="258"/>
      <c r="D91" s="260" t="s">
        <v>3910</v>
      </c>
      <c r="E91" s="258"/>
    </row>
    <row r="92" spans="1:5">
      <c r="A92" s="258"/>
      <c r="B92" s="258"/>
      <c r="C92" s="258"/>
      <c r="D92" s="265" t="s">
        <v>4436</v>
      </c>
      <c r="E92" s="265" t="s">
        <v>3931</v>
      </c>
    </row>
    <row r="93" spans="1:5">
      <c r="A93" s="258"/>
      <c r="B93" s="258"/>
      <c r="C93" s="258"/>
      <c r="D93" s="265" t="s">
        <v>4437</v>
      </c>
      <c r="E93" s="264" t="s">
        <v>4223</v>
      </c>
    </row>
    <row r="94" spans="1:5">
      <c r="A94" s="258"/>
      <c r="B94" s="258"/>
      <c r="C94" s="258"/>
      <c r="D94" s="265" t="s">
        <v>4438</v>
      </c>
      <c r="E94" s="258" t="s">
        <v>4222</v>
      </c>
    </row>
    <row r="95" spans="1:5">
      <c r="A95" s="258"/>
      <c r="B95" s="258"/>
      <c r="C95" s="258"/>
      <c r="D95" s="265" t="s">
        <v>4439</v>
      </c>
      <c r="E95" s="258" t="s">
        <v>4221</v>
      </c>
    </row>
    <row r="96" spans="1:5">
      <c r="A96" s="258"/>
      <c r="B96" s="258"/>
      <c r="C96" s="258"/>
      <c r="D96" s="258"/>
      <c r="E96" s="258"/>
    </row>
    <row r="97" spans="1:5">
      <c r="A97" s="258"/>
      <c r="B97" s="258"/>
      <c r="C97" s="258"/>
      <c r="D97" s="258" t="s">
        <v>4440</v>
      </c>
      <c r="E97" s="258" t="s">
        <v>4441</v>
      </c>
    </row>
    <row r="98" spans="1:5">
      <c r="A98" s="258"/>
      <c r="B98" s="258"/>
      <c r="C98" s="258"/>
      <c r="D98" s="258" t="s">
        <v>4171</v>
      </c>
      <c r="E98" s="258" t="s">
        <v>4224</v>
      </c>
    </row>
    <row r="99" spans="1:5">
      <c r="A99" s="258"/>
      <c r="B99" s="258"/>
      <c r="C99" s="258"/>
      <c r="D99" s="258" t="s">
        <v>4172</v>
      </c>
      <c r="E99" s="258" t="s">
        <v>4225</v>
      </c>
    </row>
    <row r="100" spans="1:5">
      <c r="A100" s="258"/>
      <c r="B100" s="258"/>
      <c r="C100" s="258"/>
      <c r="D100" s="258" t="s">
        <v>4173</v>
      </c>
      <c r="E100" s="258"/>
    </row>
    <row r="101" spans="1:5">
      <c r="A101" s="258"/>
      <c r="B101" s="258"/>
      <c r="C101" s="258"/>
      <c r="D101" s="258" t="s">
        <v>4174</v>
      </c>
      <c r="E101" s="260" t="s">
        <v>3988</v>
      </c>
    </row>
    <row r="102" spans="1:5">
      <c r="A102" s="258"/>
      <c r="B102" s="258"/>
      <c r="C102" s="258"/>
      <c r="D102" s="258" t="s">
        <v>4194</v>
      </c>
      <c r="E102" s="265" t="s">
        <v>4442</v>
      </c>
    </row>
    <row r="103" spans="1:5">
      <c r="A103" s="258"/>
      <c r="B103" s="258"/>
      <c r="C103" s="258"/>
      <c r="D103" s="258" t="s">
        <v>4175</v>
      </c>
      <c r="E103" s="265" t="s">
        <v>4443</v>
      </c>
    </row>
    <row r="104" spans="1:5">
      <c r="A104" s="258"/>
      <c r="B104" s="258"/>
      <c r="C104" s="258"/>
      <c r="D104" s="258"/>
      <c r="E104" s="265" t="s">
        <v>4444</v>
      </c>
    </row>
    <row r="105" spans="1:5">
      <c r="A105" s="258"/>
      <c r="B105" s="258"/>
      <c r="C105" s="258"/>
      <c r="D105" s="265" t="s">
        <v>4445</v>
      </c>
      <c r="E105" s="265" t="s">
        <v>4446</v>
      </c>
    </row>
    <row r="106" spans="1:5">
      <c r="A106" s="258"/>
      <c r="B106" s="258"/>
      <c r="C106" s="258"/>
      <c r="D106" s="258"/>
      <c r="E106" s="258"/>
    </row>
    <row r="107" spans="1:5">
      <c r="A107" s="258"/>
      <c r="B107" s="258"/>
      <c r="C107" s="258"/>
      <c r="D107" s="258" t="s">
        <v>4447</v>
      </c>
      <c r="E107" s="265" t="s">
        <v>3969</v>
      </c>
    </row>
    <row r="108" spans="1:5">
      <c r="A108" s="258"/>
      <c r="B108" s="258"/>
      <c r="C108" s="258"/>
      <c r="D108" s="258" t="s">
        <v>4176</v>
      </c>
      <c r="E108" s="265" t="s">
        <v>4448</v>
      </c>
    </row>
    <row r="109" spans="1:5">
      <c r="A109" s="258"/>
      <c r="B109" s="258"/>
      <c r="C109" s="258"/>
      <c r="D109" s="258" t="s">
        <v>4177</v>
      </c>
      <c r="E109" s="258"/>
    </row>
    <row r="110" spans="1:5">
      <c r="A110" s="258"/>
      <c r="B110" s="258"/>
      <c r="C110" s="258"/>
      <c r="D110" s="258" t="s">
        <v>4178</v>
      </c>
      <c r="E110" s="258" t="s">
        <v>4449</v>
      </c>
    </row>
    <row r="111" spans="1:5">
      <c r="A111" s="258"/>
      <c r="B111" s="258"/>
      <c r="C111" s="258"/>
      <c r="D111" s="258" t="s">
        <v>4179</v>
      </c>
      <c r="E111" s="258" t="s">
        <v>4226</v>
      </c>
    </row>
    <row r="112" spans="1:5">
      <c r="A112" s="258"/>
      <c r="B112" s="258"/>
      <c r="C112" s="258"/>
      <c r="D112" s="258" t="s">
        <v>4180</v>
      </c>
      <c r="E112" s="258" t="s">
        <v>4227</v>
      </c>
    </row>
    <row r="113" spans="1:5">
      <c r="A113" s="258"/>
      <c r="B113" s="258"/>
      <c r="C113" s="258"/>
      <c r="D113" s="258"/>
      <c r="E113" s="258" t="s">
        <v>4228</v>
      </c>
    </row>
    <row r="114" spans="1:5">
      <c r="A114" s="258"/>
      <c r="B114" s="258"/>
      <c r="C114" s="258"/>
      <c r="D114" s="260" t="s">
        <v>3911</v>
      </c>
      <c r="E114" s="258" t="s">
        <v>4229</v>
      </c>
    </row>
    <row r="115" spans="1:5">
      <c r="A115" s="258"/>
      <c r="B115" s="258"/>
      <c r="C115" s="258"/>
      <c r="D115" s="265" t="s">
        <v>4433</v>
      </c>
      <c r="E115" s="258"/>
    </row>
    <row r="116" spans="1:5">
      <c r="A116" s="258"/>
      <c r="B116" s="258"/>
      <c r="C116" s="258"/>
      <c r="D116" s="265" t="s">
        <v>4450</v>
      </c>
      <c r="E116" s="267" t="s">
        <v>3965</v>
      </c>
    </row>
    <row r="117" spans="1:5">
      <c r="A117" s="258"/>
      <c r="B117" s="258"/>
      <c r="C117" s="258"/>
      <c r="D117" s="265" t="s">
        <v>4438</v>
      </c>
      <c r="E117" s="265" t="s">
        <v>4425</v>
      </c>
    </row>
    <row r="118" spans="1:5">
      <c r="A118" s="258"/>
      <c r="B118" s="258"/>
      <c r="C118" s="258"/>
      <c r="D118" s="265" t="s">
        <v>4439</v>
      </c>
      <c r="E118" s="265" t="s">
        <v>4426</v>
      </c>
    </row>
    <row r="119" spans="1:5">
      <c r="A119" s="258"/>
      <c r="B119" s="258"/>
      <c r="C119" s="258"/>
      <c r="D119" s="258"/>
      <c r="E119" s="265" t="s">
        <v>4427</v>
      </c>
    </row>
    <row r="120" spans="1:5">
      <c r="A120" s="258"/>
      <c r="B120" s="258"/>
      <c r="C120" s="258"/>
      <c r="D120" s="258" t="s">
        <v>4451</v>
      </c>
      <c r="E120" s="265" t="s">
        <v>4446</v>
      </c>
    </row>
    <row r="121" spans="1:5">
      <c r="A121" s="258"/>
      <c r="B121" s="258"/>
      <c r="C121" s="258"/>
      <c r="D121" s="258" t="s">
        <v>4171</v>
      </c>
      <c r="E121" s="258"/>
    </row>
    <row r="122" spans="1:5">
      <c r="A122" s="258"/>
      <c r="B122" s="258"/>
      <c r="C122" s="258"/>
      <c r="D122" s="258" t="s">
        <v>4172</v>
      </c>
      <c r="E122" s="265" t="s">
        <v>4428</v>
      </c>
    </row>
    <row r="123" spans="1:5">
      <c r="A123" s="258"/>
      <c r="B123" s="258"/>
      <c r="C123" s="258"/>
      <c r="D123" s="258" t="s">
        <v>4181</v>
      </c>
      <c r="E123" s="265" t="s">
        <v>3914</v>
      </c>
    </row>
    <row r="124" spans="1:5">
      <c r="A124" s="258"/>
      <c r="B124" s="258"/>
      <c r="C124" s="258"/>
      <c r="D124" s="258" t="s">
        <v>4182</v>
      </c>
      <c r="E124" s="266" t="s">
        <v>3932</v>
      </c>
    </row>
    <row r="125" spans="1:5">
      <c r="A125" s="258"/>
      <c r="B125" s="258"/>
      <c r="C125" s="258"/>
      <c r="D125" s="258" t="s">
        <v>4189</v>
      </c>
      <c r="E125" s="266" t="s">
        <v>3933</v>
      </c>
    </row>
    <row r="126" spans="1:5">
      <c r="A126" s="258"/>
      <c r="B126" s="258"/>
      <c r="C126" s="258"/>
      <c r="D126" s="258" t="s">
        <v>4175</v>
      </c>
      <c r="E126" s="266" t="s">
        <v>3934</v>
      </c>
    </row>
    <row r="127" spans="1:5">
      <c r="A127" s="258"/>
      <c r="B127" s="258"/>
      <c r="C127" s="258"/>
      <c r="D127" s="258"/>
      <c r="E127" s="266" t="s">
        <v>3935</v>
      </c>
    </row>
    <row r="128" spans="1:5">
      <c r="A128" s="258"/>
      <c r="B128" s="258"/>
      <c r="C128" s="258"/>
      <c r="D128" s="265" t="s">
        <v>4445</v>
      </c>
      <c r="E128" s="266" t="s">
        <v>3919</v>
      </c>
    </row>
    <row r="129" spans="1:5">
      <c r="A129" s="258"/>
      <c r="B129" s="258"/>
      <c r="C129" s="258"/>
      <c r="D129" s="258"/>
      <c r="E129" s="266" t="s">
        <v>3936</v>
      </c>
    </row>
    <row r="130" spans="1:5">
      <c r="A130" s="258"/>
      <c r="B130" s="258"/>
      <c r="C130" s="258"/>
      <c r="D130" s="258" t="s">
        <v>4452</v>
      </c>
      <c r="E130" s="266" t="s">
        <v>3920</v>
      </c>
    </row>
    <row r="131" spans="1:5">
      <c r="A131" s="258"/>
      <c r="B131" s="258"/>
      <c r="C131" s="258"/>
      <c r="D131" s="258" t="s">
        <v>4183</v>
      </c>
      <c r="E131" s="264" t="s">
        <v>3937</v>
      </c>
    </row>
    <row r="132" spans="1:5">
      <c r="A132" s="258"/>
      <c r="B132" s="258"/>
      <c r="C132" s="258"/>
      <c r="D132" s="258" t="s">
        <v>4184</v>
      </c>
      <c r="E132" s="264" t="s">
        <v>3938</v>
      </c>
    </row>
    <row r="133" spans="1:5">
      <c r="A133" s="258"/>
      <c r="B133" s="258"/>
      <c r="C133" s="258"/>
      <c r="D133" s="258" t="s">
        <v>4188</v>
      </c>
      <c r="E133" s="264" t="s">
        <v>4271</v>
      </c>
    </row>
    <row r="134" spans="1:5">
      <c r="A134" s="258"/>
      <c r="B134" s="258"/>
      <c r="C134" s="258"/>
      <c r="D134" s="258" t="s">
        <v>4187</v>
      </c>
      <c r="E134" s="264" t="s">
        <v>4269</v>
      </c>
    </row>
    <row r="135" spans="1:5">
      <c r="A135" s="258"/>
      <c r="B135" s="258"/>
      <c r="C135" s="258"/>
      <c r="D135" s="258"/>
      <c r="E135" s="264" t="s">
        <v>3939</v>
      </c>
    </row>
    <row r="136" spans="1:5">
      <c r="A136" s="258"/>
      <c r="B136" s="258"/>
      <c r="C136" s="258"/>
      <c r="D136" s="258"/>
      <c r="E136" s="258"/>
    </row>
    <row r="137" spans="1:5">
      <c r="A137" s="258"/>
      <c r="B137" s="258"/>
      <c r="C137" s="258"/>
      <c r="D137" s="258"/>
      <c r="E137" s="267" t="s">
        <v>3971</v>
      </c>
    </row>
    <row r="138" spans="1:5">
      <c r="A138" s="258"/>
      <c r="B138" s="258"/>
      <c r="C138" s="258"/>
      <c r="D138" s="258"/>
      <c r="E138" s="265" t="s">
        <v>4442</v>
      </c>
    </row>
    <row r="139" spans="1:5">
      <c r="A139" s="258"/>
      <c r="B139" s="258"/>
      <c r="C139" s="258"/>
      <c r="D139" s="258"/>
      <c r="E139" s="265" t="s">
        <v>4443</v>
      </c>
    </row>
    <row r="140" spans="1:5">
      <c r="A140" s="258"/>
      <c r="B140" s="258"/>
      <c r="C140" s="258"/>
      <c r="D140" s="258"/>
      <c r="E140" s="265" t="s">
        <v>4453</v>
      </c>
    </row>
    <row r="141" spans="1:5">
      <c r="A141" s="258"/>
      <c r="B141" s="258"/>
      <c r="C141" s="258"/>
      <c r="D141" s="258"/>
      <c r="E141" s="265" t="s">
        <v>4446</v>
      </c>
    </row>
    <row r="142" spans="1:5">
      <c r="A142" s="258"/>
      <c r="B142" s="258"/>
      <c r="C142" s="258"/>
      <c r="D142" s="258"/>
      <c r="E142" s="258"/>
    </row>
    <row r="143" spans="1:5">
      <c r="A143" s="258"/>
      <c r="B143" s="258"/>
      <c r="C143" s="258"/>
      <c r="D143" s="258"/>
      <c r="E143" s="265" t="s">
        <v>4454</v>
      </c>
    </row>
    <row r="144" spans="1:5">
      <c r="A144" s="258"/>
      <c r="B144" s="258"/>
      <c r="C144" s="258"/>
      <c r="D144" s="258"/>
      <c r="E144" s="265" t="s">
        <v>4448</v>
      </c>
    </row>
    <row r="145" spans="1:5">
      <c r="A145" s="258"/>
      <c r="B145" s="258"/>
      <c r="C145" s="258"/>
      <c r="D145" s="258"/>
      <c r="E145" s="264"/>
    </row>
    <row r="146" spans="1:5">
      <c r="A146" s="258"/>
      <c r="B146" s="258"/>
      <c r="C146" s="258"/>
      <c r="D146" s="258"/>
      <c r="E146" s="258" t="s">
        <v>4455</v>
      </c>
    </row>
    <row r="147" spans="1:5">
      <c r="A147" s="258"/>
      <c r="B147" s="258"/>
      <c r="C147" s="258"/>
      <c r="D147" s="258"/>
      <c r="E147" s="258" t="s">
        <v>4230</v>
      </c>
    </row>
    <row r="148" spans="1:5">
      <c r="A148" s="258"/>
      <c r="B148" s="258"/>
      <c r="C148" s="258"/>
      <c r="D148" s="258"/>
      <c r="E148" s="258" t="s">
        <v>4231</v>
      </c>
    </row>
    <row r="149" spans="1:5">
      <c r="A149" s="258"/>
      <c r="B149" s="258"/>
      <c r="C149" s="258"/>
      <c r="D149" s="258"/>
      <c r="E149" s="258" t="s">
        <v>4233</v>
      </c>
    </row>
    <row r="150" spans="1:5">
      <c r="A150" s="258"/>
      <c r="B150" s="258"/>
      <c r="C150" s="258"/>
      <c r="D150" s="258"/>
      <c r="E150" s="258" t="s">
        <v>4232</v>
      </c>
    </row>
    <row r="151" spans="1:5">
      <c r="A151" s="258"/>
      <c r="B151" s="258"/>
      <c r="C151" s="258"/>
      <c r="D151" s="258"/>
      <c r="E151" s="258"/>
    </row>
    <row r="152" spans="1:5">
      <c r="A152" s="258"/>
      <c r="B152" s="258"/>
      <c r="C152" s="258"/>
      <c r="D152" s="258"/>
      <c r="E152" s="267" t="s">
        <v>3966</v>
      </c>
    </row>
    <row r="153" spans="1:5">
      <c r="A153" s="258"/>
      <c r="B153" s="258"/>
      <c r="C153" s="258"/>
      <c r="D153" s="258"/>
      <c r="E153" s="265" t="s">
        <v>4425</v>
      </c>
    </row>
    <row r="154" spans="1:5">
      <c r="A154" s="258"/>
      <c r="B154" s="258"/>
      <c r="C154" s="258"/>
      <c r="D154" s="258"/>
      <c r="E154" s="265" t="s">
        <v>4426</v>
      </c>
    </row>
    <row r="155" spans="1:5">
      <c r="A155" s="258"/>
      <c r="B155" s="258"/>
      <c r="C155" s="258"/>
      <c r="D155" s="258"/>
      <c r="E155" s="265" t="s">
        <v>4427</v>
      </c>
    </row>
    <row r="156" spans="1:5">
      <c r="A156" s="258"/>
      <c r="B156" s="258"/>
      <c r="C156" s="258"/>
      <c r="D156" s="258"/>
      <c r="E156" s="265" t="s">
        <v>4446</v>
      </c>
    </row>
    <row r="157" spans="1:5">
      <c r="A157" s="258"/>
      <c r="B157" s="258"/>
      <c r="C157" s="258"/>
      <c r="D157" s="258"/>
      <c r="E157" s="258"/>
    </row>
    <row r="158" spans="1:5">
      <c r="A158" s="258"/>
      <c r="B158" s="258"/>
      <c r="C158" s="258"/>
      <c r="D158" s="258"/>
      <c r="E158" s="265" t="s">
        <v>4428</v>
      </c>
    </row>
    <row r="159" spans="1:5">
      <c r="A159" s="258"/>
      <c r="B159" s="258"/>
      <c r="C159" s="258"/>
      <c r="D159" s="258"/>
      <c r="E159" s="265" t="s">
        <v>3914</v>
      </c>
    </row>
    <row r="160" spans="1:5">
      <c r="A160" s="258"/>
      <c r="B160" s="258"/>
      <c r="C160" s="258"/>
      <c r="D160" s="258"/>
      <c r="E160" s="266" t="s">
        <v>3940</v>
      </c>
    </row>
    <row r="161" spans="1:5">
      <c r="A161" s="258"/>
      <c r="B161" s="258"/>
      <c r="C161" s="258"/>
      <c r="D161" s="258"/>
      <c r="E161" s="266" t="s">
        <v>3941</v>
      </c>
    </row>
    <row r="162" spans="1:5">
      <c r="A162" s="258"/>
      <c r="B162" s="258"/>
      <c r="C162" s="258"/>
      <c r="D162" s="258"/>
      <c r="E162" s="266" t="s">
        <v>3942</v>
      </c>
    </row>
    <row r="163" spans="1:5">
      <c r="A163" s="258"/>
      <c r="B163" s="258"/>
      <c r="C163" s="258"/>
      <c r="D163" s="258"/>
      <c r="E163" s="266" t="s">
        <v>3943</v>
      </c>
    </row>
    <row r="164" spans="1:5">
      <c r="A164" s="258"/>
      <c r="B164" s="258"/>
      <c r="C164" s="258"/>
      <c r="D164" s="258"/>
      <c r="E164" s="266" t="s">
        <v>3919</v>
      </c>
    </row>
    <row r="165" spans="1:5">
      <c r="A165" s="258"/>
      <c r="B165" s="258"/>
      <c r="C165" s="258"/>
      <c r="D165" s="258"/>
      <c r="E165" s="266" t="s">
        <v>3920</v>
      </c>
    </row>
    <row r="166" spans="1:5">
      <c r="A166" s="258"/>
      <c r="B166" s="258"/>
      <c r="C166" s="258"/>
      <c r="D166" s="258"/>
      <c r="E166" s="266" t="s">
        <v>3944</v>
      </c>
    </row>
    <row r="167" spans="1:5">
      <c r="A167" s="258"/>
      <c r="B167" s="258"/>
      <c r="C167" s="258"/>
      <c r="D167" s="258"/>
      <c r="E167" s="258"/>
    </row>
    <row r="168" spans="1:5">
      <c r="A168" s="258"/>
      <c r="B168" s="258"/>
      <c r="C168" s="258"/>
      <c r="D168" s="258"/>
      <c r="E168" s="265" t="s">
        <v>3945</v>
      </c>
    </row>
    <row r="169" spans="1:5">
      <c r="A169" s="258"/>
      <c r="B169" s="258"/>
      <c r="C169" s="258"/>
      <c r="D169" s="258"/>
      <c r="E169" s="264" t="s">
        <v>3946</v>
      </c>
    </row>
    <row r="170" spans="1:5">
      <c r="A170" s="258"/>
      <c r="B170" s="258"/>
      <c r="C170" s="258"/>
      <c r="D170" s="258"/>
      <c r="E170" s="264" t="s">
        <v>3947</v>
      </c>
    </row>
    <row r="171" spans="1:5">
      <c r="A171" s="258"/>
      <c r="B171" s="258"/>
      <c r="C171" s="258"/>
      <c r="D171" s="258"/>
      <c r="E171" s="264" t="s">
        <v>4270</v>
      </c>
    </row>
    <row r="172" spans="1:5">
      <c r="A172" s="258"/>
      <c r="B172" s="258"/>
      <c r="C172" s="258"/>
      <c r="D172" s="258"/>
      <c r="E172" s="258" t="s">
        <v>4269</v>
      </c>
    </row>
    <row r="173" spans="1:5">
      <c r="A173" s="258"/>
      <c r="B173" s="258"/>
      <c r="C173" s="258"/>
      <c r="D173" s="258"/>
      <c r="E173" s="264" t="s">
        <v>3948</v>
      </c>
    </row>
    <row r="174" spans="1:5">
      <c r="A174" s="258"/>
      <c r="B174" s="258"/>
      <c r="C174" s="258"/>
      <c r="D174" s="258"/>
      <c r="E174" s="258"/>
    </row>
    <row r="175" spans="1:5">
      <c r="A175" s="258"/>
      <c r="B175" s="258"/>
      <c r="C175" s="258"/>
      <c r="D175" s="258"/>
      <c r="E175" s="268" t="s">
        <v>3967</v>
      </c>
    </row>
    <row r="176" spans="1:5">
      <c r="A176" s="258"/>
      <c r="B176" s="258"/>
      <c r="C176" s="258"/>
      <c r="D176" s="258"/>
      <c r="E176" s="265" t="s">
        <v>4442</v>
      </c>
    </row>
    <row r="177" spans="1:5">
      <c r="A177" s="258"/>
      <c r="B177" s="258"/>
      <c r="C177" s="258"/>
      <c r="D177" s="258"/>
      <c r="E177" s="265" t="s">
        <v>4443</v>
      </c>
    </row>
    <row r="178" spans="1:5">
      <c r="A178" s="258"/>
      <c r="B178" s="258"/>
      <c r="C178" s="258"/>
      <c r="D178" s="258"/>
      <c r="E178" s="265" t="s">
        <v>4456</v>
      </c>
    </row>
    <row r="179" spans="1:5">
      <c r="A179" s="258"/>
      <c r="B179" s="258"/>
      <c r="C179" s="258"/>
      <c r="D179" s="258"/>
      <c r="E179" s="265" t="s">
        <v>4446</v>
      </c>
    </row>
    <row r="180" spans="1:5">
      <c r="A180" s="258"/>
      <c r="B180" s="258"/>
      <c r="C180" s="258"/>
      <c r="D180" s="258"/>
      <c r="E180" s="258"/>
    </row>
    <row r="181" spans="1:5">
      <c r="A181" s="258"/>
      <c r="B181" s="258"/>
      <c r="C181" s="258"/>
      <c r="D181" s="258"/>
      <c r="E181" s="265" t="s">
        <v>4454</v>
      </c>
    </row>
    <row r="182" spans="1:5">
      <c r="A182" s="258"/>
      <c r="B182" s="258"/>
      <c r="C182" s="258"/>
      <c r="D182" s="258"/>
      <c r="E182" s="265" t="s">
        <v>4448</v>
      </c>
    </row>
    <row r="183" spans="1:5">
      <c r="A183" s="258"/>
      <c r="B183" s="258"/>
      <c r="C183" s="258"/>
      <c r="D183" s="258"/>
      <c r="E183" s="258"/>
    </row>
    <row r="184" spans="1:5">
      <c r="A184" s="258"/>
      <c r="B184" s="258"/>
      <c r="C184" s="258"/>
      <c r="D184" s="258"/>
      <c r="E184" s="258" t="s">
        <v>4457</v>
      </c>
    </row>
    <row r="185" spans="1:5">
      <c r="A185" s="258"/>
      <c r="B185" s="258"/>
      <c r="C185" s="258"/>
      <c r="D185" s="258"/>
      <c r="E185" s="258" t="s">
        <v>4234</v>
      </c>
    </row>
    <row r="186" spans="1:5">
      <c r="A186" s="258"/>
      <c r="B186" s="258"/>
      <c r="C186" s="258"/>
      <c r="D186" s="258"/>
      <c r="E186" s="258" t="s">
        <v>4235</v>
      </c>
    </row>
    <row r="187" spans="1:5">
      <c r="A187" s="258"/>
      <c r="B187" s="258"/>
      <c r="C187" s="258"/>
      <c r="D187" s="258"/>
      <c r="E187" s="258" t="s">
        <v>4233</v>
      </c>
    </row>
    <row r="188" spans="1:5">
      <c r="A188" s="258"/>
      <c r="B188" s="258"/>
      <c r="C188" s="258"/>
      <c r="D188" s="258"/>
      <c r="E188" s="258" t="s">
        <v>4232</v>
      </c>
    </row>
    <row r="189" spans="1:5">
      <c r="A189" s="258"/>
      <c r="B189" s="258"/>
      <c r="C189" s="258"/>
      <c r="D189" s="258"/>
      <c r="E189" s="258"/>
    </row>
    <row r="190" spans="1:5">
      <c r="A190" s="258"/>
      <c r="B190" s="258"/>
      <c r="C190" s="258"/>
      <c r="D190" s="258"/>
      <c r="E190" s="267" t="s">
        <v>3976</v>
      </c>
    </row>
    <row r="191" spans="1:5">
      <c r="A191" s="258"/>
      <c r="B191" s="258"/>
      <c r="C191" s="258"/>
      <c r="D191" s="258"/>
      <c r="E191" s="265" t="s">
        <v>4425</v>
      </c>
    </row>
    <row r="192" spans="1:5">
      <c r="A192" s="258"/>
      <c r="B192" s="258"/>
      <c r="C192" s="258"/>
      <c r="D192" s="258"/>
      <c r="E192" s="265" t="s">
        <v>4426</v>
      </c>
    </row>
    <row r="193" spans="1:5">
      <c r="A193" s="258"/>
      <c r="B193" s="258"/>
      <c r="C193" s="258"/>
      <c r="D193" s="258"/>
      <c r="E193" s="265" t="s">
        <v>4427</v>
      </c>
    </row>
    <row r="194" spans="1:5">
      <c r="A194" s="258"/>
      <c r="B194" s="258"/>
      <c r="C194" s="258"/>
      <c r="D194" s="258"/>
      <c r="E194" s="265" t="s">
        <v>4446</v>
      </c>
    </row>
    <row r="195" spans="1:5">
      <c r="A195" s="258"/>
      <c r="B195" s="258"/>
      <c r="C195" s="258"/>
      <c r="D195" s="258"/>
      <c r="E195" s="258"/>
    </row>
    <row r="196" spans="1:5">
      <c r="A196" s="258"/>
      <c r="B196" s="258"/>
      <c r="C196" s="258"/>
      <c r="D196" s="258"/>
      <c r="E196" s="265" t="s">
        <v>4428</v>
      </c>
    </row>
    <row r="197" spans="1:5">
      <c r="A197" s="258"/>
      <c r="B197" s="258"/>
      <c r="C197" s="258"/>
      <c r="D197" s="258"/>
      <c r="E197" s="265" t="s">
        <v>3914</v>
      </c>
    </row>
    <row r="198" spans="1:5">
      <c r="A198" s="258"/>
      <c r="B198" s="258"/>
      <c r="C198" s="258"/>
      <c r="D198" s="258"/>
      <c r="E198" s="266" t="s">
        <v>3949</v>
      </c>
    </row>
    <row r="199" spans="1:5">
      <c r="A199" s="258"/>
      <c r="B199" s="258"/>
      <c r="C199" s="258"/>
      <c r="D199" s="258"/>
      <c r="E199" s="266" t="s">
        <v>3950</v>
      </c>
    </row>
    <row r="200" spans="1:5">
      <c r="A200" s="258"/>
      <c r="B200" s="258"/>
      <c r="C200" s="258"/>
      <c r="D200" s="258"/>
      <c r="E200" s="266" t="s">
        <v>3951</v>
      </c>
    </row>
    <row r="201" spans="1:5">
      <c r="A201" s="258"/>
      <c r="B201" s="258"/>
      <c r="C201" s="258"/>
      <c r="D201" s="258"/>
      <c r="E201" s="266" t="s">
        <v>3952</v>
      </c>
    </row>
    <row r="202" spans="1:5">
      <c r="A202" s="258"/>
      <c r="B202" s="258"/>
      <c r="C202" s="258"/>
      <c r="D202" s="258"/>
      <c r="E202" s="266" t="s">
        <v>3919</v>
      </c>
    </row>
    <row r="203" spans="1:5">
      <c r="A203" s="258"/>
      <c r="B203" s="258"/>
      <c r="C203" s="258"/>
      <c r="D203" s="258"/>
      <c r="E203" s="266" t="s">
        <v>3920</v>
      </c>
    </row>
    <row r="204" spans="1:5">
      <c r="A204" s="258"/>
      <c r="B204" s="258"/>
      <c r="C204" s="258"/>
      <c r="D204" s="258"/>
      <c r="E204" s="266" t="s">
        <v>3953</v>
      </c>
    </row>
    <row r="205" spans="1:5">
      <c r="A205" s="258"/>
      <c r="B205" s="258"/>
      <c r="C205" s="258"/>
      <c r="D205" s="258"/>
      <c r="E205" s="258"/>
    </row>
    <row r="206" spans="1:5">
      <c r="A206" s="258"/>
      <c r="B206" s="258"/>
      <c r="C206" s="258"/>
      <c r="D206" s="258"/>
      <c r="E206" s="265" t="s">
        <v>3945</v>
      </c>
    </row>
    <row r="207" spans="1:5">
      <c r="A207" s="258"/>
      <c r="B207" s="258"/>
      <c r="C207" s="258"/>
      <c r="D207" s="258"/>
      <c r="E207" s="264" t="s">
        <v>3954</v>
      </c>
    </row>
    <row r="208" spans="1:5">
      <c r="A208" s="258"/>
      <c r="B208" s="258"/>
      <c r="C208" s="258"/>
      <c r="D208" s="258"/>
      <c r="E208" s="264" t="s">
        <v>3955</v>
      </c>
    </row>
    <row r="209" spans="1:5">
      <c r="A209" s="258"/>
      <c r="B209" s="258"/>
      <c r="C209" s="258"/>
      <c r="D209" s="258"/>
      <c r="E209" s="264" t="s">
        <v>4274</v>
      </c>
    </row>
    <row r="210" spans="1:5">
      <c r="A210" s="258"/>
      <c r="B210" s="258"/>
      <c r="C210" s="258"/>
      <c r="D210" s="258"/>
      <c r="E210" s="264" t="s">
        <v>4269</v>
      </c>
    </row>
    <row r="211" spans="1:5">
      <c r="A211" s="258"/>
      <c r="B211" s="258"/>
      <c r="C211" s="258"/>
      <c r="D211" s="258"/>
      <c r="E211" s="264" t="s">
        <v>3956</v>
      </c>
    </row>
    <row r="212" spans="1:5">
      <c r="A212" s="258"/>
      <c r="B212" s="258"/>
      <c r="C212" s="258"/>
      <c r="D212" s="258"/>
      <c r="E212" s="258"/>
    </row>
    <row r="213" spans="1:5">
      <c r="A213" s="258"/>
      <c r="B213" s="258"/>
      <c r="C213" s="258"/>
      <c r="D213" s="258"/>
      <c r="E213" s="267" t="s">
        <v>3977</v>
      </c>
    </row>
    <row r="214" spans="1:5">
      <c r="A214" s="258"/>
      <c r="B214" s="258"/>
      <c r="C214" s="258"/>
      <c r="D214" s="258"/>
      <c r="E214" s="265" t="s">
        <v>4442</v>
      </c>
    </row>
    <row r="215" spans="1:5">
      <c r="A215" s="258"/>
      <c r="B215" s="258"/>
      <c r="C215" s="258"/>
      <c r="D215" s="258"/>
      <c r="E215" s="265" t="s">
        <v>4443</v>
      </c>
    </row>
    <row r="216" spans="1:5">
      <c r="A216" s="258"/>
      <c r="B216" s="258"/>
      <c r="C216" s="258"/>
      <c r="D216" s="258"/>
      <c r="E216" s="265" t="s">
        <v>4458</v>
      </c>
    </row>
    <row r="217" spans="1:5">
      <c r="A217" s="258"/>
      <c r="B217" s="258"/>
      <c r="C217" s="258"/>
      <c r="D217" s="258"/>
      <c r="E217" s="265" t="s">
        <v>4446</v>
      </c>
    </row>
    <row r="218" spans="1:5">
      <c r="A218" s="258"/>
      <c r="B218" s="258"/>
      <c r="C218" s="258"/>
      <c r="D218" s="258"/>
      <c r="E218" s="258"/>
    </row>
    <row r="219" spans="1:5">
      <c r="A219" s="258"/>
      <c r="B219" s="258"/>
      <c r="C219" s="258"/>
      <c r="D219" s="258"/>
      <c r="E219" s="265" t="s">
        <v>4454</v>
      </c>
    </row>
    <row r="220" spans="1:5">
      <c r="A220" s="258"/>
      <c r="B220" s="258"/>
      <c r="C220" s="258"/>
      <c r="D220" s="258"/>
      <c r="E220" s="265" t="s">
        <v>4448</v>
      </c>
    </row>
    <row r="221" spans="1:5">
      <c r="A221" s="258"/>
      <c r="B221" s="258"/>
      <c r="C221" s="258"/>
      <c r="D221" s="258"/>
      <c r="E221" s="258"/>
    </row>
    <row r="222" spans="1:5">
      <c r="A222" s="258"/>
      <c r="B222" s="258"/>
      <c r="C222" s="258"/>
      <c r="D222" s="258"/>
      <c r="E222" s="258" t="s">
        <v>4459</v>
      </c>
    </row>
    <row r="223" spans="1:5">
      <c r="A223" s="258"/>
      <c r="B223" s="258"/>
      <c r="C223" s="258"/>
      <c r="D223" s="258"/>
      <c r="E223" s="258" t="s">
        <v>4236</v>
      </c>
    </row>
    <row r="224" spans="1:5">
      <c r="A224" s="258"/>
      <c r="B224" s="258"/>
      <c r="C224" s="258"/>
      <c r="D224" s="258"/>
      <c r="E224" s="258" t="s">
        <v>4237</v>
      </c>
    </row>
    <row r="225" spans="1:5">
      <c r="A225" s="258"/>
      <c r="B225" s="258"/>
      <c r="C225" s="258"/>
      <c r="D225" s="258"/>
      <c r="E225" s="258" t="s">
        <v>4233</v>
      </c>
    </row>
    <row r="226" spans="1:5">
      <c r="A226" s="258"/>
      <c r="B226" s="258"/>
      <c r="C226" s="258"/>
      <c r="D226" s="258"/>
      <c r="E226" s="258" t="s">
        <v>4232</v>
      </c>
    </row>
    <row r="227" spans="1:5">
      <c r="A227" s="258"/>
      <c r="B227" s="258"/>
      <c r="C227" s="258"/>
      <c r="D227" s="258"/>
      <c r="E227" s="258"/>
    </row>
    <row r="228" spans="1:5">
      <c r="A228" s="258"/>
      <c r="B228" s="258"/>
      <c r="C228" s="258"/>
      <c r="D228" s="258"/>
      <c r="E228" s="268" t="s">
        <v>4068</v>
      </c>
    </row>
    <row r="229" spans="1:5">
      <c r="A229" s="258"/>
      <c r="B229" s="258"/>
      <c r="C229" s="258"/>
      <c r="D229" s="258"/>
      <c r="E229" s="265" t="s">
        <v>4460</v>
      </c>
    </row>
    <row r="230" spans="1:5">
      <c r="A230" s="258"/>
      <c r="B230" s="258"/>
      <c r="C230" s="258"/>
      <c r="D230" s="258"/>
      <c r="E230" s="265" t="s">
        <v>4443</v>
      </c>
    </row>
    <row r="231" spans="1:5">
      <c r="A231" s="258"/>
      <c r="B231" s="258"/>
      <c r="C231" s="258"/>
      <c r="D231" s="258"/>
      <c r="E231" s="265" t="s">
        <v>4461</v>
      </c>
    </row>
    <row r="232" spans="1:5">
      <c r="A232" s="258"/>
      <c r="B232" s="258"/>
      <c r="C232" s="258"/>
      <c r="D232" s="258"/>
      <c r="E232" s="266" t="s">
        <v>3957</v>
      </c>
    </row>
    <row r="233" spans="1:5">
      <c r="A233" s="258"/>
      <c r="B233" s="258"/>
      <c r="C233" s="258"/>
      <c r="D233" s="258"/>
      <c r="E233" s="266" t="s">
        <v>3958</v>
      </c>
    </row>
    <row r="234" spans="1:5">
      <c r="A234" s="258"/>
      <c r="B234" s="258"/>
      <c r="C234" s="258"/>
      <c r="D234" s="258"/>
      <c r="E234" s="258"/>
    </row>
    <row r="235" spans="1:5">
      <c r="A235" s="258"/>
      <c r="B235" s="258"/>
      <c r="C235" s="258"/>
      <c r="D235" s="258"/>
      <c r="E235" s="265" t="s">
        <v>3959</v>
      </c>
    </row>
    <row r="236" spans="1:5">
      <c r="A236" s="258"/>
      <c r="B236" s="258"/>
      <c r="C236" s="258"/>
      <c r="D236" s="258"/>
      <c r="E236" s="266" t="s">
        <v>35</v>
      </c>
    </row>
    <row r="237" spans="1:5">
      <c r="A237" s="258"/>
      <c r="B237" s="258"/>
      <c r="C237" s="258"/>
      <c r="D237" s="258"/>
      <c r="E237" s="266" t="s">
        <v>763</v>
      </c>
    </row>
    <row r="238" spans="1:5">
      <c r="A238" s="258"/>
      <c r="B238" s="258"/>
      <c r="C238" s="258"/>
      <c r="D238" s="258"/>
      <c r="E238" s="269" t="s">
        <v>4462</v>
      </c>
    </row>
    <row r="239" spans="1:5">
      <c r="A239" s="258"/>
      <c r="B239" s="258"/>
      <c r="C239" s="258"/>
      <c r="D239" s="258"/>
      <c r="E239" s="264"/>
    </row>
    <row r="240" spans="1:5">
      <c r="A240" s="258"/>
      <c r="B240" s="258"/>
      <c r="C240" s="258"/>
      <c r="D240" s="258"/>
      <c r="E240" s="270" t="s">
        <v>4463</v>
      </c>
    </row>
    <row r="241" spans="1:5">
      <c r="A241" s="258"/>
      <c r="B241" s="258"/>
      <c r="C241" s="258"/>
      <c r="D241" s="258"/>
      <c r="E241" s="265" t="s">
        <v>4277</v>
      </c>
    </row>
    <row r="242" spans="1:5">
      <c r="A242" s="258"/>
      <c r="B242" s="258"/>
      <c r="C242" s="258"/>
      <c r="D242" s="258"/>
      <c r="E242" s="266" t="s">
        <v>3978</v>
      </c>
    </row>
    <row r="243" spans="1:5">
      <c r="A243" s="258"/>
      <c r="B243" s="258"/>
      <c r="C243" s="258"/>
      <c r="D243" s="258"/>
      <c r="E243" s="266" t="s">
        <v>3979</v>
      </c>
    </row>
    <row r="244" spans="1:5">
      <c r="A244" s="258"/>
      <c r="B244" s="258"/>
      <c r="C244" s="258"/>
      <c r="D244" s="258"/>
      <c r="E244" s="258"/>
    </row>
    <row r="245" spans="1:5">
      <c r="A245" s="258"/>
      <c r="B245" s="258"/>
      <c r="C245" s="258"/>
      <c r="D245" s="258"/>
      <c r="E245" s="264" t="s">
        <v>4464</v>
      </c>
    </row>
    <row r="246" spans="1:5">
      <c r="A246" s="258"/>
      <c r="B246" s="258"/>
      <c r="C246" s="258"/>
      <c r="D246" s="258"/>
      <c r="E246" s="264" t="s">
        <v>3905</v>
      </c>
    </row>
    <row r="247" spans="1:5">
      <c r="A247" s="258"/>
      <c r="B247" s="258"/>
      <c r="C247" s="258"/>
      <c r="D247" s="258"/>
      <c r="E247" s="264" t="s">
        <v>3906</v>
      </c>
    </row>
    <row r="248" spans="1:5">
      <c r="A248" s="258"/>
      <c r="B248" s="258"/>
      <c r="C248" s="258"/>
      <c r="D248" s="258"/>
      <c r="E248" s="264" t="s">
        <v>3907</v>
      </c>
    </row>
    <row r="249" spans="1:5">
      <c r="A249" s="258"/>
      <c r="B249" s="258"/>
      <c r="C249" s="258"/>
      <c r="D249" s="258"/>
      <c r="E249" s="258"/>
    </row>
    <row r="250" spans="1:5">
      <c r="A250" s="258"/>
      <c r="B250" s="258"/>
      <c r="C250" s="258"/>
      <c r="D250" s="258"/>
      <c r="E250" s="260" t="s">
        <v>4280</v>
      </c>
    </row>
    <row r="251" spans="1:5">
      <c r="A251" s="258"/>
      <c r="B251" s="258"/>
      <c r="C251" s="258"/>
      <c r="D251" s="258"/>
      <c r="E251" s="265" t="s">
        <v>3980</v>
      </c>
    </row>
    <row r="252" spans="1:5">
      <c r="A252" s="258"/>
      <c r="B252" s="258"/>
      <c r="C252" s="258"/>
      <c r="D252" s="258"/>
      <c r="E252" s="258"/>
    </row>
    <row r="253" spans="1:5">
      <c r="A253" s="258"/>
      <c r="B253" s="258"/>
      <c r="C253" s="258"/>
      <c r="D253" s="258"/>
      <c r="E253" s="266" t="s">
        <v>4465</v>
      </c>
    </row>
    <row r="254" spans="1:5">
      <c r="A254" s="258"/>
      <c r="B254" s="258"/>
      <c r="C254" s="258"/>
      <c r="D254" s="258"/>
      <c r="E254" s="266" t="s">
        <v>4466</v>
      </c>
    </row>
    <row r="255" spans="1:5">
      <c r="A255" s="258"/>
      <c r="B255" s="258"/>
      <c r="C255" s="258"/>
      <c r="D255" s="258"/>
      <c r="E255" s="266" t="s">
        <v>4276</v>
      </c>
    </row>
    <row r="256" spans="1:5">
      <c r="A256" s="258"/>
      <c r="B256" s="258"/>
      <c r="C256" s="258"/>
      <c r="D256" s="258"/>
      <c r="E256" s="271" t="s">
        <v>4275</v>
      </c>
    </row>
    <row r="257" spans="1:5">
      <c r="A257" s="258"/>
      <c r="B257" s="258"/>
      <c r="C257" s="258"/>
      <c r="D257" s="258"/>
      <c r="E257" s="258"/>
    </row>
    <row r="258" spans="1:5">
      <c r="A258" s="258"/>
      <c r="B258" s="258"/>
      <c r="C258" s="258"/>
      <c r="D258" s="258"/>
      <c r="E258" s="272" t="s">
        <v>3981</v>
      </c>
    </row>
    <row r="259" spans="1:5">
      <c r="A259" s="258"/>
      <c r="B259" s="258"/>
      <c r="C259" s="258"/>
      <c r="D259" s="258"/>
      <c r="E259" s="258"/>
    </row>
    <row r="260" spans="1:5">
      <c r="A260" s="258"/>
      <c r="B260" s="258"/>
      <c r="C260" s="258"/>
      <c r="D260" s="258"/>
      <c r="E260" s="269" t="s">
        <v>3968</v>
      </c>
    </row>
    <row r="261" spans="1:5">
      <c r="A261" s="258"/>
      <c r="B261" s="258"/>
      <c r="C261" s="258"/>
      <c r="D261" s="258"/>
      <c r="E261" s="266" t="s">
        <v>4466</v>
      </c>
    </row>
    <row r="262" spans="1:5">
      <c r="A262" s="258"/>
      <c r="B262" s="258"/>
      <c r="C262" s="258"/>
      <c r="D262" s="258"/>
      <c r="E262" s="266" t="s">
        <v>4276</v>
      </c>
    </row>
    <row r="263" spans="1:5">
      <c r="A263" s="258"/>
      <c r="B263" s="258"/>
      <c r="C263" s="258"/>
      <c r="D263" s="258"/>
      <c r="E263" s="266" t="s">
        <v>4275</v>
      </c>
    </row>
    <row r="264" spans="1:5">
      <c r="A264" s="258"/>
      <c r="B264" s="258"/>
      <c r="C264" s="258"/>
      <c r="D264" s="258"/>
      <c r="E264" s="258"/>
    </row>
    <row r="265" spans="1:5">
      <c r="A265" s="258"/>
      <c r="B265" s="258"/>
      <c r="C265" s="258"/>
      <c r="D265" s="258"/>
      <c r="E265" s="258" t="s">
        <v>4467</v>
      </c>
    </row>
    <row r="266" spans="1:5">
      <c r="A266" s="258"/>
      <c r="B266" s="258"/>
      <c r="C266" s="258"/>
      <c r="D266" s="258"/>
      <c r="E266" s="258" t="s">
        <v>4238</v>
      </c>
    </row>
    <row r="267" spans="1:5">
      <c r="A267" s="258"/>
      <c r="B267" s="258"/>
      <c r="C267" s="258"/>
      <c r="D267" s="258"/>
      <c r="E267" s="258" t="s">
        <v>4239</v>
      </c>
    </row>
    <row r="268" spans="1:5">
      <c r="A268" s="258"/>
      <c r="B268" s="258"/>
      <c r="C268" s="258"/>
      <c r="D268" s="258"/>
      <c r="E268" s="258" t="s">
        <v>4240</v>
      </c>
    </row>
    <row r="269" spans="1:5">
      <c r="A269" s="258"/>
      <c r="B269" s="258"/>
      <c r="C269" s="258"/>
      <c r="D269" s="258"/>
      <c r="E269" s="258" t="s">
        <v>4241</v>
      </c>
    </row>
    <row r="270" spans="1:5">
      <c r="A270" s="258"/>
      <c r="B270" s="258"/>
      <c r="C270" s="258"/>
      <c r="D270" s="258"/>
      <c r="E270" s="258" t="s">
        <v>4242</v>
      </c>
    </row>
    <row r="271" spans="1:5">
      <c r="A271" s="258"/>
      <c r="B271" s="258"/>
      <c r="C271" s="258"/>
      <c r="D271" s="258"/>
      <c r="E271" s="258" t="s">
        <v>4243</v>
      </c>
    </row>
    <row r="272" spans="1:5">
      <c r="A272" s="258"/>
      <c r="B272" s="258"/>
      <c r="C272" s="258"/>
      <c r="D272" s="258"/>
      <c r="E272" s="258" t="s">
        <v>4244</v>
      </c>
    </row>
    <row r="273" spans="1:5">
      <c r="A273" s="258"/>
      <c r="B273" s="258"/>
      <c r="C273" s="258"/>
      <c r="D273" s="258"/>
      <c r="E273" s="258" t="s">
        <v>4245</v>
      </c>
    </row>
    <row r="274" spans="1:5">
      <c r="A274" s="258"/>
      <c r="B274" s="258"/>
      <c r="C274" s="258"/>
      <c r="D274" s="258"/>
      <c r="E274" s="258" t="s">
        <v>4246</v>
      </c>
    </row>
    <row r="275" spans="1:5">
      <c r="A275" s="258"/>
      <c r="B275" s="258"/>
      <c r="C275" s="258"/>
      <c r="D275" s="258"/>
      <c r="E275" s="264"/>
    </row>
    <row r="276" spans="1:5">
      <c r="A276" s="258"/>
      <c r="B276" s="258"/>
      <c r="C276" s="258"/>
      <c r="D276" s="258"/>
      <c r="E276" s="267" t="s">
        <v>3972</v>
      </c>
    </row>
    <row r="277" spans="1:5" ht="14.25" customHeight="1">
      <c r="A277" s="258"/>
      <c r="B277" s="258"/>
      <c r="C277" s="258"/>
      <c r="D277" s="258"/>
      <c r="E277" s="265" t="s">
        <v>4468</v>
      </c>
    </row>
    <row r="278" spans="1:5">
      <c r="A278" s="258"/>
      <c r="B278" s="258"/>
      <c r="C278" s="258"/>
      <c r="D278" s="258"/>
      <c r="E278" s="265" t="s">
        <v>4469</v>
      </c>
    </row>
    <row r="279" spans="1:5">
      <c r="A279" s="258"/>
      <c r="B279" s="258"/>
      <c r="C279" s="258"/>
      <c r="D279" s="258"/>
      <c r="E279" s="265" t="s">
        <v>4470</v>
      </c>
    </row>
    <row r="280" spans="1:5">
      <c r="A280" s="258"/>
      <c r="B280" s="258"/>
      <c r="C280" s="258"/>
      <c r="D280" s="258"/>
      <c r="E280" s="260" t="s">
        <v>3912</v>
      </c>
    </row>
    <row r="281" spans="1:5">
      <c r="A281" s="258"/>
      <c r="B281" s="258"/>
      <c r="C281" s="258"/>
      <c r="D281" s="258"/>
      <c r="E281" s="266" t="s">
        <v>3960</v>
      </c>
    </row>
    <row r="282" spans="1:5">
      <c r="A282" s="258"/>
      <c r="B282" s="258"/>
      <c r="C282" s="258"/>
      <c r="D282" s="258"/>
      <c r="E282" s="266" t="s">
        <v>35</v>
      </c>
    </row>
    <row r="283" spans="1:5">
      <c r="A283" s="258"/>
      <c r="B283" s="258"/>
      <c r="C283" s="258"/>
      <c r="D283" s="258"/>
      <c r="E283" s="266" t="s">
        <v>763</v>
      </c>
    </row>
    <row r="284" spans="1:5">
      <c r="A284" s="258"/>
      <c r="B284" s="258"/>
      <c r="C284" s="258"/>
      <c r="D284" s="258"/>
      <c r="E284" s="258"/>
    </row>
    <row r="285" spans="1:5">
      <c r="A285" s="258"/>
      <c r="B285" s="258"/>
      <c r="C285" s="258"/>
      <c r="D285" s="258"/>
      <c r="E285" s="265" t="s">
        <v>4471</v>
      </c>
    </row>
    <row r="286" spans="1:5">
      <c r="A286" s="258"/>
      <c r="B286" s="258"/>
      <c r="C286" s="258"/>
      <c r="D286" s="258"/>
      <c r="E286" s="260" t="s">
        <v>3961</v>
      </c>
    </row>
    <row r="287" spans="1:5">
      <c r="A287" s="258"/>
      <c r="B287" s="258"/>
      <c r="C287" s="258"/>
      <c r="D287" s="258"/>
      <c r="E287" s="266" t="s">
        <v>4472</v>
      </c>
    </row>
    <row r="288" spans="1:5">
      <c r="A288" s="258"/>
      <c r="B288" s="258"/>
      <c r="C288" s="258"/>
      <c r="D288" s="258"/>
      <c r="E288" s="266" t="s">
        <v>4473</v>
      </c>
    </row>
    <row r="289" spans="1:5">
      <c r="A289" s="258"/>
      <c r="B289" s="258"/>
      <c r="C289" s="258"/>
      <c r="D289" s="258"/>
      <c r="E289" s="258"/>
    </row>
    <row r="290" spans="1:5">
      <c r="A290" s="258"/>
      <c r="B290" s="258"/>
      <c r="C290" s="258"/>
      <c r="D290" s="258"/>
      <c r="E290" s="258" t="s">
        <v>4474</v>
      </c>
    </row>
    <row r="291" spans="1:5">
      <c r="A291" s="258"/>
      <c r="B291" s="258"/>
      <c r="C291" s="258"/>
      <c r="D291" s="258"/>
      <c r="E291" s="258" t="s">
        <v>4247</v>
      </c>
    </row>
    <row r="292" spans="1:5">
      <c r="A292" s="258"/>
      <c r="B292" s="258"/>
      <c r="C292" s="258"/>
      <c r="D292" s="258"/>
      <c r="E292" s="258" t="s">
        <v>4248</v>
      </c>
    </row>
    <row r="293" spans="1:5">
      <c r="A293" s="258"/>
      <c r="B293" s="258"/>
      <c r="C293" s="258"/>
      <c r="D293" s="258"/>
      <c r="E293" s="258" t="s">
        <v>4249</v>
      </c>
    </row>
    <row r="294" spans="1:5">
      <c r="A294" s="258"/>
      <c r="B294" s="258"/>
      <c r="C294" s="258"/>
      <c r="D294" s="258"/>
      <c r="E294" s="258" t="s">
        <v>4250</v>
      </c>
    </row>
    <row r="295" spans="1:5">
      <c r="A295" s="258"/>
      <c r="B295" s="258"/>
      <c r="C295" s="258"/>
      <c r="D295" s="258"/>
      <c r="E295" s="258" t="s">
        <v>4251</v>
      </c>
    </row>
    <row r="296" spans="1:5">
      <c r="A296" s="258"/>
      <c r="B296" s="258"/>
      <c r="C296" s="258"/>
      <c r="D296" s="258"/>
      <c r="E296" s="258"/>
    </row>
    <row r="297" spans="1:5">
      <c r="A297" s="258"/>
      <c r="B297" s="258"/>
      <c r="C297" s="258"/>
      <c r="D297" s="258"/>
      <c r="E297" s="260" t="s">
        <v>3962</v>
      </c>
    </row>
    <row r="298" spans="1:5">
      <c r="A298" s="258"/>
      <c r="B298" s="258"/>
      <c r="C298" s="258"/>
      <c r="D298" s="258"/>
      <c r="E298" s="265" t="s">
        <v>4475</v>
      </c>
    </row>
    <row r="299" spans="1:5">
      <c r="A299" s="258"/>
      <c r="B299" s="258"/>
      <c r="C299" s="258"/>
      <c r="D299" s="258"/>
      <c r="E299" s="265" t="s">
        <v>4476</v>
      </c>
    </row>
    <row r="300" spans="1:5">
      <c r="A300" s="258"/>
      <c r="B300" s="258"/>
      <c r="C300" s="258"/>
      <c r="D300" s="258"/>
      <c r="E300" s="265" t="s">
        <v>4477</v>
      </c>
    </row>
    <row r="301" spans="1:5">
      <c r="A301" s="258"/>
      <c r="B301" s="258"/>
      <c r="C301" s="258"/>
      <c r="D301" s="258"/>
      <c r="E301" s="265" t="s">
        <v>4478</v>
      </c>
    </row>
    <row r="302" spans="1:5">
      <c r="A302" s="258"/>
      <c r="B302" s="258"/>
      <c r="C302" s="258"/>
      <c r="D302" s="258"/>
      <c r="E302" s="264" t="s">
        <v>763</v>
      </c>
    </row>
    <row r="303" spans="1:5">
      <c r="A303" s="258"/>
      <c r="B303" s="258"/>
      <c r="C303" s="258"/>
      <c r="D303" s="258"/>
      <c r="E303" s="265" t="s">
        <v>4479</v>
      </c>
    </row>
    <row r="304" spans="1:5">
      <c r="A304" s="258"/>
      <c r="B304" s="258"/>
      <c r="C304" s="258"/>
      <c r="D304" s="258"/>
      <c r="E304" s="265" t="s">
        <v>4252</v>
      </c>
    </row>
    <row r="305" spans="1:5">
      <c r="A305" s="258"/>
      <c r="B305" s="258"/>
      <c r="C305" s="258"/>
      <c r="D305" s="258"/>
      <c r="E305" s="258"/>
    </row>
    <row r="306" spans="1:5">
      <c r="A306" s="258"/>
      <c r="B306" s="258"/>
      <c r="C306" s="258"/>
      <c r="D306" s="258"/>
      <c r="E306" s="265" t="s">
        <v>4480</v>
      </c>
    </row>
    <row r="307" spans="1:5">
      <c r="A307" s="258"/>
      <c r="B307" s="258"/>
      <c r="C307" s="258"/>
      <c r="D307" s="258"/>
      <c r="E307" s="265" t="s">
        <v>4481</v>
      </c>
    </row>
    <row r="308" spans="1:5">
      <c r="A308" s="258"/>
      <c r="B308" s="258"/>
      <c r="C308" s="258"/>
      <c r="D308" s="258"/>
      <c r="E308" s="265" t="s">
        <v>4482</v>
      </c>
    </row>
    <row r="309" spans="1:5">
      <c r="A309" s="258"/>
      <c r="B309" s="258"/>
      <c r="C309" s="258"/>
      <c r="D309" s="258"/>
      <c r="E309" s="258"/>
    </row>
    <row r="310" spans="1:5">
      <c r="A310" s="258"/>
      <c r="B310" s="258"/>
      <c r="C310" s="258"/>
      <c r="D310" s="258"/>
      <c r="E310" s="258" t="s">
        <v>4483</v>
      </c>
    </row>
    <row r="311" spans="1:5">
      <c r="A311" s="258"/>
      <c r="B311" s="258"/>
      <c r="C311" s="258"/>
      <c r="D311" s="258"/>
      <c r="E311" s="258" t="s">
        <v>4253</v>
      </c>
    </row>
    <row r="312" spans="1:5">
      <c r="A312" s="258"/>
      <c r="B312" s="258"/>
      <c r="C312" s="258"/>
      <c r="D312" s="258"/>
      <c r="E312" s="258" t="s">
        <v>4254</v>
      </c>
    </row>
    <row r="313" spans="1:5">
      <c r="A313" s="258"/>
      <c r="B313" s="258"/>
      <c r="C313" s="258"/>
      <c r="D313" s="258"/>
      <c r="E313" s="258" t="s">
        <v>4255</v>
      </c>
    </row>
    <row r="314" spans="1:5">
      <c r="A314" s="258"/>
      <c r="B314" s="258"/>
      <c r="C314" s="258"/>
      <c r="D314" s="258"/>
      <c r="E314" s="258" t="s">
        <v>4256</v>
      </c>
    </row>
    <row r="315" spans="1:5">
      <c r="A315" s="258"/>
      <c r="B315" s="258"/>
      <c r="C315" s="258"/>
      <c r="D315" s="258"/>
      <c r="E315" s="258" t="s">
        <v>4257</v>
      </c>
    </row>
    <row r="316" spans="1:5">
      <c r="A316" s="258"/>
      <c r="B316" s="258"/>
      <c r="C316" s="258"/>
      <c r="D316" s="258"/>
      <c r="E316" s="258" t="s">
        <v>4258</v>
      </c>
    </row>
    <row r="317" spans="1:5">
      <c r="A317" s="258"/>
      <c r="B317" s="258"/>
      <c r="C317" s="258"/>
      <c r="D317" s="258"/>
      <c r="E317" s="258"/>
    </row>
    <row r="318" spans="1:5">
      <c r="A318" s="258"/>
      <c r="B318" s="258"/>
      <c r="C318" s="258"/>
      <c r="D318" s="258"/>
      <c r="E318" s="267" t="s">
        <v>4282</v>
      </c>
    </row>
    <row r="319" spans="1:5">
      <c r="A319" s="258"/>
      <c r="B319" s="258"/>
      <c r="C319" s="258"/>
      <c r="D319" s="258"/>
      <c r="E319" s="265" t="s">
        <v>4484</v>
      </c>
    </row>
    <row r="320" spans="1:5">
      <c r="A320" s="258"/>
      <c r="B320" s="258"/>
      <c r="C320" s="258"/>
      <c r="D320" s="258"/>
      <c r="E320" s="265" t="s">
        <v>4485</v>
      </c>
    </row>
    <row r="321" spans="1:5">
      <c r="A321" s="258"/>
      <c r="B321" s="258"/>
      <c r="C321" s="258"/>
      <c r="D321" s="258"/>
      <c r="E321" s="265" t="s">
        <v>4486</v>
      </c>
    </row>
    <row r="322" spans="1:5">
      <c r="A322" s="258"/>
      <c r="B322" s="258"/>
      <c r="C322" s="258"/>
      <c r="D322" s="258"/>
      <c r="E322" s="260" t="s">
        <v>3912</v>
      </c>
    </row>
    <row r="323" spans="1:5">
      <c r="A323" s="258"/>
      <c r="B323" s="258"/>
      <c r="C323" s="258"/>
      <c r="D323" s="258"/>
      <c r="E323" s="266" t="s">
        <v>3960</v>
      </c>
    </row>
    <row r="324" spans="1:5">
      <c r="A324" s="258"/>
      <c r="B324" s="258"/>
      <c r="C324" s="258"/>
      <c r="D324" s="258"/>
      <c r="E324" s="266" t="s">
        <v>3963</v>
      </c>
    </row>
    <row r="325" spans="1:5" ht="15" customHeight="1">
      <c r="A325" s="258"/>
      <c r="B325" s="258"/>
      <c r="C325" s="258"/>
      <c r="D325" s="258"/>
      <c r="E325" s="266" t="s">
        <v>35</v>
      </c>
    </row>
    <row r="326" spans="1:5">
      <c r="A326" s="258"/>
      <c r="B326" s="258"/>
      <c r="C326" s="258"/>
      <c r="D326" s="258"/>
      <c r="E326" s="266" t="s">
        <v>763</v>
      </c>
    </row>
    <row r="327" spans="1:5">
      <c r="A327" s="258"/>
      <c r="B327" s="258"/>
      <c r="C327" s="258"/>
      <c r="D327" s="258"/>
      <c r="E327" s="260" t="s">
        <v>4487</v>
      </c>
    </row>
    <row r="328" spans="1:5">
      <c r="A328" s="258"/>
      <c r="B328" s="258"/>
      <c r="C328" s="258"/>
      <c r="D328" s="258"/>
      <c r="E328" s="266" t="s">
        <v>3788</v>
      </c>
    </row>
    <row r="329" spans="1:5">
      <c r="A329" s="258"/>
      <c r="B329" s="258"/>
      <c r="C329" s="258"/>
      <c r="D329" s="258"/>
      <c r="E329" s="266" t="s">
        <v>4281</v>
      </c>
    </row>
    <row r="330" spans="1:5">
      <c r="A330" s="258"/>
      <c r="B330" s="258"/>
      <c r="C330" s="258"/>
      <c r="D330" s="258"/>
      <c r="E330" s="266" t="s">
        <v>3790</v>
      </c>
    </row>
    <row r="331" spans="1:5">
      <c r="A331" s="258"/>
      <c r="B331" s="258"/>
      <c r="C331" s="258"/>
      <c r="D331" s="258"/>
      <c r="E331" s="258"/>
    </row>
    <row r="332" spans="1:5">
      <c r="A332" s="258"/>
      <c r="B332" s="258"/>
      <c r="C332" s="258"/>
      <c r="D332" s="258"/>
      <c r="E332" s="267" t="s">
        <v>4290</v>
      </c>
    </row>
    <row r="333" spans="1:5">
      <c r="A333" s="258"/>
      <c r="B333" s="258"/>
      <c r="C333" s="258"/>
      <c r="D333" s="258"/>
      <c r="E333" s="264" t="s">
        <v>3982</v>
      </c>
    </row>
    <row r="334" spans="1:5">
      <c r="A334" s="258"/>
      <c r="B334" s="258"/>
      <c r="C334" s="258"/>
      <c r="D334" s="258"/>
      <c r="E334" s="258"/>
    </row>
    <row r="335" spans="1:5">
      <c r="A335" s="258"/>
      <c r="B335" s="258"/>
      <c r="C335" s="258"/>
      <c r="D335" s="258"/>
      <c r="E335" s="260" t="s">
        <v>3983</v>
      </c>
    </row>
    <row r="336" spans="1:5">
      <c r="A336" s="258"/>
      <c r="B336" s="258"/>
      <c r="C336" s="258"/>
      <c r="D336" s="258"/>
      <c r="E336" s="266" t="s">
        <v>4488</v>
      </c>
    </row>
    <row r="337" spans="1:5">
      <c r="A337" s="258"/>
      <c r="B337" s="258"/>
      <c r="C337" s="258"/>
      <c r="D337" s="258"/>
      <c r="E337" s="258" t="s">
        <v>3990</v>
      </c>
    </row>
    <row r="338" spans="1:5">
      <c r="A338" s="258"/>
      <c r="B338" s="258"/>
      <c r="C338" s="258"/>
      <c r="D338" s="258"/>
      <c r="E338" s="266" t="s">
        <v>3984</v>
      </c>
    </row>
    <row r="339" spans="1:5">
      <c r="A339" s="258"/>
      <c r="B339" s="258"/>
      <c r="C339" s="258"/>
      <c r="D339" s="258"/>
      <c r="E339" s="266" t="s">
        <v>3985</v>
      </c>
    </row>
    <row r="340" spans="1:5">
      <c r="A340" s="258"/>
      <c r="B340" s="258"/>
      <c r="C340" s="258"/>
      <c r="D340" s="258"/>
      <c r="E340" s="258"/>
    </row>
    <row r="341" spans="1:5">
      <c r="A341" s="258"/>
      <c r="B341" s="258"/>
      <c r="C341" s="258"/>
      <c r="D341" s="258"/>
      <c r="E341" s="260" t="s">
        <v>3986</v>
      </c>
    </row>
    <row r="342" spans="1:5">
      <c r="A342" s="258"/>
      <c r="B342" s="258"/>
      <c r="C342" s="258"/>
      <c r="D342" s="258"/>
      <c r="E342" s="266" t="s">
        <v>4488</v>
      </c>
    </row>
    <row r="343" spans="1:5">
      <c r="A343" s="258"/>
      <c r="B343" s="258"/>
      <c r="C343" s="258"/>
      <c r="D343" s="258"/>
      <c r="E343" s="266" t="s">
        <v>3987</v>
      </c>
    </row>
    <row r="344" spans="1:5">
      <c r="A344" s="258"/>
      <c r="B344" s="258"/>
      <c r="C344" s="258"/>
      <c r="D344" s="258"/>
      <c r="E344" s="258" t="s">
        <v>4259</v>
      </c>
    </row>
    <row r="345" spans="1:5">
      <c r="A345" s="258"/>
      <c r="B345" s="258"/>
      <c r="C345" s="258"/>
      <c r="D345" s="258"/>
      <c r="E345" s="258" t="s">
        <v>4260</v>
      </c>
    </row>
    <row r="346" spans="1:5">
      <c r="A346" s="258"/>
      <c r="B346" s="258"/>
      <c r="C346" s="258"/>
      <c r="D346" s="258"/>
      <c r="E346" s="258" t="s">
        <v>4261</v>
      </c>
    </row>
    <row r="347" spans="1:5">
      <c r="A347" s="258"/>
      <c r="B347" s="258"/>
      <c r="C347" s="258"/>
      <c r="D347" s="258"/>
      <c r="E347" s="258"/>
    </row>
    <row r="348" spans="1:5">
      <c r="A348" s="258"/>
      <c r="B348" s="258"/>
      <c r="C348" s="258"/>
      <c r="D348" s="258"/>
      <c r="E348" s="258" t="s">
        <v>4489</v>
      </c>
    </row>
    <row r="349" spans="1:5">
      <c r="A349" s="258"/>
      <c r="B349" s="258"/>
      <c r="C349" s="258"/>
      <c r="D349" s="258"/>
      <c r="E349" s="258" t="s">
        <v>4262</v>
      </c>
    </row>
    <row r="350" spans="1:5">
      <c r="A350" s="258"/>
      <c r="B350" s="258"/>
      <c r="C350" s="258"/>
      <c r="D350" s="258"/>
      <c r="E350" s="258" t="s">
        <v>4263</v>
      </c>
    </row>
    <row r="351" spans="1:5">
      <c r="A351" s="258"/>
      <c r="B351" s="258"/>
      <c r="C351" s="258"/>
      <c r="D351" s="258"/>
      <c r="E351" s="258" t="s">
        <v>4265</v>
      </c>
    </row>
    <row r="352" spans="1:5">
      <c r="A352" s="258"/>
      <c r="B352" s="258"/>
      <c r="C352" s="258"/>
      <c r="D352" s="258"/>
      <c r="E352" s="258" t="s">
        <v>4264</v>
      </c>
    </row>
    <row r="353" spans="1:5">
      <c r="A353" s="258"/>
      <c r="B353" s="258"/>
      <c r="C353" s="258"/>
      <c r="D353" s="258"/>
      <c r="E353" s="258" t="s">
        <v>4266</v>
      </c>
    </row>
    <row r="354" spans="1:5">
      <c r="A354" s="258"/>
      <c r="B354" s="258"/>
      <c r="C354" s="258"/>
      <c r="D354" s="258"/>
      <c r="E354" s="258" t="s">
        <v>4267</v>
      </c>
    </row>
    <row r="355" spans="1:5">
      <c r="A355" s="258"/>
      <c r="B355" s="258"/>
      <c r="C355" s="258"/>
      <c r="D355" s="258"/>
      <c r="E355" s="258" t="s">
        <v>4268</v>
      </c>
    </row>
    <row r="356" spans="1:5">
      <c r="A356" s="258"/>
      <c r="B356" s="258"/>
      <c r="C356" s="258"/>
      <c r="D356" s="258"/>
      <c r="E356" s="264"/>
    </row>
    <row r="358" spans="1:5">
      <c r="E358" s="99"/>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theme="8" tint="-0.249977111117893"/>
  </sheetPr>
  <dimension ref="A1:Z48"/>
  <sheetViews>
    <sheetView showGridLines="0" zoomScaleNormal="100" workbookViewId="0"/>
  </sheetViews>
  <sheetFormatPr defaultColWidth="9.125" defaultRowHeight="15"/>
  <cols>
    <col min="1" max="1" width="109.375" style="87" customWidth="1"/>
    <col min="2" max="3" width="9.125" style="87" hidden="1" customWidth="1"/>
    <col min="4" max="4" width="6.625" style="87" hidden="1" customWidth="1"/>
    <col min="5" max="12" width="9.125" style="87" hidden="1" customWidth="1"/>
    <col min="13" max="13" width="37.875" style="87" customWidth="1"/>
    <col min="14" max="16" width="9.125" style="87" hidden="1" customWidth="1"/>
    <col min="17" max="17" width="70.375" style="87" customWidth="1"/>
    <col min="18" max="18" width="25.125" style="87" customWidth="1"/>
    <col min="19" max="19" width="0.25" style="87" customWidth="1"/>
    <col min="20" max="20" width="87.875" style="87" customWidth="1"/>
    <col min="21" max="21" width="1.75" style="87" hidden="1" customWidth="1"/>
    <col min="22" max="22" width="9.125" style="87" hidden="1" customWidth="1"/>
    <col min="23" max="23" width="30" style="87" customWidth="1"/>
    <col min="24" max="24" width="1.625" style="87" hidden="1" customWidth="1"/>
    <col min="25" max="25" width="9.125" style="87" hidden="1" customWidth="1"/>
    <col min="26" max="26" width="45.875" style="87" customWidth="1"/>
    <col min="27" max="16384" width="9.125" style="87"/>
  </cols>
  <sheetData>
    <row r="1" spans="1:26" s="52" customFormat="1" ht="30.75" customHeight="1">
      <c r="M1" s="79" t="s">
        <v>4321</v>
      </c>
    </row>
    <row r="2" spans="1:26" s="85" customFormat="1" ht="17.25" customHeight="1">
      <c r="A2" s="84" t="s">
        <v>3544</v>
      </c>
      <c r="B2" s="84"/>
      <c r="C2" s="84"/>
      <c r="D2" s="84"/>
      <c r="E2" s="84"/>
      <c r="F2" s="84"/>
      <c r="G2" s="84"/>
      <c r="H2" s="84"/>
      <c r="I2" s="84"/>
      <c r="J2" s="84"/>
      <c r="K2" s="84"/>
      <c r="L2" s="84"/>
      <c r="M2" s="84" t="s">
        <v>3545</v>
      </c>
      <c r="N2" s="84"/>
      <c r="O2" s="84"/>
      <c r="P2" s="84"/>
      <c r="Q2" s="84" t="s">
        <v>3546</v>
      </c>
      <c r="R2" s="84"/>
      <c r="S2" s="84"/>
      <c r="T2" s="84" t="s">
        <v>3547</v>
      </c>
      <c r="U2" s="84"/>
      <c r="V2" s="84"/>
      <c r="W2" s="84"/>
      <c r="X2" s="84"/>
      <c r="Y2" s="84"/>
      <c r="Z2" s="84"/>
    </row>
    <row r="3" spans="1:26" ht="21.95" customHeight="1">
      <c r="A3" s="86" t="s">
        <v>3544</v>
      </c>
      <c r="B3" s="86"/>
      <c r="C3" s="86"/>
      <c r="D3" s="86"/>
      <c r="E3" s="86"/>
      <c r="F3" s="86"/>
      <c r="G3" s="86"/>
      <c r="H3" s="86"/>
      <c r="I3" s="86"/>
      <c r="J3" s="86"/>
      <c r="K3" s="86"/>
      <c r="L3" s="86"/>
      <c r="M3" s="86" t="s">
        <v>3548</v>
      </c>
      <c r="N3" s="86"/>
      <c r="O3" s="86"/>
      <c r="P3" s="86"/>
      <c r="Q3" s="86" t="s">
        <v>3549</v>
      </c>
      <c r="R3" s="86"/>
      <c r="S3" s="86"/>
      <c r="T3" s="86" t="s">
        <v>3550</v>
      </c>
      <c r="U3" s="86"/>
      <c r="V3" s="86"/>
      <c r="W3" s="86" t="s">
        <v>3551</v>
      </c>
      <c r="X3" s="86"/>
      <c r="Y3" s="86"/>
      <c r="Z3" s="86" t="s">
        <v>3552</v>
      </c>
    </row>
    <row r="4" spans="1:26" ht="21.95" customHeight="1">
      <c r="A4" s="86" t="s">
        <v>1789</v>
      </c>
      <c r="B4" s="86"/>
      <c r="C4" s="86"/>
      <c r="D4" s="86"/>
      <c r="E4" s="86"/>
      <c r="F4" s="86"/>
      <c r="G4" s="86"/>
      <c r="H4" s="86"/>
      <c r="I4" s="86"/>
      <c r="J4" s="86"/>
      <c r="K4" s="86"/>
      <c r="L4" s="86"/>
      <c r="M4" s="86"/>
      <c r="N4" s="86"/>
      <c r="O4" s="86"/>
      <c r="P4" s="86"/>
      <c r="Q4" s="86" t="s">
        <v>3553</v>
      </c>
      <c r="R4" s="86" t="s">
        <v>3554</v>
      </c>
      <c r="S4" s="86"/>
      <c r="T4" s="86" t="s">
        <v>2311</v>
      </c>
      <c r="U4" s="86"/>
      <c r="V4" s="86"/>
      <c r="W4" s="86" t="s">
        <v>2289</v>
      </c>
      <c r="X4" s="86"/>
      <c r="Y4" s="86"/>
      <c r="Z4" s="86"/>
    </row>
    <row r="5" spans="1:26" ht="21.95" customHeight="1">
      <c r="A5" s="86" t="s">
        <v>1790</v>
      </c>
      <c r="B5" s="86"/>
      <c r="C5" s="86"/>
      <c r="D5" s="86"/>
      <c r="E5" s="86"/>
      <c r="F5" s="86"/>
      <c r="G5" s="86"/>
      <c r="H5" s="86"/>
      <c r="I5" s="86"/>
      <c r="J5" s="86"/>
      <c r="K5" s="86"/>
      <c r="L5" s="86"/>
      <c r="M5" s="86"/>
      <c r="N5" s="86"/>
      <c r="O5" s="86"/>
      <c r="P5" s="86"/>
      <c r="Q5" s="86" t="s">
        <v>3555</v>
      </c>
      <c r="R5" s="86" t="s">
        <v>3556</v>
      </c>
      <c r="S5" s="86"/>
      <c r="T5" s="86" t="s">
        <v>3557</v>
      </c>
      <c r="U5" s="86"/>
      <c r="V5" s="86"/>
      <c r="W5" s="86" t="s">
        <v>3329</v>
      </c>
      <c r="X5" s="86"/>
      <c r="Y5" s="86"/>
      <c r="Z5" s="86"/>
    </row>
    <row r="6" spans="1:26" ht="21.95" customHeight="1">
      <c r="A6" s="86" t="s">
        <v>1791</v>
      </c>
      <c r="B6" s="86"/>
      <c r="C6" s="86"/>
      <c r="D6" s="86"/>
      <c r="E6" s="86"/>
      <c r="F6" s="86"/>
      <c r="G6" s="86"/>
      <c r="H6" s="86"/>
      <c r="I6" s="86"/>
      <c r="J6" s="86"/>
      <c r="K6" s="86"/>
      <c r="L6" s="86"/>
      <c r="M6" s="86"/>
      <c r="N6" s="86"/>
      <c r="O6" s="86"/>
      <c r="P6" s="86"/>
      <c r="Q6" s="86" t="s">
        <v>3558</v>
      </c>
      <c r="R6" s="86" t="s">
        <v>3559</v>
      </c>
      <c r="S6" s="86"/>
      <c r="T6" s="86" t="s">
        <v>3560</v>
      </c>
      <c r="U6" s="86"/>
      <c r="V6" s="86"/>
      <c r="W6" s="86" t="s">
        <v>3561</v>
      </c>
      <c r="X6" s="86"/>
      <c r="Y6" s="86"/>
      <c r="Z6" s="86"/>
    </row>
    <row r="7" spans="1:26" ht="21.95" customHeight="1">
      <c r="A7" s="86" t="s">
        <v>1792</v>
      </c>
      <c r="B7" s="86"/>
      <c r="C7" s="86"/>
      <c r="D7" s="86"/>
      <c r="E7" s="86"/>
      <c r="F7" s="86"/>
      <c r="G7" s="86"/>
      <c r="H7" s="86"/>
      <c r="I7" s="86"/>
      <c r="J7" s="86"/>
      <c r="K7" s="86"/>
      <c r="L7" s="86"/>
      <c r="M7" s="86"/>
      <c r="N7" s="86"/>
      <c r="O7" s="86"/>
      <c r="P7" s="86"/>
      <c r="Q7" s="86"/>
      <c r="R7" s="86" t="s">
        <v>3562</v>
      </c>
      <c r="S7" s="86"/>
      <c r="T7" s="86"/>
      <c r="U7" s="86"/>
      <c r="V7" s="86"/>
      <c r="W7" s="86" t="s">
        <v>3563</v>
      </c>
      <c r="X7" s="86"/>
      <c r="Y7" s="86"/>
      <c r="Z7" s="86"/>
    </row>
    <row r="8" spans="1:26" ht="21.95" customHeight="1">
      <c r="A8" s="86" t="s">
        <v>1793</v>
      </c>
      <c r="B8" s="86"/>
      <c r="C8" s="86"/>
      <c r="D8" s="86"/>
      <c r="E8" s="86"/>
      <c r="F8" s="86"/>
      <c r="G8" s="86"/>
      <c r="H8" s="86"/>
      <c r="I8" s="86"/>
      <c r="J8" s="86"/>
      <c r="K8" s="86"/>
      <c r="L8" s="86"/>
      <c r="M8" s="86"/>
      <c r="N8" s="86"/>
      <c r="O8" s="86"/>
      <c r="P8" s="86"/>
      <c r="Q8" s="86"/>
      <c r="R8" s="86"/>
      <c r="S8" s="86"/>
      <c r="T8" s="86"/>
      <c r="U8" s="86"/>
      <c r="V8" s="86"/>
      <c r="W8" s="86"/>
      <c r="X8" s="86"/>
      <c r="Y8" s="86"/>
      <c r="Z8" s="86"/>
    </row>
    <row r="9" spans="1:26" ht="21.95" customHeight="1">
      <c r="A9" s="86" t="s">
        <v>1794</v>
      </c>
      <c r="B9" s="86"/>
      <c r="C9" s="86"/>
      <c r="D9" s="86"/>
      <c r="E9" s="86"/>
      <c r="F9" s="86"/>
      <c r="G9" s="86"/>
      <c r="H9" s="86"/>
      <c r="I9" s="86"/>
      <c r="J9" s="86"/>
      <c r="K9" s="86"/>
      <c r="L9" s="86"/>
      <c r="M9" s="86"/>
      <c r="N9" s="86"/>
      <c r="O9" s="86"/>
      <c r="P9" s="86"/>
      <c r="Q9" s="86" t="s">
        <v>3564</v>
      </c>
      <c r="R9" s="86"/>
      <c r="S9" s="86"/>
      <c r="T9" s="86"/>
      <c r="U9" s="86"/>
      <c r="V9" s="86"/>
      <c r="W9" s="86"/>
      <c r="X9" s="86"/>
      <c r="Y9" s="86"/>
      <c r="Z9" s="86"/>
    </row>
    <row r="10" spans="1:26" ht="21.95" customHeight="1">
      <c r="A10" s="86" t="s">
        <v>1795</v>
      </c>
      <c r="B10" s="86"/>
      <c r="C10" s="86"/>
      <c r="D10" s="86"/>
      <c r="E10" s="86"/>
      <c r="F10" s="86"/>
      <c r="G10" s="86"/>
      <c r="H10" s="86"/>
      <c r="I10" s="86"/>
      <c r="J10" s="86"/>
      <c r="K10" s="86"/>
      <c r="L10" s="86"/>
      <c r="M10" s="86"/>
      <c r="N10" s="86"/>
      <c r="O10" s="86"/>
      <c r="P10" s="86"/>
      <c r="Q10" s="86" t="s">
        <v>3565</v>
      </c>
      <c r="R10" s="86" t="s">
        <v>3566</v>
      </c>
      <c r="S10" s="86"/>
      <c r="T10" s="86"/>
      <c r="U10" s="86"/>
      <c r="V10" s="86"/>
      <c r="W10" s="86"/>
      <c r="X10" s="86"/>
      <c r="Y10" s="86"/>
      <c r="Z10" s="86"/>
    </row>
    <row r="11" spans="1:26" ht="21.95" customHeight="1">
      <c r="A11" s="86" t="s">
        <v>1796</v>
      </c>
      <c r="B11" s="86"/>
      <c r="C11" s="86"/>
      <c r="D11" s="86"/>
      <c r="E11" s="86"/>
      <c r="F11" s="86"/>
      <c r="G11" s="86"/>
      <c r="H11" s="86"/>
      <c r="I11" s="86"/>
      <c r="J11" s="86"/>
      <c r="K11" s="86"/>
      <c r="L11" s="86"/>
      <c r="M11" s="86"/>
      <c r="N11" s="86"/>
      <c r="O11" s="86"/>
      <c r="P11" s="86"/>
      <c r="Q11" s="86" t="s">
        <v>3567</v>
      </c>
      <c r="R11" s="86" t="s">
        <v>3568</v>
      </c>
      <c r="S11" s="86"/>
      <c r="T11" s="86"/>
      <c r="U11" s="86"/>
      <c r="V11" s="86"/>
      <c r="W11" s="86"/>
      <c r="X11" s="86"/>
      <c r="Y11" s="86"/>
      <c r="Z11" s="86"/>
    </row>
    <row r="12" spans="1:26" ht="21.95" customHeight="1">
      <c r="A12" s="86" t="s">
        <v>1797</v>
      </c>
      <c r="B12" s="86"/>
      <c r="C12" s="86"/>
      <c r="D12" s="86"/>
      <c r="E12" s="86"/>
      <c r="F12" s="86"/>
      <c r="G12" s="86"/>
      <c r="H12" s="86"/>
      <c r="I12" s="86"/>
      <c r="J12" s="86"/>
      <c r="K12" s="86"/>
      <c r="L12" s="86"/>
      <c r="M12" s="86"/>
      <c r="N12" s="86"/>
      <c r="O12" s="86"/>
      <c r="P12" s="86"/>
      <c r="Q12" s="86"/>
      <c r="R12" s="86" t="s">
        <v>3569</v>
      </c>
      <c r="S12" s="86"/>
      <c r="T12" s="86"/>
      <c r="U12" s="86"/>
      <c r="V12" s="86"/>
      <c r="W12" s="86"/>
      <c r="X12" s="86"/>
      <c r="Y12" s="86"/>
      <c r="Z12" s="86"/>
    </row>
    <row r="13" spans="1:26" ht="21.95" customHeight="1">
      <c r="A13" s="86" t="s">
        <v>1798</v>
      </c>
      <c r="B13" s="86"/>
      <c r="C13" s="86"/>
      <c r="D13" s="86"/>
      <c r="E13" s="86"/>
      <c r="F13" s="86"/>
      <c r="G13" s="86"/>
      <c r="H13" s="86"/>
      <c r="I13" s="86"/>
      <c r="J13" s="86"/>
      <c r="K13" s="86"/>
      <c r="L13" s="86"/>
      <c r="M13" s="86"/>
      <c r="N13" s="86"/>
      <c r="O13" s="86"/>
      <c r="P13" s="86"/>
      <c r="Q13" s="86"/>
      <c r="R13" s="86" t="s">
        <v>3570</v>
      </c>
      <c r="S13" s="86"/>
      <c r="T13" s="86"/>
      <c r="U13" s="86"/>
      <c r="V13" s="86"/>
      <c r="W13" s="86"/>
      <c r="X13" s="86"/>
      <c r="Y13" s="86"/>
      <c r="Z13" s="86"/>
    </row>
    <row r="14" spans="1:26" ht="21.95" customHeight="1">
      <c r="A14" s="86" t="s">
        <v>1799</v>
      </c>
      <c r="B14" s="86"/>
      <c r="C14" s="86"/>
      <c r="D14" s="86"/>
      <c r="E14" s="86"/>
      <c r="F14" s="86"/>
      <c r="G14" s="86"/>
      <c r="H14" s="86"/>
      <c r="I14" s="86"/>
      <c r="J14" s="86"/>
      <c r="K14" s="86"/>
      <c r="L14" s="86"/>
      <c r="M14" s="86"/>
      <c r="N14" s="86"/>
      <c r="O14" s="86"/>
      <c r="P14" s="86"/>
      <c r="Q14" s="86"/>
      <c r="R14" s="86"/>
      <c r="S14" s="86"/>
      <c r="T14" s="86"/>
      <c r="U14" s="86"/>
      <c r="V14" s="86"/>
      <c r="W14" s="86"/>
      <c r="X14" s="86"/>
      <c r="Y14" s="86"/>
      <c r="Z14" s="86"/>
    </row>
    <row r="15" spans="1:26" ht="21.95" customHeight="1">
      <c r="A15" s="86" t="s">
        <v>1800</v>
      </c>
      <c r="B15" s="86"/>
      <c r="C15" s="86"/>
      <c r="D15" s="86"/>
      <c r="E15" s="86"/>
      <c r="F15" s="86"/>
      <c r="G15" s="86"/>
      <c r="H15" s="86"/>
      <c r="I15" s="86"/>
      <c r="J15" s="86"/>
      <c r="K15" s="86"/>
      <c r="L15" s="86"/>
      <c r="M15" s="86"/>
      <c r="N15" s="86"/>
      <c r="O15" s="86"/>
      <c r="P15" s="86"/>
      <c r="Q15" s="86" t="s">
        <v>3571</v>
      </c>
      <c r="R15" s="86"/>
      <c r="S15" s="86"/>
      <c r="T15" s="86"/>
      <c r="U15" s="86"/>
      <c r="V15" s="86"/>
      <c r="W15" s="86"/>
      <c r="X15" s="86"/>
      <c r="Y15" s="86"/>
      <c r="Z15" s="86"/>
    </row>
    <row r="16" spans="1:26" ht="21.95" customHeight="1">
      <c r="A16" s="86" t="s">
        <v>1801</v>
      </c>
      <c r="B16" s="86"/>
      <c r="C16" s="86"/>
      <c r="D16" s="86"/>
      <c r="E16" s="86"/>
      <c r="F16" s="86"/>
      <c r="G16" s="86"/>
      <c r="H16" s="86"/>
      <c r="I16" s="86"/>
      <c r="J16" s="86"/>
      <c r="K16" s="86"/>
      <c r="L16" s="86"/>
      <c r="M16" s="86"/>
      <c r="N16" s="86"/>
      <c r="O16" s="86"/>
      <c r="P16" s="86"/>
      <c r="Q16" s="88" t="s">
        <v>3572</v>
      </c>
      <c r="R16" s="88" t="s">
        <v>3573</v>
      </c>
      <c r="S16" s="88"/>
      <c r="T16" s="86"/>
      <c r="U16" s="86"/>
      <c r="V16" s="86"/>
      <c r="W16" s="86"/>
      <c r="X16" s="86"/>
      <c r="Y16" s="86"/>
      <c r="Z16" s="86"/>
    </row>
    <row r="17" spans="1:26" ht="21.95" customHeight="1">
      <c r="A17" s="86" t="s">
        <v>1802</v>
      </c>
      <c r="B17" s="86"/>
      <c r="C17" s="86"/>
      <c r="D17" s="86"/>
      <c r="E17" s="86"/>
      <c r="F17" s="86"/>
      <c r="G17" s="86"/>
      <c r="H17" s="86"/>
      <c r="I17" s="86"/>
      <c r="J17" s="86"/>
      <c r="K17" s="86"/>
      <c r="L17" s="86"/>
      <c r="M17" s="86"/>
      <c r="N17" s="86"/>
      <c r="O17" s="86"/>
      <c r="P17" s="86"/>
      <c r="Q17" s="88"/>
      <c r="R17" s="88" t="s">
        <v>3574</v>
      </c>
      <c r="S17" s="88"/>
      <c r="T17" s="86"/>
      <c r="U17" s="86"/>
      <c r="V17" s="86"/>
      <c r="W17" s="86"/>
      <c r="X17" s="86"/>
      <c r="Y17" s="86"/>
      <c r="Z17" s="86"/>
    </row>
    <row r="18" spans="1:26" ht="21.95" customHeight="1">
      <c r="A18" s="86"/>
      <c r="B18" s="86"/>
      <c r="C18" s="86"/>
      <c r="D18" s="86"/>
      <c r="E18" s="86"/>
      <c r="F18" s="86"/>
      <c r="G18" s="86"/>
      <c r="H18" s="86"/>
      <c r="I18" s="86"/>
      <c r="J18" s="86"/>
      <c r="K18" s="86"/>
      <c r="L18" s="86"/>
      <c r="M18" s="86"/>
      <c r="N18" s="86"/>
      <c r="O18" s="86"/>
      <c r="P18" s="86"/>
      <c r="Q18" s="88"/>
      <c r="R18" s="88" t="s">
        <v>3575</v>
      </c>
      <c r="S18" s="88"/>
      <c r="T18" s="86"/>
      <c r="U18" s="86"/>
      <c r="V18" s="86"/>
      <c r="W18" s="86"/>
      <c r="X18" s="86"/>
      <c r="Y18" s="86"/>
      <c r="Z18" s="86"/>
    </row>
    <row r="19" spans="1:26" ht="21.95" customHeight="1">
      <c r="A19" s="89" t="s">
        <v>3576</v>
      </c>
      <c r="B19" s="88"/>
      <c r="C19" s="88"/>
      <c r="D19" s="88"/>
      <c r="E19" s="88"/>
      <c r="F19" s="88"/>
      <c r="G19" s="88"/>
      <c r="H19" s="88"/>
      <c r="I19" s="88"/>
      <c r="J19" s="88"/>
      <c r="K19" s="88"/>
      <c r="L19" s="88"/>
      <c r="M19" s="88"/>
      <c r="N19" s="86"/>
      <c r="O19" s="86"/>
      <c r="P19" s="86"/>
      <c r="Q19" s="88"/>
      <c r="R19" s="88" t="s">
        <v>3577</v>
      </c>
      <c r="S19" s="88"/>
      <c r="T19" s="88"/>
      <c r="U19" s="88"/>
      <c r="V19" s="88"/>
      <c r="W19" s="88"/>
      <c r="X19" s="86"/>
      <c r="Y19" s="86"/>
      <c r="Z19" s="86"/>
    </row>
    <row r="20" spans="1:26" ht="21.95" customHeight="1">
      <c r="A20" s="88"/>
      <c r="B20" s="88"/>
      <c r="C20" s="88"/>
      <c r="D20" s="88"/>
      <c r="E20" s="88"/>
      <c r="F20" s="88"/>
      <c r="G20" s="88"/>
      <c r="H20" s="88"/>
      <c r="I20" s="88"/>
      <c r="J20" s="88"/>
      <c r="K20" s="88"/>
      <c r="L20" s="88"/>
      <c r="M20" s="88"/>
      <c r="N20" s="86"/>
      <c r="O20" s="86"/>
      <c r="P20" s="86"/>
      <c r="Q20" s="88"/>
      <c r="R20" s="88" t="s">
        <v>3578</v>
      </c>
      <c r="S20" s="88"/>
      <c r="T20" s="88"/>
      <c r="U20" s="88"/>
      <c r="V20" s="88"/>
      <c r="W20" s="88"/>
      <c r="X20" s="86"/>
      <c r="Y20" s="86"/>
      <c r="Z20" s="86"/>
    </row>
    <row r="21" spans="1:26" ht="21.95" customHeight="1">
      <c r="A21" s="88" t="s">
        <v>3579</v>
      </c>
      <c r="B21" s="88"/>
      <c r="C21" s="88"/>
      <c r="D21" s="88"/>
      <c r="E21" s="88"/>
      <c r="F21" s="88"/>
      <c r="G21" s="88"/>
      <c r="H21" s="88"/>
      <c r="I21" s="88"/>
      <c r="J21" s="88"/>
      <c r="K21" s="88"/>
      <c r="L21" s="88"/>
      <c r="M21" s="88"/>
      <c r="N21" s="86"/>
      <c r="O21" s="86"/>
      <c r="P21" s="86"/>
      <c r="Q21" s="88"/>
      <c r="R21" s="88"/>
      <c r="S21" s="88"/>
      <c r="T21" s="88"/>
      <c r="U21" s="88"/>
      <c r="V21" s="88"/>
      <c r="W21" s="88"/>
      <c r="X21" s="86"/>
      <c r="Y21" s="86"/>
      <c r="Z21" s="86"/>
    </row>
    <row r="22" spans="1:26" ht="21.95" customHeight="1">
      <c r="A22" s="88" t="s">
        <v>3580</v>
      </c>
      <c r="B22" s="88"/>
      <c r="C22" s="88"/>
      <c r="D22" s="88"/>
      <c r="E22" s="88"/>
      <c r="F22" s="88"/>
      <c r="G22" s="88"/>
      <c r="H22" s="88"/>
      <c r="I22" s="88"/>
      <c r="J22" s="88"/>
      <c r="K22" s="88"/>
      <c r="L22" s="88"/>
      <c r="M22" s="88"/>
      <c r="N22" s="86"/>
      <c r="O22" s="86"/>
      <c r="P22" s="86"/>
      <c r="Q22" s="88" t="s">
        <v>3581</v>
      </c>
      <c r="R22" s="88"/>
      <c r="S22" s="88"/>
      <c r="T22" s="88"/>
      <c r="U22" s="88"/>
      <c r="V22" s="88"/>
      <c r="W22" s="88"/>
      <c r="X22" s="86"/>
      <c r="Y22" s="86"/>
      <c r="Z22" s="86"/>
    </row>
    <row r="23" spans="1:26" ht="21.95" customHeight="1">
      <c r="A23" s="88" t="s">
        <v>3582</v>
      </c>
      <c r="B23" s="88"/>
      <c r="C23" s="88"/>
      <c r="D23" s="88"/>
      <c r="E23" s="88"/>
      <c r="F23" s="88"/>
      <c r="G23" s="88"/>
      <c r="H23" s="88"/>
      <c r="I23" s="88"/>
      <c r="J23" s="88"/>
      <c r="K23" s="88"/>
      <c r="L23" s="88"/>
      <c r="M23" s="88"/>
      <c r="N23" s="86"/>
      <c r="O23" s="86"/>
      <c r="P23" s="86"/>
      <c r="Q23" s="88" t="s">
        <v>3583</v>
      </c>
      <c r="R23" s="88" t="s">
        <v>3584</v>
      </c>
      <c r="S23" s="88"/>
      <c r="T23" s="88"/>
      <c r="U23" s="88"/>
      <c r="V23" s="88"/>
      <c r="W23" s="88"/>
      <c r="X23" s="86"/>
      <c r="Y23" s="86"/>
      <c r="Z23" s="86"/>
    </row>
    <row r="24" spans="1:26" ht="21.95" customHeight="1">
      <c r="A24" s="88" t="s">
        <v>3585</v>
      </c>
      <c r="B24" s="88"/>
      <c r="C24" s="88"/>
      <c r="D24" s="88"/>
      <c r="E24" s="88"/>
      <c r="F24" s="88"/>
      <c r="G24" s="88"/>
      <c r="H24" s="88"/>
      <c r="I24" s="88"/>
      <c r="J24" s="88"/>
      <c r="K24" s="88"/>
      <c r="L24" s="88"/>
      <c r="M24" s="88"/>
      <c r="N24" s="86"/>
      <c r="O24" s="86"/>
      <c r="P24" s="86"/>
      <c r="Q24" s="88" t="s">
        <v>3586</v>
      </c>
      <c r="R24" s="88" t="s">
        <v>3587</v>
      </c>
      <c r="S24" s="88"/>
      <c r="T24" s="88"/>
      <c r="U24" s="88"/>
      <c r="V24" s="88"/>
      <c r="W24" s="88"/>
      <c r="X24" s="86"/>
      <c r="Y24" s="86"/>
      <c r="Z24" s="86"/>
    </row>
    <row r="25" spans="1:26" ht="21.95" customHeight="1">
      <c r="A25" s="88" t="s">
        <v>3588</v>
      </c>
      <c r="B25" s="88"/>
      <c r="C25" s="88"/>
      <c r="D25" s="88"/>
      <c r="E25" s="88"/>
      <c r="F25" s="88"/>
      <c r="G25" s="88"/>
      <c r="H25" s="88"/>
      <c r="I25" s="88"/>
      <c r="J25" s="88"/>
      <c r="K25" s="88"/>
      <c r="L25" s="88"/>
      <c r="M25" s="88"/>
      <c r="N25" s="86"/>
      <c r="O25" s="86"/>
      <c r="P25" s="86"/>
      <c r="Q25" s="86" t="s">
        <v>3589</v>
      </c>
      <c r="R25" s="86" t="s">
        <v>3590</v>
      </c>
      <c r="S25" s="86"/>
      <c r="T25" s="88"/>
      <c r="U25" s="88"/>
      <c r="V25" s="88"/>
      <c r="W25" s="88"/>
      <c r="X25" s="86"/>
      <c r="Y25" s="86"/>
      <c r="Z25" s="86"/>
    </row>
    <row r="26" spans="1:26" ht="21.95" customHeight="1">
      <c r="A26" s="88" t="s">
        <v>3591</v>
      </c>
      <c r="B26" s="88"/>
      <c r="C26" s="88"/>
      <c r="D26" s="88"/>
      <c r="E26" s="88"/>
      <c r="F26" s="88"/>
      <c r="G26" s="88"/>
      <c r="H26" s="88"/>
      <c r="I26" s="88"/>
      <c r="J26" s="88"/>
      <c r="K26" s="88"/>
      <c r="L26" s="88"/>
      <c r="M26" s="88"/>
      <c r="N26" s="86"/>
      <c r="O26" s="86"/>
      <c r="P26" s="86"/>
      <c r="Q26" s="88" t="s">
        <v>3592</v>
      </c>
      <c r="R26" s="88" t="s">
        <v>3593</v>
      </c>
      <c r="S26" s="86"/>
      <c r="T26" s="88"/>
      <c r="U26" s="88"/>
      <c r="V26" s="88"/>
      <c r="W26" s="88"/>
      <c r="X26" s="86"/>
      <c r="Y26" s="86"/>
      <c r="Z26" s="86"/>
    </row>
    <row r="27" spans="1:26" ht="21.95" customHeight="1">
      <c r="A27" s="88" t="s">
        <v>3594</v>
      </c>
      <c r="B27" s="88"/>
      <c r="C27" s="88"/>
      <c r="D27" s="88"/>
      <c r="E27" s="88"/>
      <c r="F27" s="88"/>
      <c r="G27" s="88"/>
      <c r="H27" s="88"/>
      <c r="I27" s="88"/>
      <c r="J27" s="88"/>
      <c r="K27" s="88"/>
      <c r="L27" s="88"/>
      <c r="M27" s="88"/>
      <c r="N27" s="86"/>
      <c r="O27" s="86"/>
      <c r="P27" s="86"/>
      <c r="Q27" s="88"/>
      <c r="R27" s="88"/>
      <c r="S27" s="88"/>
      <c r="T27" s="88"/>
      <c r="U27" s="88"/>
      <c r="V27" s="88"/>
      <c r="W27" s="88"/>
      <c r="X27" s="86"/>
      <c r="Y27" s="86"/>
      <c r="Z27" s="86"/>
    </row>
    <row r="28" spans="1:26" ht="21.95" customHeight="1">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35.25" customHeight="1">
      <c r="A29" s="86"/>
      <c r="B29" s="86"/>
      <c r="C29" s="86"/>
      <c r="D29" s="86"/>
      <c r="E29" s="86"/>
      <c r="F29" s="86"/>
      <c r="G29" s="86"/>
      <c r="H29" s="86"/>
      <c r="I29" s="86"/>
      <c r="J29" s="86"/>
      <c r="K29" s="86"/>
      <c r="L29" s="86"/>
      <c r="M29" s="86"/>
      <c r="N29" s="86"/>
      <c r="O29" s="86"/>
      <c r="P29" s="86"/>
      <c r="Q29" s="86" t="s">
        <v>3595</v>
      </c>
      <c r="R29" s="86"/>
      <c r="S29" s="86"/>
      <c r="T29" s="86"/>
      <c r="U29" s="86"/>
      <c r="V29" s="86"/>
      <c r="W29" s="86"/>
      <c r="X29" s="86"/>
      <c r="Y29" s="86"/>
      <c r="Z29" s="86"/>
    </row>
    <row r="30" spans="1:26" ht="30" customHeight="1">
      <c r="A30" s="86" t="s">
        <v>3596</v>
      </c>
      <c r="B30" s="86"/>
      <c r="C30" s="86"/>
      <c r="D30" s="86"/>
      <c r="E30" s="86"/>
      <c r="F30" s="86"/>
      <c r="G30" s="86"/>
      <c r="H30" s="86"/>
      <c r="I30" s="86"/>
      <c r="J30" s="86"/>
      <c r="K30" s="86"/>
      <c r="L30" s="86"/>
      <c r="M30" s="86"/>
      <c r="N30" s="86"/>
      <c r="O30" s="86"/>
      <c r="P30" s="86"/>
      <c r="Q30" s="86" t="s">
        <v>3597</v>
      </c>
      <c r="R30" s="86"/>
      <c r="S30" s="86"/>
      <c r="T30" s="86"/>
      <c r="U30" s="86"/>
      <c r="V30" s="86"/>
      <c r="W30" s="86"/>
      <c r="X30" s="86"/>
      <c r="Y30" s="86"/>
      <c r="Z30" s="86"/>
    </row>
    <row r="31" spans="1:26" ht="32.25" customHeight="1">
      <c r="A31" s="86" t="s">
        <v>3598</v>
      </c>
      <c r="B31" s="86"/>
      <c r="C31" s="86"/>
      <c r="D31" s="86"/>
      <c r="E31" s="86"/>
      <c r="F31" s="86"/>
      <c r="G31" s="86"/>
      <c r="H31" s="86"/>
      <c r="I31" s="86"/>
      <c r="J31" s="86"/>
      <c r="K31" s="86"/>
      <c r="L31" s="86"/>
      <c r="M31" s="86"/>
      <c r="N31" s="86"/>
      <c r="O31" s="86"/>
      <c r="P31" s="86"/>
      <c r="Q31" s="86" t="s">
        <v>3599</v>
      </c>
      <c r="R31" s="86"/>
      <c r="S31" s="86"/>
      <c r="T31" s="86"/>
      <c r="U31" s="86"/>
      <c r="V31" s="86"/>
      <c r="W31" s="86"/>
      <c r="X31" s="86"/>
      <c r="Y31" s="86"/>
      <c r="Z31" s="86"/>
    </row>
    <row r="32" spans="1:26" ht="31.5" customHeight="1">
      <c r="A32" s="86"/>
      <c r="B32" s="86"/>
      <c r="C32" s="86"/>
      <c r="D32" s="86"/>
      <c r="E32" s="86"/>
      <c r="F32" s="86"/>
      <c r="G32" s="86"/>
      <c r="H32" s="86"/>
      <c r="I32" s="86"/>
      <c r="J32" s="86"/>
      <c r="K32" s="86"/>
      <c r="L32" s="86"/>
      <c r="M32" s="86"/>
      <c r="N32" s="86"/>
      <c r="O32" s="86"/>
      <c r="P32" s="86"/>
      <c r="Q32" s="86" t="s">
        <v>3600</v>
      </c>
      <c r="R32" s="86"/>
      <c r="S32" s="86"/>
      <c r="T32" s="86"/>
      <c r="U32" s="86"/>
      <c r="V32" s="86"/>
      <c r="W32" s="86"/>
      <c r="X32" s="86"/>
      <c r="Y32" s="86"/>
      <c r="Z32" s="86"/>
    </row>
    <row r="33" spans="1:26" ht="21.95" customHeight="1">
      <c r="A33" s="86" t="s">
        <v>3601</v>
      </c>
      <c r="B33" s="86"/>
      <c r="C33" s="86"/>
      <c r="D33" s="86"/>
      <c r="E33" s="86"/>
      <c r="F33" s="86"/>
      <c r="G33" s="86"/>
      <c r="H33" s="86"/>
      <c r="I33" s="86"/>
      <c r="J33" s="86"/>
      <c r="K33" s="86"/>
      <c r="L33" s="86"/>
      <c r="M33" s="86"/>
      <c r="N33" s="86"/>
      <c r="O33" s="86"/>
      <c r="P33" s="86"/>
      <c r="Q33" s="86" t="s">
        <v>3602</v>
      </c>
      <c r="R33" s="86"/>
      <c r="S33" s="86"/>
      <c r="T33" s="86"/>
      <c r="U33" s="86"/>
      <c r="V33" s="86"/>
      <c r="W33" s="86"/>
      <c r="X33" s="86"/>
      <c r="Y33" s="86"/>
      <c r="Z33" s="86"/>
    </row>
    <row r="34" spans="1:26" ht="21.95" customHeight="1">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row>
    <row r="35" spans="1:26" ht="21.95" customHeight="1">
      <c r="A35" s="90" t="s">
        <v>3603</v>
      </c>
      <c r="B35" s="90"/>
      <c r="C35" s="90"/>
      <c r="D35" s="90"/>
      <c r="E35" s="90"/>
      <c r="F35" s="90"/>
      <c r="G35" s="90"/>
      <c r="H35" s="90"/>
      <c r="I35" s="90"/>
      <c r="J35" s="90"/>
      <c r="K35" s="90"/>
      <c r="L35" s="90"/>
      <c r="M35" s="90"/>
      <c r="N35" s="90"/>
      <c r="O35" s="90"/>
      <c r="P35" s="90"/>
      <c r="Q35" s="90" t="s">
        <v>3604</v>
      </c>
      <c r="R35" s="90"/>
      <c r="S35" s="90"/>
      <c r="T35" s="90"/>
      <c r="U35" s="90"/>
      <c r="V35" s="90"/>
      <c r="W35" s="90"/>
      <c r="X35" s="90"/>
      <c r="Y35" s="90"/>
      <c r="Z35" s="90"/>
    </row>
    <row r="36" spans="1:26" ht="30" customHeight="1">
      <c r="A36" s="88"/>
      <c r="B36" s="86"/>
      <c r="C36" s="86"/>
      <c r="D36" s="86"/>
      <c r="E36" s="86"/>
      <c r="F36" s="86"/>
      <c r="G36" s="86"/>
      <c r="H36" s="86"/>
      <c r="I36" s="86"/>
      <c r="J36" s="86"/>
      <c r="K36" s="86"/>
      <c r="L36" s="86"/>
      <c r="M36" s="86"/>
      <c r="N36" s="86"/>
      <c r="O36" s="86"/>
      <c r="P36" s="86"/>
      <c r="Q36" s="86" t="s">
        <v>3605</v>
      </c>
      <c r="R36" s="86"/>
      <c r="S36" s="86"/>
      <c r="T36" s="86"/>
      <c r="U36" s="86"/>
      <c r="V36" s="86"/>
      <c r="W36" s="86"/>
      <c r="X36" s="86"/>
      <c r="Y36" s="86"/>
      <c r="Z36" s="86"/>
    </row>
    <row r="37" spans="1:26" ht="32.25" customHeight="1">
      <c r="A37" s="89" t="s">
        <v>3606</v>
      </c>
      <c r="B37" s="86"/>
      <c r="C37" s="86"/>
      <c r="D37" s="86"/>
      <c r="E37" s="86"/>
      <c r="F37" s="86"/>
      <c r="G37" s="86"/>
      <c r="H37" s="86"/>
      <c r="I37" s="86"/>
      <c r="J37" s="86"/>
      <c r="K37" s="86"/>
      <c r="L37" s="86"/>
      <c r="M37" s="86"/>
      <c r="N37" s="86"/>
      <c r="O37" s="86"/>
      <c r="P37" s="86"/>
      <c r="Q37" s="86" t="s">
        <v>3607</v>
      </c>
      <c r="R37" s="86"/>
      <c r="S37" s="86"/>
      <c r="T37" s="86"/>
      <c r="U37" s="86"/>
      <c r="V37" s="86"/>
      <c r="W37" s="86"/>
      <c r="X37" s="86"/>
      <c r="Y37" s="86"/>
      <c r="Z37" s="86"/>
    </row>
    <row r="38" spans="1:26" ht="30.75" customHeight="1">
      <c r="A38" s="88" t="s">
        <v>3608</v>
      </c>
      <c r="B38" s="86"/>
      <c r="C38" s="86"/>
      <c r="D38" s="86"/>
      <c r="E38" s="86"/>
      <c r="F38" s="86"/>
      <c r="G38" s="86"/>
      <c r="H38" s="86"/>
      <c r="I38" s="86"/>
      <c r="J38" s="86"/>
      <c r="K38" s="86"/>
      <c r="L38" s="86"/>
      <c r="M38" s="86"/>
      <c r="N38" s="86"/>
      <c r="O38" s="86"/>
      <c r="P38" s="86"/>
      <c r="Q38" s="86" t="s">
        <v>3609</v>
      </c>
      <c r="R38" s="86"/>
      <c r="S38" s="86"/>
      <c r="T38" s="86"/>
      <c r="U38" s="86"/>
      <c r="V38" s="86"/>
      <c r="W38" s="86"/>
      <c r="X38" s="86"/>
      <c r="Y38" s="86"/>
      <c r="Z38" s="86"/>
    </row>
    <row r="39" spans="1:26" ht="21.95" customHeight="1">
      <c r="A39" s="88" t="s">
        <v>3610</v>
      </c>
      <c r="B39" s="86"/>
      <c r="C39" s="86"/>
      <c r="D39" s="86"/>
      <c r="E39" s="86"/>
      <c r="F39" s="86"/>
      <c r="G39" s="86"/>
      <c r="H39" s="86"/>
      <c r="I39" s="86"/>
      <c r="J39" s="86"/>
      <c r="K39" s="86"/>
      <c r="L39" s="86"/>
      <c r="M39" s="86"/>
      <c r="N39" s="86"/>
      <c r="O39" s="86"/>
      <c r="P39" s="86"/>
      <c r="Q39" s="86" t="s">
        <v>3611</v>
      </c>
      <c r="R39" s="86"/>
      <c r="S39" s="86"/>
      <c r="T39" s="86"/>
      <c r="U39" s="86"/>
      <c r="V39" s="86"/>
      <c r="W39" s="86"/>
      <c r="X39" s="86"/>
      <c r="Y39" s="86"/>
      <c r="Z39" s="86"/>
    </row>
    <row r="40" spans="1:26" ht="28.5" customHeight="1">
      <c r="A40" s="88" t="s">
        <v>3612</v>
      </c>
      <c r="B40" s="86"/>
      <c r="C40" s="86"/>
      <c r="D40" s="86"/>
      <c r="E40" s="86"/>
      <c r="F40" s="86"/>
      <c r="G40" s="86"/>
      <c r="H40" s="86"/>
      <c r="I40" s="86"/>
      <c r="J40" s="86"/>
      <c r="K40" s="86"/>
      <c r="L40" s="86"/>
      <c r="M40" s="86"/>
      <c r="N40" s="86"/>
      <c r="O40" s="86"/>
      <c r="P40" s="86"/>
      <c r="Q40" s="86" t="s">
        <v>3613</v>
      </c>
      <c r="R40" s="86"/>
      <c r="S40" s="86"/>
      <c r="T40" s="86"/>
      <c r="U40" s="86"/>
      <c r="V40" s="86"/>
      <c r="W40" s="86"/>
      <c r="X40" s="86"/>
      <c r="Y40" s="86"/>
      <c r="Z40" s="86"/>
    </row>
    <row r="41" spans="1:26" ht="29.25" customHeight="1">
      <c r="A41" s="88" t="s">
        <v>3614</v>
      </c>
      <c r="B41" s="86"/>
      <c r="C41" s="86"/>
      <c r="D41" s="86"/>
      <c r="E41" s="86"/>
      <c r="F41" s="86"/>
      <c r="G41" s="86"/>
      <c r="H41" s="86"/>
      <c r="I41" s="86"/>
      <c r="J41" s="86"/>
      <c r="K41" s="86"/>
      <c r="L41" s="86"/>
      <c r="M41" s="86"/>
      <c r="N41" s="86"/>
      <c r="O41" s="86"/>
      <c r="P41" s="86"/>
      <c r="Q41" s="86" t="s">
        <v>3615</v>
      </c>
      <c r="R41" s="86"/>
      <c r="S41" s="86"/>
      <c r="T41" s="86"/>
      <c r="U41" s="86"/>
      <c r="V41" s="86"/>
      <c r="W41" s="86"/>
      <c r="X41" s="86"/>
      <c r="Y41" s="86"/>
      <c r="Z41" s="86"/>
    </row>
    <row r="42" spans="1:26" ht="21.95" customHeight="1">
      <c r="A42" s="88" t="s">
        <v>3616</v>
      </c>
      <c r="B42" s="86"/>
      <c r="C42" s="86"/>
      <c r="D42" s="86"/>
      <c r="E42" s="86"/>
      <c r="F42" s="86"/>
      <c r="G42" s="86"/>
      <c r="H42" s="86"/>
      <c r="I42" s="86"/>
      <c r="J42" s="86"/>
      <c r="K42" s="86"/>
      <c r="L42" s="86"/>
      <c r="M42" s="86"/>
      <c r="N42" s="86"/>
      <c r="O42" s="86"/>
      <c r="P42" s="86"/>
      <c r="Q42" s="86"/>
      <c r="R42" s="86"/>
      <c r="S42" s="86"/>
      <c r="T42" s="86"/>
      <c r="U42" s="86"/>
      <c r="V42" s="86"/>
      <c r="W42" s="86"/>
      <c r="X42" s="86"/>
      <c r="Y42" s="86"/>
      <c r="Z42" s="86"/>
    </row>
    <row r="43" spans="1:26" ht="21.95" customHeight="1">
      <c r="A43" s="88" t="s">
        <v>3617</v>
      </c>
      <c r="B43" s="86"/>
      <c r="C43" s="86"/>
      <c r="D43" s="86"/>
      <c r="E43" s="86"/>
      <c r="F43" s="86"/>
      <c r="G43" s="86"/>
      <c r="H43" s="86"/>
      <c r="I43" s="86"/>
      <c r="J43" s="86"/>
      <c r="K43" s="86"/>
      <c r="L43" s="86"/>
      <c r="M43" s="86"/>
      <c r="N43" s="86"/>
      <c r="O43" s="86"/>
      <c r="P43" s="86"/>
      <c r="Q43" s="91" t="s">
        <v>3618</v>
      </c>
      <c r="R43" s="86"/>
      <c r="S43" s="86"/>
      <c r="T43" s="86"/>
      <c r="U43" s="86"/>
      <c r="V43" s="86"/>
      <c r="W43" s="86"/>
      <c r="X43" s="86"/>
      <c r="Y43" s="86"/>
      <c r="Z43" s="86"/>
    </row>
    <row r="44" spans="1:26" ht="21.95" customHeight="1">
      <c r="A44" s="88" t="s">
        <v>3619</v>
      </c>
      <c r="B44" s="86"/>
      <c r="C44" s="86"/>
      <c r="D44" s="86"/>
      <c r="E44" s="86"/>
      <c r="F44" s="86"/>
      <c r="G44" s="86"/>
      <c r="H44" s="86"/>
      <c r="I44" s="86"/>
      <c r="J44" s="86"/>
      <c r="K44" s="86"/>
      <c r="L44" s="86"/>
      <c r="M44" s="86"/>
      <c r="N44" s="86"/>
      <c r="O44" s="86"/>
      <c r="P44" s="86"/>
      <c r="Q44" s="86" t="s">
        <v>3620</v>
      </c>
      <c r="R44" s="86"/>
      <c r="S44" s="86"/>
      <c r="T44" s="86"/>
      <c r="U44" s="86"/>
      <c r="V44" s="86"/>
      <c r="W44" s="86"/>
      <c r="X44" s="86"/>
      <c r="Y44" s="86"/>
      <c r="Z44" s="86"/>
    </row>
    <row r="45" spans="1:26" ht="39" customHeight="1">
      <c r="A45" s="88" t="s">
        <v>3621</v>
      </c>
      <c r="B45" s="86"/>
      <c r="C45" s="86"/>
      <c r="D45" s="86"/>
      <c r="E45" s="86"/>
      <c r="F45" s="86"/>
      <c r="G45" s="86"/>
      <c r="H45" s="86"/>
      <c r="I45" s="86"/>
      <c r="J45" s="86"/>
      <c r="K45" s="86"/>
      <c r="L45" s="86"/>
      <c r="M45" s="86"/>
      <c r="N45" s="86"/>
      <c r="O45" s="86"/>
      <c r="P45" s="86"/>
      <c r="Q45" s="86" t="s">
        <v>3622</v>
      </c>
      <c r="R45" s="86"/>
      <c r="S45" s="86"/>
      <c r="T45" s="86"/>
      <c r="U45" s="86"/>
      <c r="V45" s="86"/>
      <c r="W45" s="86"/>
      <c r="X45" s="86"/>
      <c r="Y45" s="86"/>
      <c r="Z45" s="86"/>
    </row>
    <row r="46" spans="1:26" ht="28.5" customHeight="1">
      <c r="A46" s="86"/>
      <c r="B46" s="86"/>
      <c r="C46" s="86"/>
      <c r="D46" s="86"/>
      <c r="E46" s="86"/>
      <c r="F46" s="86"/>
      <c r="G46" s="86"/>
      <c r="H46" s="86"/>
      <c r="I46" s="86"/>
      <c r="J46" s="86"/>
      <c r="K46" s="86"/>
      <c r="L46" s="86"/>
      <c r="M46" s="86"/>
      <c r="N46" s="86"/>
      <c r="O46" s="86"/>
      <c r="P46" s="86"/>
      <c r="Q46" s="86" t="s">
        <v>3623</v>
      </c>
      <c r="R46" s="86"/>
      <c r="S46" s="86"/>
      <c r="T46" s="86"/>
      <c r="U46" s="86"/>
      <c r="V46" s="86"/>
      <c r="W46" s="86"/>
      <c r="X46" s="86"/>
      <c r="Y46" s="86"/>
      <c r="Z46" s="86"/>
    </row>
    <row r="47" spans="1:26" ht="27.75" customHeight="1">
      <c r="A47" s="86"/>
      <c r="B47" s="86"/>
      <c r="C47" s="86"/>
      <c r="D47" s="86"/>
      <c r="E47" s="86"/>
      <c r="F47" s="86"/>
      <c r="G47" s="86"/>
      <c r="H47" s="86"/>
      <c r="I47" s="86"/>
      <c r="J47" s="86"/>
      <c r="K47" s="86"/>
      <c r="L47" s="86"/>
      <c r="M47" s="86"/>
      <c r="N47" s="86"/>
      <c r="O47" s="86"/>
      <c r="P47" s="86"/>
      <c r="Q47" s="86" t="s">
        <v>3624</v>
      </c>
      <c r="R47" s="86"/>
      <c r="S47" s="86"/>
      <c r="T47" s="86"/>
      <c r="U47" s="86"/>
      <c r="V47" s="86"/>
      <c r="W47" s="86"/>
      <c r="X47" s="86"/>
      <c r="Y47" s="86"/>
      <c r="Z47" s="86"/>
    </row>
    <row r="48" spans="1:26" ht="21.95" customHeight="1">
      <c r="A48" s="86"/>
      <c r="B48" s="86"/>
      <c r="C48" s="86"/>
      <c r="D48" s="86"/>
      <c r="E48" s="86"/>
      <c r="F48" s="86"/>
      <c r="G48" s="86"/>
      <c r="H48" s="86"/>
      <c r="I48" s="86"/>
      <c r="J48" s="86"/>
      <c r="K48" s="86"/>
      <c r="L48" s="86"/>
      <c r="M48" s="86"/>
      <c r="N48" s="86"/>
      <c r="O48" s="86"/>
      <c r="P48" s="86"/>
      <c r="Q48" s="86" t="s">
        <v>3625</v>
      </c>
      <c r="R48" s="86"/>
      <c r="S48" s="86"/>
      <c r="T48" s="86"/>
      <c r="U48" s="86"/>
      <c r="V48" s="86"/>
      <c r="W48" s="86"/>
      <c r="X48" s="86"/>
      <c r="Y48" s="86"/>
      <c r="Z48" s="86"/>
    </row>
  </sheetData>
  <hyperlinks>
    <hyperlink ref="A4" r:id="rId1" xr:uid="{00000000-0004-0000-1C00-000000000000}"/>
    <hyperlink ref="A15" r:id="rId2" xr:uid="{00000000-0004-0000-1C00-000001000000}"/>
    <hyperlink ref="A16" r:id="rId3" xr:uid="{00000000-0004-0000-1C00-000002000000}"/>
    <hyperlink ref="Q29" location="Literature_Log!Q28" display="https://journals.sagepub.com/doi/10.1177/00333549241245624?url_ver=Z39.88-2003&amp;rfr_id=ori:rid:crossref.org&amp;rfr_dat=cr_pub%20%200pubmed" xr:uid="{00000000-0004-0000-1C00-000003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tabColor rgb="FF4A2D75"/>
  </sheetPr>
  <dimension ref="A1:O42"/>
  <sheetViews>
    <sheetView showGridLines="0" workbookViewId="0"/>
  </sheetViews>
  <sheetFormatPr defaultColWidth="9.125" defaultRowHeight="15"/>
  <cols>
    <col min="1" max="1" width="255" style="59" customWidth="1"/>
    <col min="2" max="16384" width="9.125" style="59"/>
  </cols>
  <sheetData>
    <row r="1" spans="1:15" s="80" customFormat="1" ht="30.75" customHeight="1">
      <c r="A1" s="79" t="s">
        <v>4322</v>
      </c>
    </row>
    <row r="2" spans="1:15" s="61" customFormat="1">
      <c r="A2" s="81" t="s">
        <v>3626</v>
      </c>
      <c r="B2" s="81"/>
      <c r="C2" s="81"/>
      <c r="D2" s="81"/>
      <c r="E2" s="81"/>
      <c r="F2" s="81"/>
      <c r="G2" s="81"/>
      <c r="H2" s="81"/>
      <c r="I2" s="81"/>
      <c r="J2" s="81"/>
      <c r="K2" s="81"/>
      <c r="L2" s="81"/>
      <c r="M2" s="81"/>
      <c r="N2" s="81"/>
      <c r="O2" s="81"/>
    </row>
    <row r="3" spans="1:15">
      <c r="A3" s="55" t="s">
        <v>3627</v>
      </c>
      <c r="B3" s="55"/>
      <c r="C3" s="55"/>
      <c r="D3" s="55"/>
      <c r="E3" s="55"/>
      <c r="F3" s="55"/>
      <c r="G3" s="55"/>
      <c r="H3" s="55"/>
      <c r="I3" s="55"/>
      <c r="J3" s="55"/>
      <c r="K3" s="55"/>
      <c r="L3" s="55"/>
      <c r="M3" s="55"/>
      <c r="N3" s="55"/>
      <c r="O3" s="55"/>
    </row>
    <row r="4" spans="1:15" s="83" customFormat="1">
      <c r="A4" s="82" t="s">
        <v>3628</v>
      </c>
      <c r="B4" s="57"/>
      <c r="C4" s="57"/>
      <c r="D4" s="57"/>
      <c r="E4" s="57"/>
      <c r="F4" s="57"/>
      <c r="G4" s="57"/>
      <c r="H4" s="57"/>
      <c r="I4" s="57"/>
      <c r="J4" s="57"/>
      <c r="K4" s="57"/>
      <c r="L4" s="57"/>
      <c r="M4" s="57"/>
      <c r="N4" s="57"/>
      <c r="O4" s="57"/>
    </row>
    <row r="5" spans="1:15" s="83" customFormat="1">
      <c r="A5" s="82" t="s">
        <v>4291</v>
      </c>
      <c r="B5" s="57"/>
      <c r="C5" s="57"/>
      <c r="D5" s="57"/>
      <c r="E5" s="57"/>
      <c r="F5" s="57"/>
      <c r="G5" s="57"/>
      <c r="H5" s="57"/>
      <c r="I5" s="57"/>
      <c r="J5" s="57"/>
      <c r="K5" s="57"/>
      <c r="L5" s="57"/>
      <c r="M5" s="57"/>
      <c r="N5" s="57"/>
      <c r="O5" s="57"/>
    </row>
    <row r="6" spans="1:15">
      <c r="A6" s="74" t="s">
        <v>3629</v>
      </c>
      <c r="B6" s="55"/>
      <c r="C6" s="55"/>
      <c r="D6" s="55"/>
      <c r="E6" s="55"/>
      <c r="F6" s="55"/>
      <c r="G6" s="55"/>
      <c r="H6" s="55"/>
      <c r="I6" s="55"/>
      <c r="J6" s="55"/>
      <c r="K6" s="55"/>
      <c r="L6" s="55"/>
      <c r="M6" s="55"/>
      <c r="N6" s="55"/>
      <c r="O6" s="55"/>
    </row>
    <row r="7" spans="1:15">
      <c r="A7" s="55"/>
      <c r="B7" s="55"/>
      <c r="C7" s="55"/>
      <c r="D7" s="55"/>
      <c r="E7" s="55"/>
      <c r="F7" s="55"/>
      <c r="G7" s="55"/>
      <c r="H7" s="55"/>
      <c r="I7" s="55"/>
      <c r="J7" s="55"/>
      <c r="K7" s="55"/>
      <c r="L7" s="55"/>
      <c r="M7" s="55"/>
      <c r="N7" s="55"/>
      <c r="O7" s="55"/>
    </row>
    <row r="8" spans="1:15">
      <c r="A8" s="55"/>
      <c r="B8" s="55"/>
      <c r="C8" s="55"/>
      <c r="D8" s="55"/>
      <c r="E8" s="55"/>
      <c r="F8" s="55"/>
      <c r="G8" s="55"/>
      <c r="H8" s="55"/>
      <c r="I8" s="55"/>
      <c r="J8" s="55"/>
      <c r="K8" s="55"/>
      <c r="L8" s="55"/>
      <c r="M8" s="55"/>
      <c r="N8" s="55"/>
      <c r="O8" s="55"/>
    </row>
    <row r="9" spans="1:15" s="61" customFormat="1">
      <c r="A9" s="81" t="s">
        <v>3630</v>
      </c>
      <c r="B9" s="81"/>
      <c r="C9" s="81"/>
      <c r="D9" s="81"/>
      <c r="E9" s="81"/>
      <c r="F9" s="81"/>
      <c r="G9" s="81"/>
      <c r="H9" s="81"/>
      <c r="I9" s="81"/>
      <c r="J9" s="81"/>
      <c r="K9" s="81"/>
      <c r="L9" s="81"/>
      <c r="M9" s="81"/>
      <c r="N9" s="81"/>
      <c r="O9" s="81"/>
    </row>
    <row r="10" spans="1:15">
      <c r="A10" s="55" t="s">
        <v>3631</v>
      </c>
      <c r="B10" s="55"/>
      <c r="C10" s="55"/>
      <c r="D10" s="55"/>
      <c r="E10" s="55"/>
      <c r="F10" s="55"/>
      <c r="G10" s="55"/>
      <c r="H10" s="55"/>
      <c r="I10" s="55"/>
      <c r="J10" s="55"/>
      <c r="K10" s="55"/>
      <c r="L10" s="55"/>
      <c r="M10" s="55"/>
      <c r="N10" s="55"/>
      <c r="O10" s="55"/>
    </row>
    <row r="11" spans="1:15">
      <c r="A11" s="74" t="s">
        <v>3632</v>
      </c>
      <c r="B11" s="55"/>
      <c r="C11" s="55"/>
      <c r="D11" s="55"/>
      <c r="E11" s="55"/>
      <c r="F11" s="55"/>
      <c r="G11" s="55"/>
      <c r="H11" s="55"/>
      <c r="I11" s="55"/>
      <c r="J11" s="55"/>
      <c r="K11" s="55"/>
      <c r="L11" s="55"/>
      <c r="M11" s="55"/>
      <c r="N11" s="55"/>
      <c r="O11" s="55"/>
    </row>
    <row r="12" spans="1:15">
      <c r="A12" s="55" t="s">
        <v>3633</v>
      </c>
      <c r="B12" s="55"/>
      <c r="C12" s="55"/>
      <c r="D12" s="55"/>
      <c r="E12" s="55"/>
      <c r="F12" s="55"/>
      <c r="G12" s="55"/>
      <c r="H12" s="55"/>
      <c r="I12" s="55"/>
      <c r="J12" s="55"/>
      <c r="K12" s="55"/>
      <c r="L12" s="55"/>
      <c r="M12" s="55"/>
      <c r="N12" s="55"/>
      <c r="O12" s="55"/>
    </row>
    <row r="13" spans="1:15">
      <c r="A13" s="72" t="s">
        <v>4379</v>
      </c>
      <c r="B13" s="55"/>
      <c r="C13" s="55"/>
      <c r="D13" s="55"/>
      <c r="E13" s="55"/>
      <c r="F13" s="55"/>
      <c r="G13" s="55"/>
      <c r="H13" s="55"/>
      <c r="I13" s="55"/>
      <c r="J13" s="55"/>
      <c r="K13" s="55"/>
      <c r="L13" s="55"/>
      <c r="M13" s="55"/>
      <c r="N13" s="55"/>
      <c r="O13" s="55"/>
    </row>
    <row r="14" spans="1:15">
      <c r="A14" s="55"/>
      <c r="B14" s="55"/>
      <c r="C14" s="55"/>
      <c r="D14" s="55"/>
      <c r="E14" s="55"/>
      <c r="F14" s="55"/>
      <c r="G14" s="55"/>
      <c r="H14" s="55"/>
      <c r="I14" s="55"/>
      <c r="J14" s="55"/>
      <c r="K14" s="55"/>
      <c r="L14" s="55"/>
      <c r="M14" s="55"/>
      <c r="N14" s="55"/>
      <c r="O14" s="55"/>
    </row>
    <row r="15" spans="1:15">
      <c r="A15" s="55"/>
      <c r="B15" s="55"/>
      <c r="C15" s="55"/>
      <c r="D15" s="55"/>
      <c r="E15" s="55"/>
      <c r="F15" s="55"/>
      <c r="G15" s="55"/>
      <c r="H15" s="55"/>
      <c r="I15" s="55"/>
      <c r="J15" s="55"/>
      <c r="K15" s="55"/>
      <c r="L15" s="55"/>
      <c r="M15" s="55"/>
      <c r="N15" s="55"/>
      <c r="O15" s="55"/>
    </row>
    <row r="16" spans="1:15">
      <c r="A16" s="55"/>
      <c r="B16" s="55"/>
      <c r="C16" s="55"/>
      <c r="D16" s="55"/>
      <c r="E16" s="55"/>
      <c r="F16" s="55"/>
      <c r="G16" s="55"/>
      <c r="H16" s="55"/>
      <c r="I16" s="55"/>
      <c r="J16" s="55"/>
      <c r="K16" s="55"/>
      <c r="L16" s="55"/>
      <c r="M16" s="55"/>
      <c r="N16" s="55"/>
      <c r="O16" s="55"/>
    </row>
    <row r="17" spans="1:15">
      <c r="A17" s="74" t="s">
        <v>3634</v>
      </c>
      <c r="B17" s="55"/>
      <c r="C17" s="55"/>
      <c r="D17" s="55"/>
      <c r="E17" s="55"/>
      <c r="F17" s="55"/>
      <c r="G17" s="55"/>
      <c r="H17" s="55"/>
      <c r="I17" s="55"/>
      <c r="J17" s="55"/>
      <c r="K17" s="55"/>
      <c r="L17" s="55"/>
      <c r="M17" s="55"/>
      <c r="N17" s="55"/>
      <c r="O17" s="55"/>
    </row>
    <row r="18" spans="1:15">
      <c r="A18" s="55"/>
      <c r="B18" s="55"/>
      <c r="C18" s="55"/>
      <c r="D18" s="55"/>
      <c r="E18" s="55"/>
      <c r="F18" s="55"/>
      <c r="G18" s="55"/>
      <c r="H18" s="55"/>
      <c r="I18" s="55"/>
      <c r="J18" s="55"/>
      <c r="K18" s="55"/>
      <c r="L18" s="55"/>
      <c r="M18" s="55"/>
      <c r="N18" s="55"/>
      <c r="O18" s="55"/>
    </row>
    <row r="19" spans="1:15">
      <c r="A19" s="55"/>
      <c r="B19" s="55"/>
      <c r="C19" s="55"/>
      <c r="D19" s="55"/>
      <c r="E19" s="55"/>
      <c r="F19" s="55"/>
      <c r="G19" s="55"/>
      <c r="H19" s="55"/>
      <c r="I19" s="55"/>
      <c r="J19" s="55"/>
      <c r="K19" s="55"/>
      <c r="L19" s="55"/>
      <c r="M19" s="55"/>
      <c r="N19" s="55"/>
      <c r="O19" s="55"/>
    </row>
    <row r="20" spans="1:15">
      <c r="A20" s="55"/>
      <c r="B20" s="55"/>
      <c r="C20" s="55"/>
      <c r="D20" s="55"/>
      <c r="E20" s="55"/>
      <c r="F20" s="55"/>
      <c r="G20" s="55"/>
      <c r="H20" s="55"/>
      <c r="I20" s="55"/>
      <c r="J20" s="55"/>
      <c r="K20" s="55"/>
      <c r="L20" s="55"/>
      <c r="M20" s="55"/>
      <c r="N20" s="55"/>
      <c r="O20" s="55"/>
    </row>
    <row r="21" spans="1:15">
      <c r="A21" s="55">
        <v>3</v>
      </c>
      <c r="B21" s="55"/>
      <c r="C21" s="55"/>
      <c r="D21" s="55"/>
      <c r="E21" s="55"/>
      <c r="F21" s="55"/>
      <c r="G21" s="55"/>
      <c r="H21" s="55"/>
      <c r="I21" s="55"/>
      <c r="J21" s="55"/>
      <c r="K21" s="55"/>
      <c r="L21" s="55"/>
      <c r="M21" s="55"/>
      <c r="N21" s="55"/>
      <c r="O21" s="55"/>
    </row>
    <row r="22" spans="1:15">
      <c r="A22" s="72" t="s">
        <v>4380</v>
      </c>
      <c r="B22" s="55"/>
      <c r="C22" s="55"/>
      <c r="D22" s="55"/>
      <c r="E22" s="55"/>
      <c r="F22" s="55"/>
      <c r="G22" s="55"/>
      <c r="H22" s="55"/>
      <c r="I22" s="55"/>
      <c r="J22" s="55"/>
      <c r="K22" s="55"/>
      <c r="L22" s="55"/>
      <c r="M22" s="55"/>
      <c r="N22" s="55"/>
      <c r="O22" s="55"/>
    </row>
    <row r="23" spans="1:15">
      <c r="A23" s="72" t="s">
        <v>4381</v>
      </c>
      <c r="B23" s="55"/>
      <c r="C23" s="55"/>
      <c r="D23" s="55"/>
      <c r="E23" s="55"/>
      <c r="F23" s="55"/>
      <c r="G23" s="55"/>
      <c r="H23" s="55"/>
      <c r="I23" s="55"/>
      <c r="J23" s="55"/>
      <c r="K23" s="55"/>
      <c r="L23" s="55"/>
      <c r="M23" s="55"/>
      <c r="N23" s="55"/>
      <c r="O23" s="55"/>
    </row>
    <row r="24" spans="1:15">
      <c r="A24" s="72" t="s">
        <v>4382</v>
      </c>
      <c r="B24" s="55"/>
      <c r="C24" s="55"/>
      <c r="D24" s="55"/>
      <c r="E24" s="55"/>
      <c r="F24" s="55"/>
      <c r="G24" s="55"/>
      <c r="H24" s="55"/>
      <c r="I24" s="55"/>
      <c r="J24" s="55"/>
      <c r="K24" s="55"/>
      <c r="L24" s="55"/>
      <c r="M24" s="55"/>
      <c r="N24" s="55"/>
      <c r="O24" s="55"/>
    </row>
    <row r="25" spans="1:15">
      <c r="A25" s="72" t="s">
        <v>4383</v>
      </c>
      <c r="B25" s="55"/>
      <c r="C25" s="55"/>
      <c r="D25" s="55"/>
      <c r="E25" s="55"/>
      <c r="F25" s="55"/>
      <c r="G25" s="55"/>
      <c r="H25" s="55"/>
      <c r="I25" s="55"/>
      <c r="J25" s="55"/>
      <c r="K25" s="55"/>
      <c r="L25" s="55"/>
      <c r="M25" s="55"/>
      <c r="N25" s="55"/>
      <c r="O25" s="55"/>
    </row>
    <row r="26" spans="1:15">
      <c r="A26" s="72" t="s">
        <v>4384</v>
      </c>
      <c r="B26" s="55"/>
      <c r="C26" s="55"/>
      <c r="D26" s="55"/>
      <c r="E26" s="55"/>
      <c r="F26" s="55"/>
      <c r="G26" s="55"/>
      <c r="H26" s="55"/>
      <c r="I26" s="55"/>
      <c r="J26" s="55"/>
      <c r="K26" s="55"/>
      <c r="L26" s="55"/>
      <c r="M26" s="55"/>
      <c r="N26" s="55"/>
      <c r="O26" s="55"/>
    </row>
    <row r="27" spans="1:15">
      <c r="A27" s="72" t="s">
        <v>4385</v>
      </c>
      <c r="B27" s="55"/>
      <c r="C27" s="55"/>
      <c r="D27" s="55"/>
      <c r="E27" s="55"/>
      <c r="F27" s="55"/>
      <c r="G27" s="55"/>
      <c r="H27" s="55"/>
      <c r="I27" s="55"/>
      <c r="J27" s="55"/>
      <c r="K27" s="55"/>
      <c r="L27" s="55"/>
      <c r="M27" s="55"/>
      <c r="N27" s="55"/>
      <c r="O27" s="55"/>
    </row>
    <row r="28" spans="1:15">
      <c r="A28" s="72" t="s">
        <v>4386</v>
      </c>
      <c r="B28" s="55"/>
      <c r="C28" s="55"/>
      <c r="D28" s="55"/>
      <c r="E28" s="55"/>
      <c r="F28" s="55"/>
      <c r="G28" s="55"/>
      <c r="H28" s="55"/>
      <c r="I28" s="55"/>
      <c r="J28" s="55"/>
      <c r="K28" s="55"/>
      <c r="L28" s="55"/>
      <c r="M28" s="55"/>
      <c r="N28" s="55"/>
      <c r="O28" s="55"/>
    </row>
    <row r="29" spans="1:15">
      <c r="A29" s="55"/>
      <c r="B29" s="55"/>
      <c r="C29" s="55"/>
      <c r="D29" s="55"/>
      <c r="E29" s="55"/>
      <c r="F29" s="55"/>
      <c r="G29" s="55"/>
      <c r="H29" s="55"/>
      <c r="I29" s="55"/>
      <c r="J29" s="55"/>
      <c r="K29" s="55"/>
      <c r="L29" s="55"/>
      <c r="M29" s="55"/>
      <c r="N29" s="55"/>
      <c r="O29" s="55"/>
    </row>
    <row r="30" spans="1:15" s="61" customFormat="1">
      <c r="A30" s="81" t="s">
        <v>4292</v>
      </c>
      <c r="B30" s="81"/>
      <c r="C30" s="81"/>
      <c r="D30" s="81"/>
      <c r="E30" s="81"/>
      <c r="F30" s="81"/>
      <c r="G30" s="81"/>
      <c r="H30" s="81"/>
      <c r="I30" s="81"/>
      <c r="J30" s="81"/>
      <c r="K30" s="81"/>
      <c r="L30" s="81"/>
      <c r="M30" s="81"/>
      <c r="N30" s="81"/>
      <c r="O30" s="81"/>
    </row>
    <row r="31" spans="1:15">
      <c r="A31" s="72" t="s">
        <v>4387</v>
      </c>
      <c r="B31" s="55"/>
      <c r="C31" s="55"/>
      <c r="D31" s="55"/>
      <c r="E31" s="55"/>
      <c r="F31" s="55"/>
      <c r="G31" s="55"/>
      <c r="H31" s="55"/>
      <c r="I31" s="55"/>
      <c r="J31" s="55"/>
      <c r="K31" s="55"/>
      <c r="L31" s="55"/>
      <c r="M31" s="55"/>
      <c r="N31" s="55"/>
      <c r="O31" s="55"/>
    </row>
    <row r="32" spans="1:15">
      <c r="A32" s="72" t="s">
        <v>4388</v>
      </c>
      <c r="B32" s="55"/>
      <c r="C32" s="55"/>
      <c r="D32" s="55"/>
      <c r="E32" s="55"/>
      <c r="F32" s="55"/>
      <c r="G32" s="55"/>
      <c r="H32" s="55"/>
      <c r="I32" s="55"/>
      <c r="J32" s="55"/>
      <c r="K32" s="55"/>
      <c r="L32" s="55"/>
      <c r="M32" s="55"/>
      <c r="N32" s="55"/>
      <c r="O32" s="55"/>
    </row>
    <row r="33" spans="1:15">
      <c r="A33" s="72" t="s">
        <v>4389</v>
      </c>
      <c r="B33" s="55"/>
      <c r="C33" s="55"/>
      <c r="D33" s="55"/>
      <c r="E33" s="55"/>
      <c r="F33" s="55"/>
      <c r="G33" s="55"/>
      <c r="H33" s="55"/>
      <c r="I33" s="55"/>
      <c r="J33" s="55"/>
      <c r="K33" s="55"/>
      <c r="L33" s="55"/>
      <c r="M33" s="55"/>
      <c r="N33" s="55"/>
      <c r="O33" s="55"/>
    </row>
    <row r="34" spans="1:15">
      <c r="A34" s="72" t="s">
        <v>4390</v>
      </c>
      <c r="B34" s="55"/>
      <c r="C34" s="55"/>
      <c r="D34" s="55"/>
      <c r="E34" s="55"/>
      <c r="F34" s="55"/>
      <c r="G34" s="55"/>
      <c r="H34" s="55"/>
      <c r="I34" s="55"/>
      <c r="J34" s="55"/>
      <c r="K34" s="55"/>
      <c r="L34" s="55"/>
      <c r="M34" s="55"/>
      <c r="N34" s="55"/>
      <c r="O34" s="55"/>
    </row>
    <row r="35" spans="1:15">
      <c r="A35" s="55"/>
      <c r="B35" s="55"/>
      <c r="C35" s="55"/>
      <c r="D35" s="55"/>
      <c r="E35" s="55"/>
      <c r="F35" s="55"/>
      <c r="G35" s="55"/>
      <c r="H35" s="55"/>
      <c r="I35" s="55"/>
      <c r="J35" s="55"/>
      <c r="K35" s="55"/>
      <c r="L35" s="55"/>
      <c r="M35" s="55"/>
      <c r="N35" s="55"/>
      <c r="O35" s="55"/>
    </row>
    <row r="36" spans="1:15" s="61" customFormat="1">
      <c r="A36" s="81" t="s">
        <v>3635</v>
      </c>
      <c r="B36" s="81"/>
      <c r="C36" s="81"/>
      <c r="D36" s="81"/>
      <c r="E36" s="81"/>
      <c r="F36" s="81"/>
      <c r="G36" s="81"/>
      <c r="H36" s="81"/>
      <c r="I36" s="81"/>
      <c r="J36" s="81"/>
      <c r="K36" s="81"/>
      <c r="L36" s="81"/>
      <c r="M36" s="81"/>
      <c r="N36" s="81"/>
      <c r="O36" s="81"/>
    </row>
    <row r="37" spans="1:15">
      <c r="A37" s="55" t="s">
        <v>3636</v>
      </c>
      <c r="B37" s="55"/>
      <c r="C37" s="55"/>
      <c r="D37" s="55"/>
      <c r="E37" s="55"/>
      <c r="F37" s="55"/>
      <c r="G37" s="55"/>
      <c r="H37" s="55"/>
      <c r="I37" s="55"/>
      <c r="J37" s="55"/>
      <c r="K37" s="55"/>
      <c r="L37" s="55"/>
      <c r="M37" s="55"/>
      <c r="N37" s="55"/>
      <c r="O37" s="55"/>
    </row>
    <row r="38" spans="1:15">
      <c r="A38" s="55" t="s">
        <v>3637</v>
      </c>
      <c r="B38" s="55"/>
      <c r="C38" s="55"/>
      <c r="D38" s="55"/>
      <c r="E38" s="55"/>
      <c r="F38" s="55"/>
      <c r="G38" s="55"/>
      <c r="H38" s="55"/>
      <c r="I38" s="55"/>
      <c r="J38" s="55"/>
      <c r="K38" s="55"/>
      <c r="L38" s="55"/>
      <c r="M38" s="55"/>
      <c r="N38" s="55"/>
      <c r="O38" s="55"/>
    </row>
    <row r="39" spans="1:15">
      <c r="A39" s="55" t="s">
        <v>3638</v>
      </c>
      <c r="B39" s="55"/>
      <c r="C39" s="55"/>
      <c r="D39" s="55"/>
      <c r="E39" s="55"/>
      <c r="F39" s="55"/>
      <c r="G39" s="55"/>
      <c r="H39" s="55"/>
      <c r="I39" s="55"/>
      <c r="J39" s="55"/>
      <c r="K39" s="55"/>
      <c r="L39" s="55"/>
      <c r="M39" s="55"/>
      <c r="N39" s="55"/>
      <c r="O39" s="55"/>
    </row>
    <row r="40" spans="1:15">
      <c r="A40" s="55" t="s">
        <v>3639</v>
      </c>
      <c r="B40" s="55"/>
      <c r="C40" s="55"/>
      <c r="D40" s="55"/>
      <c r="E40" s="55"/>
      <c r="F40" s="55"/>
      <c r="G40" s="55"/>
      <c r="H40" s="55"/>
      <c r="I40" s="55"/>
      <c r="J40" s="55"/>
      <c r="K40" s="55"/>
      <c r="L40" s="55"/>
      <c r="M40" s="55"/>
      <c r="N40" s="55"/>
      <c r="O40" s="55"/>
    </row>
    <row r="41" spans="1:15">
      <c r="A41" s="74" t="s">
        <v>3640</v>
      </c>
      <c r="B41" s="55"/>
      <c r="C41" s="55"/>
      <c r="D41" s="55"/>
      <c r="E41" s="55"/>
      <c r="F41" s="55"/>
      <c r="G41" s="55"/>
      <c r="H41" s="55"/>
      <c r="I41" s="55"/>
      <c r="J41" s="55"/>
      <c r="K41" s="55"/>
      <c r="L41" s="55"/>
      <c r="M41" s="55"/>
      <c r="N41" s="55"/>
      <c r="O41" s="55"/>
    </row>
    <row r="42" spans="1:15">
      <c r="A42" s="74" t="s">
        <v>3641</v>
      </c>
      <c r="B42" s="55"/>
      <c r="C42" s="55"/>
      <c r="D42" s="55"/>
      <c r="E42" s="55"/>
      <c r="F42" s="55"/>
      <c r="G42" s="55"/>
      <c r="H42" s="55"/>
      <c r="I42" s="55"/>
      <c r="J42" s="55"/>
      <c r="K42" s="55"/>
      <c r="L42" s="55"/>
      <c r="M42" s="55"/>
      <c r="N42" s="55"/>
      <c r="O42" s="55"/>
    </row>
  </sheetData>
  <hyperlinks>
    <hyperlink ref="A17" r:id="rId1" xr:uid="{00000000-0004-0000-1D00-000000000000}"/>
    <hyperlink ref="A38" r:id="rId2" xr:uid="{00000000-0004-0000-1D00-00000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tabColor rgb="FF4A2D75"/>
  </sheetPr>
  <dimension ref="A1:O115"/>
  <sheetViews>
    <sheetView showGridLines="0" topLeftCell="A9" zoomScaleNormal="100" workbookViewId="0"/>
  </sheetViews>
  <sheetFormatPr defaultColWidth="9.125" defaultRowHeight="15"/>
  <cols>
    <col min="1" max="1" width="122.75" style="46" customWidth="1"/>
    <col min="2" max="2" width="7" style="46" customWidth="1"/>
    <col min="3" max="3" width="15.375" style="46" hidden="1" customWidth="1"/>
    <col min="4" max="4" width="35.125" style="46" customWidth="1"/>
    <col min="5" max="5" width="39.875" style="46" customWidth="1"/>
    <col min="6" max="6" width="30.875" style="46" customWidth="1"/>
    <col min="7" max="7" width="33.375" style="46" customWidth="1"/>
    <col min="8" max="8" width="24.375" style="46" customWidth="1"/>
    <col min="9" max="9" width="47.75" style="46" customWidth="1"/>
    <col min="10" max="16384" width="9.125" style="46"/>
  </cols>
  <sheetData>
    <row r="1" spans="1:14" ht="24">
      <c r="A1" s="65"/>
      <c r="B1" s="53"/>
      <c r="C1" s="53"/>
      <c r="D1" s="66" t="s">
        <v>4324</v>
      </c>
      <c r="E1" s="53"/>
      <c r="F1" s="53"/>
      <c r="G1" s="53"/>
      <c r="H1" s="53"/>
      <c r="I1" s="53"/>
      <c r="J1" s="53"/>
      <c r="K1" s="53"/>
      <c r="L1" s="53"/>
      <c r="M1" s="53"/>
      <c r="N1" s="53"/>
    </row>
    <row r="2" spans="1:14" s="68" customFormat="1">
      <c r="A2" s="67" t="s">
        <v>3642</v>
      </c>
      <c r="B2" s="67"/>
      <c r="C2" s="67"/>
      <c r="D2" s="67"/>
      <c r="E2" s="67"/>
      <c r="F2" s="67"/>
      <c r="G2" s="67"/>
      <c r="H2" s="67"/>
      <c r="I2" s="67"/>
      <c r="J2" s="67"/>
      <c r="K2" s="67"/>
      <c r="L2" s="67"/>
      <c r="M2" s="67"/>
      <c r="N2" s="67"/>
    </row>
    <row r="3" spans="1:14" ht="15.75">
      <c r="A3" s="69" t="s">
        <v>4367</v>
      </c>
      <c r="B3" s="69"/>
      <c r="C3" s="69"/>
      <c r="D3" s="69"/>
      <c r="E3" s="69"/>
      <c r="F3" s="69"/>
      <c r="G3" s="69"/>
      <c r="H3" s="69"/>
      <c r="I3" s="69"/>
      <c r="J3" s="69"/>
      <c r="K3" s="69"/>
      <c r="L3" s="69"/>
      <c r="M3" s="69"/>
      <c r="N3" s="69"/>
    </row>
    <row r="4" spans="1:14" ht="15.75">
      <c r="A4" s="69" t="s">
        <v>4368</v>
      </c>
      <c r="B4" s="69"/>
      <c r="C4" s="69"/>
      <c r="D4" s="69"/>
      <c r="E4" s="69"/>
      <c r="F4" s="69"/>
      <c r="G4" s="69"/>
      <c r="H4" s="69"/>
      <c r="I4" s="69"/>
      <c r="J4" s="69"/>
      <c r="K4" s="69"/>
      <c r="L4" s="69"/>
      <c r="M4" s="69"/>
      <c r="N4" s="69"/>
    </row>
    <row r="5" spans="1:14">
      <c r="A5" s="69" t="s">
        <v>3643</v>
      </c>
      <c r="B5" s="69"/>
      <c r="C5" s="69"/>
      <c r="D5" s="69"/>
      <c r="E5" s="69"/>
      <c r="F5" s="69"/>
      <c r="G5" s="69"/>
      <c r="H5" s="69"/>
      <c r="I5" s="69"/>
      <c r="J5" s="69"/>
      <c r="K5" s="69"/>
      <c r="L5" s="69"/>
      <c r="M5" s="69"/>
      <c r="N5" s="69"/>
    </row>
    <row r="6" spans="1:14">
      <c r="A6" s="69" t="s">
        <v>3644</v>
      </c>
      <c r="B6" s="69"/>
      <c r="C6" s="69"/>
      <c r="D6" s="69"/>
      <c r="E6" s="69"/>
      <c r="F6" s="69"/>
      <c r="G6" s="69"/>
      <c r="H6" s="69"/>
      <c r="I6" s="69"/>
      <c r="J6" s="69"/>
      <c r="K6" s="69"/>
      <c r="L6" s="69"/>
      <c r="M6" s="69"/>
      <c r="N6" s="69"/>
    </row>
    <row r="7" spans="1:14">
      <c r="A7" s="69" t="s">
        <v>3645</v>
      </c>
      <c r="B7" s="69"/>
      <c r="C7" s="69"/>
      <c r="D7" s="69"/>
      <c r="E7" s="69"/>
      <c r="F7" s="69"/>
      <c r="G7" s="69"/>
      <c r="H7" s="69"/>
      <c r="I7" s="69"/>
      <c r="J7" s="69"/>
      <c r="K7" s="69"/>
      <c r="L7" s="69"/>
      <c r="M7" s="69"/>
      <c r="N7" s="69"/>
    </row>
    <row r="8" spans="1:14" ht="15.75">
      <c r="A8" s="69" t="s">
        <v>4369</v>
      </c>
      <c r="B8" s="69"/>
      <c r="C8" s="69"/>
      <c r="D8" s="69"/>
      <c r="E8" s="69"/>
      <c r="F8" s="69"/>
      <c r="G8" s="69"/>
      <c r="H8" s="69"/>
      <c r="I8" s="69"/>
      <c r="J8" s="69"/>
      <c r="K8" s="69"/>
      <c r="L8" s="69"/>
      <c r="M8" s="69"/>
      <c r="N8" s="69"/>
    </row>
    <row r="9" spans="1:14" ht="15.75">
      <c r="A9" s="69" t="s">
        <v>4370</v>
      </c>
      <c r="B9" s="69"/>
      <c r="C9" s="69"/>
      <c r="D9" s="69"/>
      <c r="E9" s="69"/>
      <c r="F9" s="69"/>
      <c r="G9" s="69"/>
      <c r="H9" s="69"/>
      <c r="I9" s="69"/>
      <c r="J9" s="69"/>
      <c r="K9" s="69"/>
      <c r="L9" s="69"/>
      <c r="M9" s="69"/>
      <c r="N9" s="69"/>
    </row>
    <row r="10" spans="1:14">
      <c r="A10" s="69" t="s">
        <v>3646</v>
      </c>
      <c r="B10" s="69"/>
      <c r="C10" s="69"/>
      <c r="D10" s="69"/>
      <c r="E10" s="69"/>
      <c r="F10" s="69"/>
      <c r="G10" s="69"/>
      <c r="H10" s="69"/>
      <c r="I10" s="69"/>
      <c r="J10" s="69"/>
      <c r="K10" s="69"/>
      <c r="L10" s="69"/>
      <c r="M10" s="69"/>
      <c r="N10" s="69"/>
    </row>
    <row r="11" spans="1:14">
      <c r="A11" s="69" t="s">
        <v>4371</v>
      </c>
      <c r="B11" s="69"/>
      <c r="C11" s="69"/>
      <c r="D11" s="69"/>
      <c r="E11" s="69"/>
      <c r="F11" s="69"/>
      <c r="G11" s="69"/>
      <c r="H11" s="69"/>
      <c r="I11" s="69"/>
      <c r="J11" s="69"/>
      <c r="K11" s="69"/>
      <c r="L11" s="69"/>
      <c r="M11" s="69"/>
      <c r="N11" s="69"/>
    </row>
    <row r="12" spans="1:14">
      <c r="A12" s="69" t="s">
        <v>3647</v>
      </c>
      <c r="B12" s="69"/>
      <c r="C12" s="69"/>
      <c r="D12" s="69"/>
      <c r="E12" s="69"/>
      <c r="F12" s="69"/>
      <c r="G12" s="69"/>
      <c r="H12" s="69"/>
      <c r="I12" s="69"/>
      <c r="J12" s="69"/>
      <c r="K12" s="69"/>
      <c r="L12" s="69"/>
      <c r="M12" s="69"/>
      <c r="N12" s="69"/>
    </row>
    <row r="13" spans="1:14">
      <c r="A13" s="69" t="s">
        <v>3648</v>
      </c>
      <c r="B13" s="69"/>
      <c r="C13" s="69"/>
      <c r="D13" s="69"/>
      <c r="E13" s="69"/>
      <c r="F13" s="69"/>
      <c r="G13" s="69"/>
      <c r="H13" s="69"/>
      <c r="I13" s="69"/>
      <c r="J13" s="69"/>
      <c r="K13" s="69"/>
      <c r="L13" s="69"/>
      <c r="M13" s="69"/>
      <c r="N13" s="69"/>
    </row>
    <row r="14" spans="1:14" ht="15.75">
      <c r="A14" s="69" t="s">
        <v>4372</v>
      </c>
      <c r="B14" s="69"/>
      <c r="C14" s="69"/>
      <c r="D14" s="69"/>
      <c r="E14" s="69"/>
      <c r="F14" s="69"/>
      <c r="G14" s="69"/>
      <c r="H14" s="69"/>
      <c r="I14" s="69"/>
      <c r="J14" s="69"/>
      <c r="K14" s="69"/>
      <c r="L14" s="69"/>
      <c r="M14" s="69"/>
      <c r="N14" s="69"/>
    </row>
    <row r="15" spans="1:14">
      <c r="A15" s="69" t="s">
        <v>3649</v>
      </c>
      <c r="B15" s="69"/>
      <c r="C15" s="69"/>
      <c r="D15" s="69"/>
      <c r="E15" s="69"/>
      <c r="F15" s="69"/>
      <c r="G15" s="69"/>
      <c r="H15" s="69"/>
      <c r="I15" s="69"/>
      <c r="J15" s="69"/>
      <c r="K15" s="69"/>
      <c r="L15" s="69"/>
      <c r="M15" s="69"/>
      <c r="N15" s="69"/>
    </row>
    <row r="16" spans="1:14">
      <c r="A16" s="69" t="s">
        <v>4373</v>
      </c>
      <c r="B16" s="69"/>
      <c r="C16" s="69"/>
      <c r="D16" s="69"/>
      <c r="E16" s="69"/>
      <c r="F16" s="69"/>
      <c r="G16" s="69"/>
      <c r="H16" s="69"/>
      <c r="I16" s="69"/>
      <c r="J16" s="69"/>
      <c r="K16" s="69"/>
      <c r="L16" s="69"/>
      <c r="M16" s="69"/>
      <c r="N16" s="69"/>
    </row>
    <row r="17" spans="1:14">
      <c r="A17" s="69" t="s">
        <v>3650</v>
      </c>
      <c r="B17" s="69"/>
      <c r="C17" s="69"/>
      <c r="D17" s="69"/>
      <c r="E17" s="69"/>
      <c r="F17" s="69"/>
      <c r="G17" s="69"/>
      <c r="H17" s="69"/>
      <c r="I17" s="69"/>
      <c r="J17" s="69"/>
      <c r="K17" s="69"/>
      <c r="L17" s="69"/>
      <c r="M17" s="69"/>
      <c r="N17" s="69"/>
    </row>
    <row r="18" spans="1:14">
      <c r="A18" s="69"/>
      <c r="B18" s="69"/>
      <c r="C18" s="69"/>
      <c r="D18" s="69"/>
      <c r="E18" s="69"/>
      <c r="F18" s="69"/>
      <c r="G18" s="69"/>
      <c r="H18" s="69"/>
      <c r="I18" s="69"/>
      <c r="J18" s="69"/>
      <c r="K18" s="69"/>
      <c r="L18" s="69"/>
      <c r="M18" s="69"/>
      <c r="N18" s="69"/>
    </row>
    <row r="19" spans="1:14" s="68" customFormat="1">
      <c r="A19" s="67" t="s">
        <v>3651</v>
      </c>
      <c r="B19" s="67"/>
      <c r="C19" s="67"/>
      <c r="D19" s="67"/>
      <c r="E19" s="67"/>
      <c r="F19" s="67"/>
      <c r="G19" s="67"/>
      <c r="H19" s="67"/>
      <c r="I19" s="67"/>
      <c r="J19" s="67"/>
      <c r="K19" s="67"/>
      <c r="L19" s="67"/>
      <c r="M19" s="67"/>
      <c r="N19" s="67"/>
    </row>
    <row r="20" spans="1:14">
      <c r="A20" s="46" t="s">
        <v>4037</v>
      </c>
      <c r="B20" s="69"/>
      <c r="C20" s="69"/>
      <c r="D20" s="69"/>
      <c r="E20" s="69"/>
      <c r="F20" s="69"/>
      <c r="G20" s="69"/>
      <c r="H20" s="69"/>
      <c r="I20" s="69"/>
      <c r="J20" s="69"/>
    </row>
    <row r="21" spans="1:14">
      <c r="A21" s="70" t="s">
        <v>4024</v>
      </c>
      <c r="B21" s="69"/>
      <c r="C21" s="69"/>
      <c r="D21" s="71" t="s">
        <v>4019</v>
      </c>
      <c r="E21" s="69"/>
      <c r="F21" s="72" t="s">
        <v>4023</v>
      </c>
      <c r="G21" s="69"/>
      <c r="H21" s="69"/>
      <c r="I21" s="69"/>
      <c r="J21" s="69"/>
    </row>
    <row r="22" spans="1:14" ht="15.75" customHeight="1">
      <c r="A22" s="69" t="s">
        <v>3652</v>
      </c>
      <c r="B22" s="69"/>
      <c r="C22" s="69"/>
      <c r="D22" s="46" t="s">
        <v>4025</v>
      </c>
      <c r="E22" s="69"/>
      <c r="H22" s="69"/>
      <c r="I22" s="69"/>
      <c r="J22" s="69"/>
    </row>
    <row r="23" spans="1:14">
      <c r="A23" s="69"/>
      <c r="B23" s="69"/>
      <c r="C23" s="70"/>
      <c r="D23" s="46" t="s">
        <v>4026</v>
      </c>
      <c r="F23" s="73" t="s">
        <v>3994</v>
      </c>
      <c r="G23" s="69"/>
    </row>
    <row r="24" spans="1:14">
      <c r="A24" s="69" t="s">
        <v>3653</v>
      </c>
      <c r="B24" s="69"/>
      <c r="D24" s="46" t="s">
        <v>4027</v>
      </c>
      <c r="F24" s="46" t="s">
        <v>3995</v>
      </c>
    </row>
    <row r="25" spans="1:14">
      <c r="A25" s="69" t="s">
        <v>3654</v>
      </c>
      <c r="B25" s="69"/>
      <c r="C25" s="69"/>
      <c r="D25" s="46" t="s">
        <v>4028</v>
      </c>
      <c r="F25" s="46" t="s">
        <v>3996</v>
      </c>
    </row>
    <row r="26" spans="1:14">
      <c r="A26" s="69" t="s">
        <v>3655</v>
      </c>
      <c r="B26" s="69"/>
      <c r="C26" s="69"/>
      <c r="D26" s="46" t="s">
        <v>4025</v>
      </c>
      <c r="F26" s="46" t="s">
        <v>3994</v>
      </c>
    </row>
    <row r="27" spans="1:14">
      <c r="A27" s="69"/>
      <c r="B27" s="69"/>
      <c r="C27" s="69"/>
      <c r="D27" s="46" t="s">
        <v>4029</v>
      </c>
      <c r="E27" s="46" t="s">
        <v>4034</v>
      </c>
    </row>
    <row r="28" spans="1:14">
      <c r="A28" s="69" t="s">
        <v>3656</v>
      </c>
      <c r="B28" s="69"/>
      <c r="C28" s="69"/>
      <c r="D28" s="46" t="s">
        <v>4033</v>
      </c>
      <c r="F28" s="46" t="s">
        <v>3997</v>
      </c>
    </row>
    <row r="29" spans="1:14">
      <c r="A29" s="69" t="s">
        <v>3657</v>
      </c>
      <c r="B29" s="69"/>
      <c r="C29" s="69"/>
      <c r="F29" s="46" t="s">
        <v>3998</v>
      </c>
    </row>
    <row r="30" spans="1:14">
      <c r="A30" s="69" t="s">
        <v>3658</v>
      </c>
      <c r="B30" s="69"/>
      <c r="C30" s="69"/>
      <c r="D30" s="46" t="s">
        <v>4032</v>
      </c>
      <c r="E30" s="46" t="s">
        <v>4035</v>
      </c>
    </row>
    <row r="31" spans="1:14">
      <c r="A31" s="69" t="s">
        <v>3659</v>
      </c>
      <c r="B31" s="69"/>
      <c r="C31" s="69"/>
      <c r="F31" s="46" t="s">
        <v>3999</v>
      </c>
    </row>
    <row r="32" spans="1:14">
      <c r="A32" s="69" t="s">
        <v>3660</v>
      </c>
      <c r="B32" s="69"/>
      <c r="C32" s="69"/>
      <c r="D32" s="46" t="s">
        <v>4030</v>
      </c>
      <c r="F32" s="46" t="s">
        <v>4020</v>
      </c>
    </row>
    <row r="33" spans="1:7">
      <c r="A33" s="69" t="s">
        <v>3661</v>
      </c>
      <c r="B33" s="69"/>
      <c r="C33" s="69"/>
      <c r="F33" s="46" t="s">
        <v>3999</v>
      </c>
    </row>
    <row r="34" spans="1:7">
      <c r="A34" s="69" t="s">
        <v>3662</v>
      </c>
      <c r="B34" s="69"/>
      <c r="C34" s="69"/>
      <c r="D34" s="46" t="s">
        <v>4031</v>
      </c>
      <c r="F34" s="46" t="s">
        <v>4022</v>
      </c>
    </row>
    <row r="35" spans="1:7">
      <c r="A35" s="69"/>
      <c r="B35" s="69"/>
      <c r="C35" s="69"/>
      <c r="F35" s="46" t="s">
        <v>3999</v>
      </c>
    </row>
    <row r="36" spans="1:7">
      <c r="A36" s="69" t="s">
        <v>3663</v>
      </c>
      <c r="B36" s="69"/>
      <c r="C36" s="69"/>
      <c r="D36" s="46" t="s">
        <v>4025</v>
      </c>
      <c r="F36" s="46" t="s">
        <v>4021</v>
      </c>
    </row>
    <row r="37" spans="1:7">
      <c r="A37" s="69" t="s">
        <v>3664</v>
      </c>
      <c r="B37" s="69"/>
      <c r="C37" s="69"/>
      <c r="D37" s="46" t="s">
        <v>4036</v>
      </c>
      <c r="F37" s="46" t="s">
        <v>4000</v>
      </c>
    </row>
    <row r="38" spans="1:7">
      <c r="A38" s="69" t="s">
        <v>3665</v>
      </c>
      <c r="B38" s="69"/>
      <c r="C38" s="69"/>
      <c r="D38" s="46" t="s">
        <v>4025</v>
      </c>
    </row>
    <row r="39" spans="1:7">
      <c r="A39" s="69" t="s">
        <v>3656</v>
      </c>
      <c r="B39" s="69"/>
      <c r="C39" s="69"/>
    </row>
    <row r="40" spans="1:7">
      <c r="A40" s="69" t="s">
        <v>3655</v>
      </c>
      <c r="B40" s="69"/>
      <c r="C40" s="69"/>
      <c r="D40" s="46" t="s">
        <v>4001</v>
      </c>
      <c r="F40" s="46" t="s">
        <v>4038</v>
      </c>
    </row>
    <row r="41" spans="1:7">
      <c r="A41" s="74" t="s">
        <v>3666</v>
      </c>
      <c r="B41" s="74"/>
      <c r="C41" s="74"/>
      <c r="D41" s="46" t="s">
        <v>4002</v>
      </c>
      <c r="F41" s="46" t="s">
        <v>4039</v>
      </c>
    </row>
    <row r="42" spans="1:7">
      <c r="A42" s="74" t="s">
        <v>3667</v>
      </c>
      <c r="B42" s="74"/>
      <c r="C42" s="74"/>
      <c r="D42" s="46" t="s">
        <v>4003</v>
      </c>
      <c r="E42" s="69"/>
      <c r="F42" s="46" t="s">
        <v>4040</v>
      </c>
      <c r="G42" s="69"/>
    </row>
    <row r="43" spans="1:7" ht="20.25" customHeight="1">
      <c r="A43" s="74" t="s">
        <v>4374</v>
      </c>
      <c r="B43" s="74"/>
      <c r="C43" s="74"/>
      <c r="D43" s="46" t="s">
        <v>4004</v>
      </c>
      <c r="E43" s="69"/>
      <c r="F43" s="46" t="s">
        <v>4041</v>
      </c>
      <c r="G43" s="69"/>
    </row>
    <row r="44" spans="1:7" ht="16.5" customHeight="1">
      <c r="A44" s="74" t="s">
        <v>4375</v>
      </c>
      <c r="B44" s="74"/>
      <c r="C44" s="74"/>
      <c r="D44" s="46" t="s">
        <v>4005</v>
      </c>
      <c r="E44" s="69"/>
      <c r="G44" s="69"/>
    </row>
    <row r="45" spans="1:7">
      <c r="A45" s="74" t="s">
        <v>3668</v>
      </c>
      <c r="B45" s="74"/>
      <c r="C45" s="74"/>
      <c r="D45" s="46" t="s">
        <v>4006</v>
      </c>
      <c r="E45" s="69"/>
      <c r="F45" s="46" t="s">
        <v>4042</v>
      </c>
      <c r="G45" s="69"/>
    </row>
    <row r="46" spans="1:7">
      <c r="A46" s="74" t="s">
        <v>3669</v>
      </c>
      <c r="B46" s="74"/>
      <c r="C46" s="74"/>
      <c r="D46" s="46" t="s">
        <v>4007</v>
      </c>
      <c r="E46" s="69"/>
      <c r="F46" s="46" t="s">
        <v>4043</v>
      </c>
      <c r="G46" s="69"/>
    </row>
    <row r="47" spans="1:7">
      <c r="A47" s="74" t="s">
        <v>3670</v>
      </c>
      <c r="B47" s="74"/>
      <c r="C47" s="74"/>
      <c r="D47" s="46" t="s">
        <v>4008</v>
      </c>
      <c r="E47" s="69"/>
      <c r="F47" s="46" t="s">
        <v>4044</v>
      </c>
      <c r="G47" s="69"/>
    </row>
    <row r="48" spans="1:7">
      <c r="A48" s="74" t="s">
        <v>3671</v>
      </c>
      <c r="B48" s="74"/>
      <c r="C48" s="74"/>
      <c r="D48" s="46" t="s">
        <v>4009</v>
      </c>
      <c r="E48" s="69"/>
      <c r="F48" s="46" t="s">
        <v>4045</v>
      </c>
      <c r="G48" s="69"/>
    </row>
    <row r="49" spans="1:15">
      <c r="A49" s="74" t="s">
        <v>3672</v>
      </c>
      <c r="B49" s="74"/>
      <c r="C49" s="74"/>
      <c r="D49" s="46" t="s">
        <v>4010</v>
      </c>
      <c r="E49" s="69"/>
      <c r="F49" s="46" t="s">
        <v>4046</v>
      </c>
      <c r="G49" s="69"/>
    </row>
    <row r="50" spans="1:15">
      <c r="A50" s="74" t="s">
        <v>3673</v>
      </c>
      <c r="B50" s="74"/>
      <c r="C50" s="74"/>
      <c r="D50" s="46" t="s">
        <v>4011</v>
      </c>
      <c r="E50" s="69"/>
      <c r="G50" s="69"/>
    </row>
    <row r="51" spans="1:15">
      <c r="A51" s="74" t="s">
        <v>3674</v>
      </c>
      <c r="B51" s="74"/>
      <c r="C51" s="74"/>
      <c r="D51" s="46" t="s">
        <v>4012</v>
      </c>
      <c r="E51" s="69"/>
      <c r="F51" s="46" t="s">
        <v>4047</v>
      </c>
      <c r="G51" s="69"/>
    </row>
    <row r="52" spans="1:15">
      <c r="A52" s="74" t="s">
        <v>3675</v>
      </c>
      <c r="B52" s="74"/>
      <c r="C52" s="74"/>
      <c r="D52" s="46" t="s">
        <v>4013</v>
      </c>
      <c r="E52" s="69"/>
      <c r="F52" s="46" t="s">
        <v>4048</v>
      </c>
      <c r="G52" s="69"/>
    </row>
    <row r="53" spans="1:15" ht="15.75">
      <c r="A53" s="75" t="s">
        <v>4376</v>
      </c>
      <c r="B53" s="74"/>
      <c r="C53" s="74"/>
      <c r="D53" s="46" t="s">
        <v>4014</v>
      </c>
      <c r="E53" s="69"/>
      <c r="F53" s="46" t="s">
        <v>4049</v>
      </c>
      <c r="G53" s="69"/>
    </row>
    <row r="54" spans="1:15">
      <c r="A54" s="74" t="s">
        <v>3676</v>
      </c>
      <c r="B54" s="74"/>
      <c r="C54" s="74"/>
      <c r="D54" s="46" t="s">
        <v>4015</v>
      </c>
      <c r="E54" s="69"/>
      <c r="F54" s="46" t="s">
        <v>4050</v>
      </c>
      <c r="G54" s="69"/>
    </row>
    <row r="55" spans="1:15">
      <c r="A55" s="74" t="s">
        <v>3677</v>
      </c>
      <c r="B55" s="74"/>
      <c r="C55" s="74"/>
      <c r="D55" s="46" t="s">
        <v>4017</v>
      </c>
      <c r="E55" s="69"/>
      <c r="F55" s="69" t="s">
        <v>4051</v>
      </c>
      <c r="G55" s="69"/>
    </row>
    <row r="56" spans="1:15">
      <c r="A56" s="74" t="s">
        <v>3678</v>
      </c>
      <c r="B56" s="74"/>
      <c r="C56" s="74"/>
      <c r="D56" s="46" t="s">
        <v>4018</v>
      </c>
      <c r="E56" s="69"/>
      <c r="G56" s="69"/>
    </row>
    <row r="57" spans="1:15" ht="31.5">
      <c r="A57" s="74" t="s">
        <v>4377</v>
      </c>
      <c r="B57" s="74"/>
      <c r="C57" s="74"/>
      <c r="E57" s="69"/>
      <c r="F57" s="76" t="s">
        <v>4052</v>
      </c>
      <c r="G57" s="69"/>
    </row>
    <row r="58" spans="1:15">
      <c r="A58" s="69"/>
      <c r="B58" s="69"/>
      <c r="C58" s="69"/>
      <c r="E58" s="69"/>
      <c r="F58" s="69" t="s">
        <v>4053</v>
      </c>
      <c r="G58" s="69"/>
    </row>
    <row r="59" spans="1:15" s="68" customFormat="1">
      <c r="A59" s="67" t="s">
        <v>3679</v>
      </c>
      <c r="B59" s="67"/>
      <c r="C59" s="67"/>
      <c r="D59" s="67"/>
      <c r="E59" s="67"/>
      <c r="F59" s="77" t="s">
        <v>4054</v>
      </c>
      <c r="G59" s="67"/>
      <c r="H59" s="67"/>
      <c r="I59" s="67"/>
      <c r="J59" s="67"/>
      <c r="K59" s="67"/>
      <c r="L59" s="67"/>
      <c r="M59" s="67"/>
      <c r="N59" s="67"/>
    </row>
    <row r="60" spans="1:15">
      <c r="A60" s="78" t="s">
        <v>4094</v>
      </c>
      <c r="B60" s="69"/>
      <c r="C60" s="69"/>
      <c r="D60" s="69"/>
      <c r="E60" s="69"/>
      <c r="F60" s="69" t="s">
        <v>763</v>
      </c>
      <c r="G60" s="69"/>
      <c r="H60" s="69"/>
      <c r="I60" s="69"/>
      <c r="J60" s="69"/>
      <c r="K60" s="69"/>
      <c r="L60" s="69"/>
      <c r="M60" s="69"/>
      <c r="N60" s="69"/>
    </row>
    <row r="61" spans="1:15">
      <c r="A61" s="78" t="s">
        <v>4095</v>
      </c>
      <c r="B61" s="69"/>
      <c r="C61" s="69"/>
      <c r="D61" s="69"/>
      <c r="E61" s="69"/>
      <c r="F61" s="69" t="s">
        <v>35</v>
      </c>
      <c r="G61" s="69"/>
      <c r="H61" s="69"/>
      <c r="I61" s="69"/>
      <c r="J61" s="69"/>
      <c r="K61" s="69"/>
      <c r="L61" s="69"/>
      <c r="M61" s="69"/>
      <c r="N61" s="69"/>
    </row>
    <row r="62" spans="1:15" ht="15.75">
      <c r="A62" s="69" t="s">
        <v>4378</v>
      </c>
      <c r="B62" s="69"/>
      <c r="C62" s="69"/>
      <c r="D62" s="69"/>
      <c r="E62" s="69"/>
      <c r="F62" s="46" t="s">
        <v>4055</v>
      </c>
      <c r="G62" s="69"/>
      <c r="H62" s="69"/>
      <c r="I62" s="69"/>
      <c r="J62" s="69"/>
      <c r="K62" s="69"/>
      <c r="L62" s="69"/>
      <c r="M62" s="69"/>
      <c r="N62" s="69"/>
      <c r="O62" s="46" t="s">
        <v>4016</v>
      </c>
    </row>
    <row r="63" spans="1:15">
      <c r="A63" s="69" t="s">
        <v>3680</v>
      </c>
      <c r="B63" s="69"/>
      <c r="C63" s="69"/>
      <c r="D63" s="69"/>
      <c r="E63" s="69"/>
      <c r="F63" s="46" t="s">
        <v>4056</v>
      </c>
      <c r="G63" s="69"/>
      <c r="H63" s="69"/>
      <c r="I63" s="69"/>
      <c r="J63" s="69"/>
      <c r="K63" s="69"/>
      <c r="L63" s="69"/>
      <c r="M63" s="69"/>
      <c r="N63" s="69"/>
    </row>
    <row r="65" spans="6:6">
      <c r="F65" s="46" t="s">
        <v>4057</v>
      </c>
    </row>
    <row r="66" spans="6:6">
      <c r="F66" s="46" t="s">
        <v>482</v>
      </c>
    </row>
    <row r="67" spans="6:6">
      <c r="F67" s="46" t="s">
        <v>4058</v>
      </c>
    </row>
    <row r="68" spans="6:6">
      <c r="F68" s="46" t="s">
        <v>4059</v>
      </c>
    </row>
    <row r="69" spans="6:6">
      <c r="F69" s="46" t="s">
        <v>4060</v>
      </c>
    </row>
    <row r="71" spans="6:6">
      <c r="F71" s="46" t="s">
        <v>4061</v>
      </c>
    </row>
    <row r="72" spans="6:6">
      <c r="F72" s="46" t="s">
        <v>4062</v>
      </c>
    </row>
    <row r="73" spans="6:6">
      <c r="F73" s="46" t="s">
        <v>4063</v>
      </c>
    </row>
    <row r="74" spans="6:6">
      <c r="F74" s="46" t="s">
        <v>4064</v>
      </c>
    </row>
    <row r="75" spans="6:6">
      <c r="F75" s="46" t="s">
        <v>4065</v>
      </c>
    </row>
    <row r="76" spans="6:6">
      <c r="F76" s="46" t="s">
        <v>4066</v>
      </c>
    </row>
    <row r="78" spans="6:6">
      <c r="F78" s="46" t="s">
        <v>4067</v>
      </c>
    </row>
    <row r="79" spans="6:6">
      <c r="F79" s="46" t="s">
        <v>4068</v>
      </c>
    </row>
    <row r="80" spans="6:6">
      <c r="F80" s="46" t="s">
        <v>4069</v>
      </c>
    </row>
    <row r="81" spans="6:6">
      <c r="F81" s="46" t="s">
        <v>1629</v>
      </c>
    </row>
    <row r="82" spans="6:6">
      <c r="F82" s="46" t="s">
        <v>4070</v>
      </c>
    </row>
    <row r="83" spans="6:6">
      <c r="F83" s="46" t="s">
        <v>3964</v>
      </c>
    </row>
    <row r="84" spans="6:6">
      <c r="F84" s="46" t="s">
        <v>4071</v>
      </c>
    </row>
    <row r="86" spans="6:6">
      <c r="F86" s="46" t="s">
        <v>4072</v>
      </c>
    </row>
    <row r="87" spans="6:6">
      <c r="F87" s="46" t="s">
        <v>4073</v>
      </c>
    </row>
    <row r="88" spans="6:6">
      <c r="F88" s="46" t="s">
        <v>4074</v>
      </c>
    </row>
    <row r="90" spans="6:6">
      <c r="F90" s="46" t="s">
        <v>4075</v>
      </c>
    </row>
    <row r="92" spans="6:6">
      <c r="F92" s="46" t="s">
        <v>4076</v>
      </c>
    </row>
    <row r="93" spans="6:6">
      <c r="F93" s="46" t="s">
        <v>4077</v>
      </c>
    </row>
    <row r="94" spans="6:6">
      <c r="F94" s="46" t="s">
        <v>4078</v>
      </c>
    </row>
    <row r="96" spans="6:6">
      <c r="F96" s="46" t="s">
        <v>4079</v>
      </c>
    </row>
    <row r="97" spans="6:6">
      <c r="F97" s="46" t="s">
        <v>4080</v>
      </c>
    </row>
    <row r="98" spans="6:6">
      <c r="F98" s="46" t="s">
        <v>4081</v>
      </c>
    </row>
    <row r="100" spans="6:6">
      <c r="F100" s="46" t="s">
        <v>4082</v>
      </c>
    </row>
    <row r="101" spans="6:6">
      <c r="F101" s="46" t="s">
        <v>4083</v>
      </c>
    </row>
    <row r="102" spans="6:6">
      <c r="F102" s="46" t="s">
        <v>4084</v>
      </c>
    </row>
    <row r="104" spans="6:6">
      <c r="F104" s="46" t="s">
        <v>4085</v>
      </c>
    </row>
    <row r="105" spans="6:6">
      <c r="F105" s="46" t="s">
        <v>4086</v>
      </c>
    </row>
    <row r="107" spans="6:6">
      <c r="F107" s="46" t="s">
        <v>4087</v>
      </c>
    </row>
    <row r="108" spans="6:6">
      <c r="F108" s="46" t="s">
        <v>4088</v>
      </c>
    </row>
    <row r="110" spans="6:6">
      <c r="F110" s="46" t="s">
        <v>4089</v>
      </c>
    </row>
    <row r="111" spans="6:6">
      <c r="F111" s="46" t="s">
        <v>4090</v>
      </c>
    </row>
    <row r="112" spans="6:6">
      <c r="F112" s="46" t="s">
        <v>4091</v>
      </c>
    </row>
    <row r="114" spans="6:6">
      <c r="F114" s="46" t="s">
        <v>4092</v>
      </c>
    </row>
    <row r="115" spans="6:6">
      <c r="F115" s="46" t="s">
        <v>4093</v>
      </c>
    </row>
  </sheetData>
  <hyperlinks>
    <hyperlink ref="A6" r:id="rId1" xr:uid="{00000000-0004-0000-1E00-000000000000}"/>
    <hyperlink ref="A7" r:id="rId2" xr:uid="{00000000-0004-0000-1E00-000001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tabColor theme="8" tint="-0.249977111117893"/>
  </sheetPr>
  <dimension ref="A1:Z61"/>
  <sheetViews>
    <sheetView showGridLines="0" zoomScaleNormal="100" workbookViewId="0"/>
  </sheetViews>
  <sheetFormatPr defaultColWidth="9.125" defaultRowHeight="15"/>
  <cols>
    <col min="1" max="1" width="9.125" style="59"/>
    <col min="2" max="2" width="7.375" style="59" customWidth="1"/>
    <col min="3" max="3" width="16.875" style="59" customWidth="1"/>
    <col min="4" max="4" width="47.375" style="59" customWidth="1"/>
    <col min="5" max="5" width="81.75" style="59" customWidth="1"/>
    <col min="6" max="6" width="9.125" style="59"/>
    <col min="7" max="7" width="7" style="59" customWidth="1"/>
    <col min="8" max="8" width="1.25" style="59" customWidth="1"/>
    <col min="9" max="9" width="28" style="59" customWidth="1"/>
    <col min="10" max="10" width="1.875" style="59" customWidth="1"/>
    <col min="11" max="11" width="9.125" style="59"/>
    <col min="12" max="12" width="25.25" style="59" customWidth="1"/>
    <col min="13" max="13" width="9.125" style="59"/>
    <col min="14" max="14" width="19.875" style="59" customWidth="1"/>
    <col min="15" max="15" width="4.25" style="59" customWidth="1"/>
    <col min="16" max="20" width="9.125" style="59"/>
    <col min="21" max="21" width="9" style="59" customWidth="1"/>
    <col min="22" max="16384" width="9.125" style="59"/>
  </cols>
  <sheetData>
    <row r="1" spans="1:26" ht="24">
      <c r="A1" s="58"/>
      <c r="B1" s="58"/>
      <c r="C1" s="58"/>
      <c r="D1" s="58"/>
      <c r="E1" s="52" t="s">
        <v>4323</v>
      </c>
      <c r="F1" s="58"/>
      <c r="G1" s="58"/>
      <c r="H1" s="58"/>
      <c r="I1" s="58"/>
      <c r="J1" s="58"/>
      <c r="K1" s="58"/>
      <c r="L1" s="58"/>
      <c r="M1" s="58"/>
      <c r="N1" s="58"/>
      <c r="O1" s="58"/>
      <c r="P1" s="58"/>
      <c r="Q1" s="58"/>
      <c r="R1" s="58"/>
      <c r="S1" s="58"/>
      <c r="T1" s="58"/>
      <c r="U1" s="58"/>
      <c r="V1" s="58"/>
      <c r="W1" s="58"/>
      <c r="X1" s="58"/>
      <c r="Y1" s="58"/>
      <c r="Z1" s="58"/>
    </row>
    <row r="2" spans="1:26" s="61" customFormat="1">
      <c r="A2" s="60" t="s">
        <v>3681</v>
      </c>
      <c r="B2" s="60"/>
      <c r="C2" s="60"/>
      <c r="D2" s="60"/>
      <c r="E2" s="60"/>
      <c r="F2" s="60"/>
      <c r="G2" s="60"/>
      <c r="H2" s="60"/>
      <c r="I2" s="60"/>
      <c r="J2" s="60"/>
      <c r="K2" s="60"/>
      <c r="L2" s="60"/>
      <c r="M2" s="60"/>
      <c r="N2" s="60"/>
      <c r="O2" s="60"/>
      <c r="P2" s="60"/>
      <c r="Q2" s="60"/>
      <c r="R2" s="60"/>
      <c r="S2" s="60"/>
      <c r="T2" s="60"/>
      <c r="U2" s="60"/>
      <c r="V2" s="60"/>
      <c r="W2" s="60"/>
      <c r="X2" s="60"/>
      <c r="Y2" s="60"/>
      <c r="Z2" s="60"/>
    </row>
    <row r="3" spans="1:26">
      <c r="A3" s="54" t="s">
        <v>3682</v>
      </c>
      <c r="B3" s="54"/>
      <c r="C3" s="54"/>
      <c r="D3" s="54"/>
      <c r="E3" s="54"/>
      <c r="F3" s="54"/>
      <c r="G3" s="54"/>
      <c r="H3" s="54"/>
      <c r="I3" s="54"/>
      <c r="J3" s="54"/>
      <c r="K3" s="54"/>
      <c r="L3" s="54"/>
      <c r="M3" s="54"/>
      <c r="N3" s="54"/>
      <c r="O3" s="54"/>
      <c r="P3" s="54"/>
      <c r="Q3" s="54"/>
      <c r="R3" s="54"/>
      <c r="S3" s="54"/>
      <c r="T3" s="54"/>
      <c r="U3" s="54"/>
      <c r="V3" s="54"/>
      <c r="W3" s="54"/>
      <c r="X3" s="54"/>
      <c r="Y3" s="54"/>
      <c r="Z3" s="54"/>
    </row>
    <row r="4" spans="1:26">
      <c r="A4" s="54" t="s">
        <v>3683</v>
      </c>
      <c r="B4" s="54"/>
      <c r="C4" s="54"/>
      <c r="D4" s="54"/>
      <c r="E4" s="54"/>
      <c r="F4" s="54"/>
      <c r="G4" s="54"/>
      <c r="H4" s="54"/>
      <c r="I4" s="54"/>
      <c r="J4" s="54"/>
      <c r="K4" s="54"/>
      <c r="L4" s="54"/>
      <c r="M4" s="54"/>
      <c r="N4" s="54"/>
      <c r="O4" s="54"/>
      <c r="P4" s="54"/>
      <c r="Q4" s="54"/>
      <c r="R4" s="54"/>
      <c r="S4" s="54"/>
      <c r="T4" s="54"/>
      <c r="U4" s="54"/>
      <c r="V4" s="54"/>
      <c r="W4" s="54"/>
      <c r="X4" s="54"/>
      <c r="Y4" s="54"/>
      <c r="Z4" s="54"/>
    </row>
    <row r="5" spans="1:26">
      <c r="A5" s="54" t="s">
        <v>3684</v>
      </c>
      <c r="B5" s="54"/>
      <c r="C5" s="54"/>
      <c r="D5" s="54"/>
      <c r="E5" s="54"/>
      <c r="F5" s="54"/>
      <c r="G5" s="54"/>
      <c r="H5" s="54"/>
      <c r="I5" s="54"/>
      <c r="J5" s="54"/>
      <c r="K5" s="54"/>
      <c r="L5" s="54"/>
      <c r="M5" s="54"/>
      <c r="N5" s="54"/>
      <c r="O5" s="54"/>
      <c r="P5" s="54"/>
      <c r="Q5" s="54"/>
      <c r="R5" s="54"/>
      <c r="S5" s="54"/>
      <c r="T5" s="54"/>
      <c r="U5" s="54"/>
      <c r="V5" s="54"/>
      <c r="W5" s="54"/>
      <c r="X5" s="54"/>
      <c r="Y5" s="54"/>
      <c r="Z5" s="54"/>
    </row>
    <row r="6" spans="1:26">
      <c r="A6" s="54"/>
      <c r="B6" s="54"/>
      <c r="C6" s="54"/>
      <c r="D6" s="54"/>
      <c r="E6" s="54"/>
      <c r="F6" s="54"/>
      <c r="G6" s="54"/>
      <c r="H6" s="54"/>
      <c r="I6" s="54"/>
      <c r="J6" s="54"/>
      <c r="K6" s="54"/>
      <c r="L6" s="54"/>
      <c r="M6" s="54"/>
      <c r="N6" s="54"/>
      <c r="O6" s="54"/>
      <c r="P6" s="54"/>
      <c r="Q6" s="54"/>
      <c r="R6" s="54"/>
      <c r="S6" s="54"/>
      <c r="T6" s="54"/>
      <c r="U6" s="54"/>
      <c r="V6" s="54"/>
      <c r="W6" s="54"/>
      <c r="X6" s="54"/>
      <c r="Y6" s="54"/>
      <c r="Z6" s="54"/>
    </row>
    <row r="7" spans="1:26">
      <c r="A7" s="54"/>
      <c r="B7" s="54"/>
      <c r="C7" s="54"/>
      <c r="D7" s="54"/>
      <c r="E7" s="54"/>
      <c r="F7" s="54"/>
      <c r="G7" s="54"/>
      <c r="H7" s="54"/>
      <c r="I7" s="54"/>
      <c r="J7" s="54"/>
      <c r="K7" s="54"/>
      <c r="L7" s="54"/>
      <c r="M7" s="54"/>
      <c r="N7" s="54"/>
      <c r="O7" s="54"/>
      <c r="P7" s="54"/>
      <c r="Q7" s="54"/>
      <c r="R7" s="54"/>
      <c r="S7" s="54"/>
      <c r="T7" s="54"/>
      <c r="U7" s="54"/>
      <c r="V7" s="54"/>
      <c r="W7" s="54"/>
      <c r="X7" s="54"/>
      <c r="Y7" s="54"/>
      <c r="Z7" s="54"/>
    </row>
    <row r="8" spans="1:26" s="61" customFormat="1">
      <c r="A8" s="60" t="s">
        <v>3685</v>
      </c>
      <c r="B8" s="60"/>
      <c r="C8" s="60"/>
      <c r="D8" s="60"/>
      <c r="E8" s="60" t="s">
        <v>3686</v>
      </c>
      <c r="F8" s="60" t="s">
        <v>3687</v>
      </c>
      <c r="G8" s="60"/>
      <c r="H8" s="60"/>
      <c r="I8" s="60"/>
      <c r="J8" s="60"/>
      <c r="K8" s="60"/>
      <c r="L8" s="60"/>
      <c r="M8" s="60" t="s">
        <v>3688</v>
      </c>
      <c r="N8" s="60"/>
      <c r="O8" s="60" t="s">
        <v>3688</v>
      </c>
      <c r="P8" s="60"/>
      <c r="Q8" s="60"/>
      <c r="R8" s="60"/>
      <c r="S8" s="60"/>
      <c r="T8" s="60"/>
      <c r="U8" s="60"/>
      <c r="V8" s="60"/>
      <c r="W8" s="60"/>
      <c r="X8" s="60"/>
      <c r="Y8" s="62"/>
      <c r="Z8" s="60"/>
    </row>
    <row r="9" spans="1:26">
      <c r="A9" s="54" t="s">
        <v>3689</v>
      </c>
      <c r="B9" s="54"/>
      <c r="C9" s="54"/>
      <c r="D9" s="54"/>
      <c r="E9" s="54" t="s">
        <v>3690</v>
      </c>
      <c r="F9" s="54" t="s">
        <v>3691</v>
      </c>
      <c r="G9" s="54"/>
      <c r="H9" s="54"/>
      <c r="I9" s="54"/>
      <c r="J9" s="54"/>
      <c r="K9" s="54"/>
      <c r="L9" s="54"/>
      <c r="M9" s="54" t="s">
        <v>3692</v>
      </c>
      <c r="N9" s="54"/>
      <c r="O9" s="54" t="s">
        <v>3693</v>
      </c>
      <c r="P9" s="54"/>
      <c r="Q9" s="54"/>
      <c r="R9" s="54"/>
      <c r="S9" s="54"/>
      <c r="T9" s="54"/>
      <c r="U9" s="54"/>
      <c r="V9" s="54"/>
      <c r="W9" s="54"/>
      <c r="X9" s="54"/>
      <c r="Y9" s="63"/>
      <c r="Z9" s="54"/>
    </row>
    <row r="10" spans="1:26">
      <c r="A10" s="54" t="s">
        <v>3694</v>
      </c>
      <c r="B10" s="54"/>
      <c r="C10" s="54"/>
      <c r="D10" s="54"/>
      <c r="E10" s="54" t="s">
        <v>3695</v>
      </c>
      <c r="F10" s="54" t="s">
        <v>3696</v>
      </c>
      <c r="G10" s="54"/>
      <c r="H10" s="54"/>
      <c r="I10" s="54"/>
      <c r="J10" s="54"/>
      <c r="K10" s="54"/>
      <c r="L10" s="54"/>
      <c r="M10" s="54" t="s">
        <v>3697</v>
      </c>
      <c r="N10" s="54"/>
      <c r="O10" s="54" t="s">
        <v>3697</v>
      </c>
      <c r="P10" s="54"/>
      <c r="Q10" s="54"/>
      <c r="R10" s="54"/>
      <c r="S10" s="54"/>
      <c r="T10" s="54"/>
      <c r="U10" s="54"/>
      <c r="V10" s="54"/>
      <c r="W10" s="54"/>
      <c r="X10" s="54"/>
      <c r="Y10" s="63"/>
      <c r="Z10" s="54"/>
    </row>
    <row r="11" spans="1:26">
      <c r="A11" s="54" t="s">
        <v>3698</v>
      </c>
      <c r="B11" s="54"/>
      <c r="C11" s="54"/>
      <c r="D11" s="54"/>
      <c r="E11" s="54" t="s">
        <v>3699</v>
      </c>
      <c r="F11" s="54" t="s">
        <v>3700</v>
      </c>
      <c r="G11" s="54"/>
      <c r="H11" s="54"/>
      <c r="I11" s="54"/>
      <c r="J11" s="54"/>
      <c r="K11" s="54"/>
      <c r="L11" s="54"/>
      <c r="M11" s="54" t="s">
        <v>3701</v>
      </c>
      <c r="N11" s="54"/>
      <c r="O11" s="54" t="s">
        <v>3702</v>
      </c>
      <c r="P11" s="54"/>
      <c r="Q11" s="54"/>
      <c r="R11" s="54"/>
      <c r="S11" s="54"/>
      <c r="T11" s="54"/>
      <c r="U11" s="54"/>
      <c r="V11" s="54"/>
      <c r="W11" s="54"/>
      <c r="X11" s="54"/>
      <c r="Y11" s="63"/>
      <c r="Z11" s="54"/>
    </row>
    <row r="12" spans="1:26">
      <c r="A12" s="54" t="s">
        <v>3703</v>
      </c>
      <c r="B12" s="54"/>
      <c r="C12" s="54"/>
      <c r="D12" s="54"/>
      <c r="E12" s="54" t="s">
        <v>3704</v>
      </c>
      <c r="F12" s="54" t="s">
        <v>3705</v>
      </c>
      <c r="G12" s="54"/>
      <c r="H12" s="54"/>
      <c r="I12" s="54"/>
      <c r="J12" s="54"/>
      <c r="K12" s="54"/>
      <c r="L12" s="54"/>
      <c r="M12" s="54" t="s">
        <v>3706</v>
      </c>
      <c r="N12" s="54"/>
      <c r="O12" s="54" t="s">
        <v>3707</v>
      </c>
      <c r="P12" s="54"/>
      <c r="Q12" s="54"/>
      <c r="R12" s="54"/>
      <c r="S12" s="54"/>
      <c r="T12" s="54"/>
      <c r="U12" s="54"/>
      <c r="V12" s="54"/>
      <c r="W12" s="54"/>
      <c r="X12" s="54"/>
      <c r="Y12" s="63"/>
      <c r="Z12" s="54"/>
    </row>
    <row r="13" spans="1:26">
      <c r="A13" s="54" t="s">
        <v>3708</v>
      </c>
      <c r="B13" s="54"/>
      <c r="C13" s="54"/>
      <c r="D13" s="54"/>
      <c r="E13" s="54" t="s">
        <v>3709</v>
      </c>
      <c r="F13" s="54" t="s">
        <v>3710</v>
      </c>
      <c r="G13" s="54"/>
      <c r="H13" s="54"/>
      <c r="I13" s="54"/>
      <c r="J13" s="54"/>
      <c r="K13" s="54"/>
      <c r="L13" s="54"/>
      <c r="M13" s="54"/>
      <c r="N13" s="54"/>
      <c r="O13" s="54"/>
      <c r="P13" s="54"/>
      <c r="Q13" s="54"/>
      <c r="R13" s="54"/>
      <c r="S13" s="54"/>
      <c r="T13" s="54"/>
      <c r="U13" s="54"/>
      <c r="V13" s="54"/>
      <c r="W13" s="54"/>
      <c r="X13" s="54"/>
      <c r="Y13" s="63"/>
      <c r="Z13" s="54"/>
    </row>
    <row r="14" spans="1:26">
      <c r="A14" s="54" t="s">
        <v>3711</v>
      </c>
      <c r="B14" s="54"/>
      <c r="C14" s="54"/>
      <c r="D14" s="54"/>
      <c r="E14" s="54" t="s">
        <v>3712</v>
      </c>
      <c r="F14" s="54" t="s">
        <v>3713</v>
      </c>
      <c r="G14" s="54"/>
      <c r="H14" s="54"/>
      <c r="I14" s="54"/>
      <c r="J14" s="54"/>
      <c r="K14" s="54"/>
      <c r="L14" s="54"/>
      <c r="M14" s="54"/>
      <c r="N14" s="54"/>
      <c r="O14" s="54"/>
      <c r="P14" s="54"/>
      <c r="Q14" s="54"/>
      <c r="R14" s="54"/>
      <c r="S14" s="54"/>
      <c r="T14" s="54"/>
      <c r="U14" s="54"/>
      <c r="V14" s="54"/>
      <c r="W14" s="54"/>
      <c r="X14" s="54"/>
      <c r="Y14" s="63"/>
      <c r="Z14" s="54"/>
    </row>
    <row r="15" spans="1:26">
      <c r="A15" s="54"/>
      <c r="B15" s="54"/>
      <c r="C15" s="54"/>
      <c r="D15" s="54"/>
      <c r="E15" s="54"/>
      <c r="F15" s="54"/>
      <c r="G15" s="54"/>
      <c r="H15" s="54"/>
      <c r="I15" s="54"/>
      <c r="J15" s="54"/>
      <c r="K15" s="54"/>
      <c r="L15" s="54"/>
      <c r="M15" s="54"/>
      <c r="N15" s="54"/>
      <c r="O15" s="54"/>
      <c r="P15" s="54"/>
      <c r="Q15" s="54"/>
      <c r="R15" s="54"/>
      <c r="S15" s="54"/>
      <c r="T15" s="54"/>
      <c r="U15" s="54"/>
      <c r="V15" s="54"/>
      <c r="W15" s="54"/>
      <c r="X15" s="54"/>
      <c r="Y15" s="63"/>
      <c r="Z15" s="54"/>
    </row>
    <row r="16" spans="1:26" s="61" customFormat="1">
      <c r="A16" s="60" t="s">
        <v>3714</v>
      </c>
      <c r="B16" s="60"/>
      <c r="C16" s="60"/>
      <c r="D16" s="60"/>
      <c r="E16" s="60"/>
      <c r="F16" s="60"/>
      <c r="G16" s="60"/>
      <c r="H16" s="60"/>
      <c r="I16" s="60"/>
      <c r="J16" s="60"/>
      <c r="K16" s="60"/>
      <c r="L16" s="60"/>
      <c r="M16" s="60"/>
      <c r="N16" s="60"/>
      <c r="O16" s="60"/>
      <c r="P16" s="60"/>
      <c r="Q16" s="60"/>
      <c r="R16" s="60"/>
      <c r="S16" s="60"/>
      <c r="T16" s="60"/>
      <c r="U16" s="60"/>
      <c r="V16" s="60"/>
      <c r="W16" s="60"/>
      <c r="X16" s="60"/>
      <c r="Y16" s="62"/>
      <c r="Z16" s="60"/>
    </row>
    <row r="17" spans="1:26">
      <c r="A17" s="54" t="s">
        <v>3715</v>
      </c>
      <c r="B17" s="54"/>
      <c r="C17" s="54"/>
      <c r="D17" s="54"/>
      <c r="E17" s="54"/>
      <c r="F17" s="54"/>
      <c r="G17" s="54"/>
      <c r="H17" s="54"/>
      <c r="I17" s="54"/>
      <c r="J17" s="54"/>
      <c r="K17" s="54"/>
      <c r="L17" s="54"/>
      <c r="M17" s="54"/>
      <c r="N17" s="54"/>
      <c r="O17" s="54"/>
      <c r="P17" s="54"/>
      <c r="Q17" s="54"/>
      <c r="R17" s="54"/>
      <c r="S17" s="54"/>
      <c r="T17" s="54"/>
      <c r="U17" s="54"/>
      <c r="V17" s="54"/>
      <c r="W17" s="54"/>
      <c r="X17" s="54"/>
      <c r="Y17" s="63"/>
      <c r="Z17" s="54"/>
    </row>
    <row r="18" spans="1:26">
      <c r="A18" s="54" t="s">
        <v>3716</v>
      </c>
      <c r="B18" s="54"/>
      <c r="C18" s="54"/>
      <c r="D18" s="54"/>
      <c r="E18" s="54"/>
      <c r="F18" s="54"/>
      <c r="G18" s="54"/>
      <c r="H18" s="54"/>
      <c r="I18" s="54"/>
      <c r="J18" s="54"/>
      <c r="K18" s="54"/>
      <c r="L18" s="54"/>
      <c r="M18" s="54"/>
      <c r="N18" s="54"/>
      <c r="O18" s="54"/>
      <c r="P18" s="54"/>
      <c r="Q18" s="54"/>
      <c r="R18" s="54"/>
      <c r="S18" s="54"/>
      <c r="T18" s="54"/>
      <c r="U18" s="54"/>
      <c r="V18" s="54"/>
      <c r="W18" s="54"/>
      <c r="X18" s="54"/>
      <c r="Y18" s="63"/>
      <c r="Z18" s="54"/>
    </row>
    <row r="19" spans="1:26">
      <c r="A19" s="54" t="s">
        <v>3717</v>
      </c>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c r="A20" s="54" t="s">
        <v>3718</v>
      </c>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c r="A21" s="54" t="s">
        <v>3309</v>
      </c>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c r="A22" s="54" t="s">
        <v>3719</v>
      </c>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c r="A23" s="54" t="s">
        <v>3720</v>
      </c>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c r="A24" s="54" t="s">
        <v>3721</v>
      </c>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c r="A25" s="54" t="s">
        <v>3722</v>
      </c>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c r="A26" s="54" t="s">
        <v>3723</v>
      </c>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c r="A27" s="54" t="s">
        <v>3724</v>
      </c>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c r="A28" s="54" t="s">
        <v>3725</v>
      </c>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s="61" customFormat="1">
      <c r="A30" s="60" t="s">
        <v>3726</v>
      </c>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spans="1:26">
      <c r="A31" s="54" t="s">
        <v>3727</v>
      </c>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c r="A32" s="54" t="s">
        <v>3728</v>
      </c>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s="61" customFormat="1">
      <c r="A34" s="60" t="s">
        <v>3729</v>
      </c>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spans="1:26">
      <c r="A35" s="54" t="s">
        <v>3730</v>
      </c>
      <c r="B35" s="54"/>
      <c r="C35" s="54"/>
      <c r="D35" s="54"/>
      <c r="E35" s="54" t="s">
        <v>3731</v>
      </c>
      <c r="F35" s="54"/>
      <c r="G35" s="54"/>
      <c r="H35" s="54"/>
      <c r="I35" s="54" t="s">
        <v>3732</v>
      </c>
      <c r="J35" s="64" t="s">
        <v>3733</v>
      </c>
      <c r="K35" s="54"/>
      <c r="L35" s="54"/>
      <c r="M35" s="54" t="s">
        <v>3734</v>
      </c>
      <c r="N35" s="54"/>
      <c r="O35" s="54"/>
      <c r="P35" s="54"/>
      <c r="Q35" s="54"/>
      <c r="R35" s="54"/>
      <c r="S35" s="54"/>
      <c r="T35" s="54"/>
      <c r="U35" s="54"/>
      <c r="V35" s="54"/>
      <c r="W35" s="54"/>
      <c r="X35" s="54"/>
      <c r="Y35" s="54"/>
      <c r="Z35" s="54"/>
    </row>
    <row r="36" spans="1:26">
      <c r="A36" s="54" t="s">
        <v>3735</v>
      </c>
      <c r="B36" s="54"/>
      <c r="C36" s="54"/>
      <c r="D36" s="54"/>
      <c r="E36" s="54" t="s">
        <v>3736</v>
      </c>
      <c r="F36" s="54"/>
      <c r="G36" s="54"/>
      <c r="H36" s="54"/>
      <c r="I36" s="54" t="s">
        <v>4302</v>
      </c>
      <c r="J36" s="46" t="s">
        <v>4303</v>
      </c>
      <c r="K36" s="54"/>
      <c r="L36" s="54"/>
      <c r="M36" s="46" t="s">
        <v>4306</v>
      </c>
      <c r="N36" s="54"/>
      <c r="O36" s="54"/>
      <c r="P36" s="54"/>
      <c r="Q36" s="54"/>
      <c r="R36" s="54"/>
      <c r="S36" s="54"/>
      <c r="T36" s="54"/>
      <c r="U36" s="54"/>
      <c r="V36" s="54"/>
      <c r="W36" s="54"/>
      <c r="X36" s="54"/>
      <c r="Y36" s="54"/>
      <c r="Z36" s="54"/>
    </row>
    <row r="37" spans="1:26">
      <c r="A37" s="54" t="s">
        <v>3737</v>
      </c>
      <c r="B37" s="54"/>
      <c r="C37" s="54"/>
      <c r="D37" s="54"/>
      <c r="E37" s="54" t="s">
        <v>3738</v>
      </c>
      <c r="F37" s="54"/>
      <c r="G37" s="54"/>
      <c r="H37" s="54"/>
      <c r="I37" s="54" t="s">
        <v>4301</v>
      </c>
      <c r="J37" s="46" t="s">
        <v>4304</v>
      </c>
      <c r="K37" s="54"/>
      <c r="L37" s="54"/>
      <c r="M37" s="54"/>
      <c r="N37" s="54"/>
      <c r="O37" s="54"/>
      <c r="P37" s="54"/>
      <c r="Q37" s="54"/>
      <c r="R37" s="54"/>
      <c r="S37" s="54"/>
      <c r="T37" s="54"/>
      <c r="U37" s="54"/>
      <c r="V37" s="54"/>
      <c r="W37" s="54"/>
      <c r="X37" s="54"/>
      <c r="Y37" s="54"/>
      <c r="Z37" s="54"/>
    </row>
    <row r="38" spans="1:26">
      <c r="A38" s="54" t="s">
        <v>3739</v>
      </c>
      <c r="B38" s="54"/>
      <c r="C38" s="54"/>
      <c r="D38" s="54"/>
      <c r="E38" s="54" t="s">
        <v>3740</v>
      </c>
      <c r="F38" s="54"/>
      <c r="G38" s="54"/>
      <c r="H38" s="54"/>
      <c r="I38" s="54"/>
      <c r="J38" s="46" t="s">
        <v>4305</v>
      </c>
      <c r="K38" s="54"/>
      <c r="L38" s="54"/>
      <c r="M38" s="54"/>
      <c r="N38" s="54"/>
      <c r="O38" s="54"/>
      <c r="P38" s="54"/>
      <c r="Q38" s="54"/>
      <c r="R38" s="54"/>
      <c r="S38" s="54"/>
      <c r="T38" s="54"/>
      <c r="U38" s="54"/>
      <c r="V38" s="54"/>
      <c r="W38" s="54"/>
      <c r="X38" s="54"/>
      <c r="Y38" s="54"/>
      <c r="Z38" s="54"/>
    </row>
    <row r="39" spans="1:26">
      <c r="A39" s="54" t="s">
        <v>3741</v>
      </c>
      <c r="B39" s="54"/>
      <c r="C39" s="54"/>
      <c r="D39" s="54"/>
      <c r="E39" s="54" t="s">
        <v>3742</v>
      </c>
      <c r="F39" s="54"/>
      <c r="G39" s="54"/>
      <c r="H39" s="54"/>
      <c r="I39" s="46"/>
      <c r="J39" s="54"/>
      <c r="K39" s="54"/>
      <c r="L39" s="54"/>
      <c r="M39" s="54"/>
      <c r="N39" s="54"/>
      <c r="O39" s="54"/>
      <c r="P39" s="54"/>
      <c r="Q39" s="54"/>
      <c r="R39" s="54"/>
      <c r="S39" s="54"/>
      <c r="T39" s="54"/>
      <c r="U39" s="54"/>
      <c r="V39" s="54"/>
      <c r="W39" s="54"/>
      <c r="X39" s="54"/>
      <c r="Y39" s="54"/>
      <c r="Z39" s="54"/>
    </row>
    <row r="40" spans="1:26">
      <c r="A40" s="54" t="s">
        <v>3743</v>
      </c>
      <c r="B40" s="54"/>
      <c r="C40" s="54"/>
      <c r="D40" s="54"/>
      <c r="E40" s="54" t="s">
        <v>3744</v>
      </c>
      <c r="F40" s="54"/>
      <c r="G40" s="54"/>
      <c r="H40" s="54"/>
      <c r="I40" s="54"/>
      <c r="J40" s="54"/>
      <c r="K40" s="54"/>
      <c r="L40" s="54"/>
      <c r="M40" s="54"/>
      <c r="N40" s="54"/>
      <c r="O40" s="54"/>
      <c r="P40" s="54"/>
      <c r="Q40" s="54"/>
      <c r="R40" s="54"/>
      <c r="S40" s="54"/>
      <c r="T40" s="54"/>
      <c r="U40" s="54"/>
      <c r="V40" s="54"/>
      <c r="W40" s="54"/>
      <c r="X40" s="54"/>
      <c r="Y40" s="54"/>
      <c r="Z40" s="54"/>
    </row>
    <row r="41" spans="1:26">
      <c r="A41" s="54" t="s">
        <v>3745</v>
      </c>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c r="A42" s="54" t="s">
        <v>3746</v>
      </c>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c r="A43" s="54"/>
      <c r="B43" s="54"/>
      <c r="C43" s="54"/>
      <c r="D43" s="54"/>
      <c r="E43" s="54"/>
      <c r="F43" s="54"/>
      <c r="G43" s="54"/>
      <c r="H43" s="54"/>
      <c r="I43" s="54"/>
      <c r="J43" s="54"/>
      <c r="K43" s="54"/>
      <c r="L43" s="54"/>
      <c r="M43" s="54"/>
      <c r="N43" s="54"/>
      <c r="O43" s="64" t="s">
        <v>3747</v>
      </c>
      <c r="P43" s="64"/>
      <c r="Q43" s="64"/>
      <c r="R43" s="64"/>
      <c r="S43" s="64"/>
      <c r="T43" s="64"/>
      <c r="U43" s="54"/>
      <c r="V43" s="54"/>
      <c r="W43" s="54"/>
      <c r="X43" s="54"/>
      <c r="Y43" s="54"/>
      <c r="Z43" s="54"/>
    </row>
    <row r="44" spans="1:26" s="61" customFormat="1">
      <c r="A44" s="60" t="s">
        <v>3748</v>
      </c>
      <c r="B44" s="60"/>
      <c r="C44" s="60"/>
      <c r="D44" s="60"/>
      <c r="E44" s="60"/>
      <c r="F44" s="60"/>
      <c r="G44" s="60"/>
      <c r="H44" s="60"/>
      <c r="I44" s="60"/>
      <c r="J44" s="60"/>
      <c r="K44" s="60"/>
      <c r="L44" s="60"/>
      <c r="M44" s="60"/>
      <c r="N44" s="60"/>
      <c r="O44" s="60"/>
      <c r="P44" s="60" t="s">
        <v>3749</v>
      </c>
      <c r="Q44" s="60"/>
      <c r="R44" s="60"/>
      <c r="S44" s="60"/>
      <c r="T44" s="60"/>
      <c r="U44" s="60"/>
      <c r="V44" s="60"/>
      <c r="W44" s="60"/>
      <c r="X44" s="60"/>
      <c r="Y44" s="60"/>
      <c r="Z44" s="60"/>
    </row>
    <row r="45" spans="1:26">
      <c r="A45" s="46" t="s">
        <v>4293</v>
      </c>
      <c r="B45" s="54"/>
      <c r="C45" s="54"/>
      <c r="D45" s="46" t="s">
        <v>4294</v>
      </c>
      <c r="E45" s="54"/>
      <c r="F45" s="54"/>
      <c r="G45" s="54"/>
      <c r="H45" s="54"/>
      <c r="I45" s="54"/>
      <c r="J45" s="54"/>
      <c r="K45" s="54"/>
      <c r="L45" s="54"/>
      <c r="M45" s="54"/>
      <c r="N45" s="54"/>
      <c r="O45" s="64"/>
      <c r="P45" s="64" t="s">
        <v>3750</v>
      </c>
      <c r="Q45" s="64"/>
      <c r="R45" s="64"/>
      <c r="S45" s="64"/>
      <c r="T45" s="64"/>
      <c r="U45" s="54"/>
      <c r="V45" s="54"/>
      <c r="W45" s="54"/>
      <c r="X45" s="54"/>
      <c r="Y45" s="54"/>
      <c r="Z45" s="54"/>
    </row>
    <row r="46" spans="1:26">
      <c r="A46" s="46" t="s">
        <v>4295</v>
      </c>
      <c r="B46" s="54"/>
      <c r="C46" s="54"/>
      <c r="D46" s="46" t="s">
        <v>4296</v>
      </c>
      <c r="E46" s="54"/>
      <c r="F46" s="54"/>
      <c r="G46" s="54"/>
      <c r="H46" s="54"/>
      <c r="I46" s="54"/>
      <c r="J46" s="54"/>
      <c r="K46" s="54"/>
      <c r="L46" s="54"/>
      <c r="M46" s="54"/>
      <c r="N46" s="54"/>
      <c r="O46" s="64"/>
      <c r="P46" s="64" t="s">
        <v>3751</v>
      </c>
      <c r="Q46" s="64"/>
      <c r="R46" s="64"/>
      <c r="S46" s="64"/>
      <c r="T46" s="64"/>
      <c r="U46" s="54"/>
      <c r="V46" s="54"/>
      <c r="W46" s="54"/>
      <c r="X46" s="54"/>
      <c r="Y46" s="54"/>
      <c r="Z46" s="54"/>
    </row>
    <row r="47" spans="1:26">
      <c r="A47" s="46" t="s">
        <v>4297</v>
      </c>
      <c r="B47" s="54"/>
      <c r="C47" s="54"/>
      <c r="D47" s="46" t="s">
        <v>4298</v>
      </c>
      <c r="E47" s="54"/>
      <c r="F47" s="54"/>
      <c r="G47" s="54"/>
      <c r="H47" s="54"/>
      <c r="I47" s="54"/>
      <c r="J47" s="54"/>
      <c r="K47" s="54"/>
      <c r="L47" s="54"/>
      <c r="M47" s="54"/>
      <c r="N47" s="54"/>
      <c r="O47" s="64"/>
      <c r="P47" s="64" t="s">
        <v>348</v>
      </c>
      <c r="Q47" s="64"/>
      <c r="R47" s="64"/>
      <c r="S47" s="64"/>
      <c r="T47" s="64"/>
      <c r="U47" s="54"/>
      <c r="V47" s="54"/>
      <c r="W47" s="54"/>
      <c r="X47" s="54"/>
      <c r="Y47" s="54"/>
      <c r="Z47" s="54"/>
    </row>
    <row r="48" spans="1:26">
      <c r="A48" s="54" t="s">
        <v>3752</v>
      </c>
      <c r="B48" s="54"/>
      <c r="C48" s="54"/>
      <c r="D48" s="46" t="s">
        <v>4299</v>
      </c>
      <c r="E48" s="54"/>
      <c r="F48" s="54"/>
      <c r="G48" s="54"/>
      <c r="H48" s="54"/>
      <c r="I48" s="54"/>
      <c r="J48" s="54"/>
      <c r="K48" s="54"/>
      <c r="L48" s="54"/>
      <c r="M48" s="54"/>
      <c r="N48" s="54"/>
      <c r="O48" s="64" t="s">
        <v>3753</v>
      </c>
      <c r="P48" s="64"/>
      <c r="R48" s="64"/>
      <c r="S48" s="64"/>
      <c r="T48" s="64"/>
      <c r="U48" s="54"/>
      <c r="V48" s="54"/>
      <c r="W48" s="54"/>
      <c r="X48" s="54"/>
      <c r="Y48" s="54"/>
      <c r="Z48" s="54"/>
    </row>
    <row r="49" spans="1:26" s="61" customFormat="1">
      <c r="A49" s="60" t="s">
        <v>4300</v>
      </c>
      <c r="B49" s="60"/>
      <c r="C49" s="60"/>
      <c r="D49" s="60"/>
      <c r="E49" s="60"/>
      <c r="F49" s="60"/>
      <c r="G49" s="60"/>
      <c r="H49" s="60"/>
      <c r="I49" s="60"/>
      <c r="J49" s="60"/>
      <c r="K49" s="60"/>
      <c r="L49" s="60"/>
      <c r="M49" s="60"/>
      <c r="N49" s="60"/>
      <c r="O49" s="60" t="s">
        <v>3754</v>
      </c>
      <c r="P49" s="60"/>
      <c r="R49" s="60"/>
      <c r="S49" s="60"/>
      <c r="T49" s="60"/>
      <c r="U49" s="60"/>
      <c r="V49" s="60"/>
      <c r="W49" s="60"/>
      <c r="X49" s="60"/>
      <c r="Y49" s="60"/>
      <c r="Z49" s="60"/>
    </row>
    <row r="50" spans="1:26">
      <c r="A50" s="64" t="s">
        <v>3755</v>
      </c>
      <c r="B50" s="64"/>
      <c r="C50" s="64"/>
      <c r="D50" s="54"/>
      <c r="E50" s="54"/>
      <c r="F50" s="64" t="s">
        <v>3756</v>
      </c>
      <c r="G50" s="54"/>
      <c r="H50" s="54"/>
      <c r="I50" s="54"/>
      <c r="J50" s="54"/>
      <c r="K50" s="54"/>
      <c r="L50" s="54"/>
      <c r="M50" s="54"/>
      <c r="N50" s="54"/>
      <c r="O50" s="64" t="s">
        <v>3757</v>
      </c>
      <c r="P50" s="64"/>
      <c r="R50" s="64"/>
      <c r="S50" s="64"/>
      <c r="T50" s="64"/>
      <c r="U50" s="54"/>
      <c r="V50" s="54"/>
      <c r="W50" s="54"/>
      <c r="X50" s="54"/>
      <c r="Y50" s="54"/>
      <c r="Z50" s="54"/>
    </row>
    <row r="51" spans="1:26">
      <c r="A51" s="54" t="s">
        <v>3758</v>
      </c>
      <c r="B51" s="54" t="s">
        <v>3306</v>
      </c>
      <c r="C51" s="54" t="s">
        <v>3759</v>
      </c>
      <c r="D51" s="54"/>
      <c r="E51" s="54"/>
      <c r="F51" s="54" t="s">
        <v>3758</v>
      </c>
      <c r="G51" s="54" t="s">
        <v>3306</v>
      </c>
      <c r="H51" s="54" t="s">
        <v>3759</v>
      </c>
      <c r="I51" s="54"/>
      <c r="J51" s="54"/>
      <c r="K51" s="54"/>
      <c r="L51" s="54"/>
      <c r="M51" s="54"/>
      <c r="N51" s="54"/>
      <c r="O51" s="64" t="s">
        <v>3760</v>
      </c>
      <c r="P51" s="64"/>
      <c r="R51" s="64"/>
      <c r="S51" s="64"/>
      <c r="T51" s="64"/>
      <c r="U51" s="54"/>
      <c r="V51" s="54"/>
      <c r="W51" s="54"/>
      <c r="X51" s="54"/>
      <c r="Y51" s="54"/>
      <c r="Z51" s="54"/>
    </row>
    <row r="52" spans="1:26">
      <c r="A52" s="54" t="s">
        <v>3715</v>
      </c>
      <c r="B52" s="54"/>
      <c r="C52" s="54"/>
      <c r="D52" s="54"/>
      <c r="E52" s="54"/>
      <c r="F52" s="54" t="s">
        <v>3761</v>
      </c>
      <c r="G52" s="54" t="s">
        <v>3762</v>
      </c>
      <c r="H52" s="54" t="s">
        <v>3763</v>
      </c>
      <c r="I52" s="54"/>
      <c r="J52" s="54"/>
      <c r="K52" s="54"/>
      <c r="L52" s="54"/>
      <c r="M52" s="54"/>
      <c r="N52" s="54"/>
      <c r="O52" s="64"/>
      <c r="P52" s="64"/>
      <c r="Q52" s="64"/>
      <c r="R52" s="64"/>
      <c r="S52" s="64"/>
      <c r="T52" s="64"/>
      <c r="V52" s="54"/>
      <c r="W52" s="54"/>
      <c r="X52" s="54"/>
      <c r="Y52" s="54"/>
      <c r="Z52" s="54"/>
    </row>
    <row r="53" spans="1:26">
      <c r="A53" s="54" t="s">
        <v>3765</v>
      </c>
      <c r="B53" s="54" t="s">
        <v>3766</v>
      </c>
      <c r="C53" s="54" t="s">
        <v>3767</v>
      </c>
      <c r="D53" s="54"/>
      <c r="E53" s="54"/>
      <c r="F53" s="54" t="s">
        <v>3321</v>
      </c>
      <c r="G53" s="54" t="s">
        <v>3768</v>
      </c>
      <c r="H53" s="54" t="s">
        <v>3769</v>
      </c>
      <c r="I53" s="54"/>
      <c r="J53" s="54"/>
      <c r="K53" s="54"/>
      <c r="L53" s="54"/>
      <c r="M53" s="54"/>
      <c r="N53" s="54"/>
      <c r="O53" s="64"/>
      <c r="P53" s="64" t="s">
        <v>3770</v>
      </c>
      <c r="Q53" s="64"/>
      <c r="R53" s="64"/>
      <c r="S53" s="64"/>
      <c r="T53" s="64"/>
      <c r="V53" s="54"/>
      <c r="W53" s="54"/>
      <c r="X53" s="54"/>
      <c r="Y53" s="54"/>
      <c r="Z53" s="54"/>
    </row>
    <row r="54" spans="1:26">
      <c r="A54" s="54" t="s">
        <v>3717</v>
      </c>
      <c r="B54" s="54" t="s">
        <v>3766</v>
      </c>
      <c r="C54" s="54" t="s">
        <v>3772</v>
      </c>
      <c r="D54" s="54"/>
      <c r="E54" s="54"/>
      <c r="F54" s="54"/>
      <c r="G54" s="54" t="s">
        <v>3773</v>
      </c>
      <c r="H54" s="54"/>
      <c r="I54" s="54"/>
      <c r="J54" s="54"/>
      <c r="K54" s="54"/>
      <c r="L54" s="54"/>
      <c r="M54" s="54"/>
      <c r="N54" s="54"/>
      <c r="O54" s="64"/>
      <c r="P54" s="64" t="s">
        <v>3774</v>
      </c>
      <c r="R54" s="64"/>
      <c r="S54" s="64"/>
      <c r="T54" s="64"/>
      <c r="U54" s="54"/>
      <c r="V54" s="54"/>
      <c r="W54" s="54"/>
      <c r="X54" s="54"/>
      <c r="Y54" s="54"/>
      <c r="Z54" s="54"/>
    </row>
    <row r="55" spans="1:26">
      <c r="A55" s="54" t="s">
        <v>3775</v>
      </c>
      <c r="B55" s="54"/>
      <c r="C55" s="54"/>
      <c r="D55" s="54"/>
      <c r="E55" s="54"/>
      <c r="F55" s="54"/>
      <c r="G55" s="54" t="s">
        <v>3720</v>
      </c>
      <c r="H55" s="54"/>
      <c r="I55" s="54"/>
      <c r="J55" s="54"/>
      <c r="K55" s="54"/>
      <c r="L55" s="54"/>
      <c r="M55" s="54"/>
      <c r="N55" s="54"/>
      <c r="O55" s="64"/>
      <c r="P55" s="64" t="s">
        <v>3776</v>
      </c>
      <c r="R55" s="64"/>
      <c r="S55" s="64"/>
      <c r="T55" s="64"/>
      <c r="U55" s="54"/>
      <c r="V55" s="54"/>
      <c r="W55" s="54"/>
      <c r="X55" s="54"/>
      <c r="Y55" s="54"/>
      <c r="Z55" s="54"/>
    </row>
    <row r="56" spans="1:26">
      <c r="A56" s="54" t="s">
        <v>3777</v>
      </c>
      <c r="B56" s="54"/>
      <c r="C56" s="54"/>
      <c r="D56" s="54"/>
      <c r="E56" s="54"/>
      <c r="F56" s="54"/>
      <c r="G56" s="54" t="s">
        <v>3309</v>
      </c>
      <c r="H56" s="54"/>
      <c r="I56" s="54"/>
      <c r="J56" s="54"/>
      <c r="K56" s="54"/>
      <c r="L56" s="54"/>
      <c r="M56" s="54"/>
      <c r="N56" s="54"/>
      <c r="O56" s="64"/>
      <c r="P56" s="64" t="s">
        <v>3778</v>
      </c>
      <c r="R56" s="64"/>
      <c r="S56" s="64"/>
      <c r="T56" s="64"/>
      <c r="U56" s="54"/>
      <c r="V56" s="54"/>
      <c r="W56" s="54"/>
      <c r="X56" s="54"/>
      <c r="Y56" s="54"/>
      <c r="Z56" s="54"/>
    </row>
    <row r="57" spans="1:26">
      <c r="A57" s="54"/>
      <c r="B57" s="54"/>
      <c r="C57" s="54"/>
      <c r="D57" s="54"/>
      <c r="E57" s="54"/>
      <c r="F57" s="54"/>
      <c r="G57" s="54" t="s">
        <v>3779</v>
      </c>
      <c r="H57" s="54"/>
      <c r="I57" s="54"/>
      <c r="J57" s="54"/>
      <c r="K57" s="54"/>
      <c r="L57" s="54"/>
      <c r="M57" s="54"/>
      <c r="N57" s="54"/>
      <c r="O57" s="64"/>
      <c r="P57" s="64" t="s">
        <v>3780</v>
      </c>
      <c r="R57" s="64"/>
      <c r="S57" s="64"/>
      <c r="T57" s="64"/>
      <c r="U57" s="54"/>
      <c r="V57" s="54"/>
      <c r="W57" s="54"/>
      <c r="X57" s="54"/>
      <c r="Y57" s="54"/>
      <c r="Z57" s="54"/>
    </row>
    <row r="58" spans="1:26">
      <c r="A58" s="54"/>
      <c r="B58" s="54"/>
      <c r="C58" s="54"/>
      <c r="D58" s="54"/>
      <c r="E58" s="54"/>
      <c r="F58" s="54"/>
      <c r="G58" s="54" t="s">
        <v>3781</v>
      </c>
      <c r="H58" s="54"/>
      <c r="I58" s="54"/>
      <c r="J58" s="54"/>
      <c r="K58" s="54"/>
      <c r="L58" s="54"/>
      <c r="M58" s="54"/>
      <c r="N58" s="54"/>
      <c r="O58" s="54"/>
      <c r="P58" s="54"/>
      <c r="Q58" s="54"/>
      <c r="R58" s="54"/>
      <c r="S58" s="54"/>
      <c r="T58" s="54"/>
      <c r="U58" s="54"/>
      <c r="V58" s="54"/>
      <c r="W58" s="54"/>
      <c r="X58" s="54"/>
      <c r="Y58" s="54"/>
      <c r="Z58" s="54"/>
    </row>
    <row r="60" spans="1:26">
      <c r="E60" s="54" t="s">
        <v>3764</v>
      </c>
    </row>
    <row r="61" spans="1:26">
      <c r="E61" s="54" t="s">
        <v>3771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tabColor theme="8" tint="-0.249977111117893"/>
  </sheetPr>
  <dimension ref="A1:B31"/>
  <sheetViews>
    <sheetView showGridLines="0" workbookViewId="0"/>
  </sheetViews>
  <sheetFormatPr defaultRowHeight="15"/>
  <cols>
    <col min="1" max="1" width="38" style="46" customWidth="1"/>
    <col min="2" max="2" width="34" style="46" customWidth="1"/>
    <col min="3" max="16384" width="9" style="46"/>
  </cols>
  <sheetData>
    <row r="1" spans="1:2" ht="43.5" customHeight="1">
      <c r="A1" s="52" t="s">
        <v>4325</v>
      </c>
      <c r="B1" s="53"/>
    </row>
    <row r="2" spans="1:2">
      <c r="A2" s="54" t="s">
        <v>3782</v>
      </c>
      <c r="B2" s="55"/>
    </row>
    <row r="3" spans="1:2">
      <c r="A3" s="56" t="s">
        <v>3783</v>
      </c>
      <c r="B3" s="57"/>
    </row>
    <row r="4" spans="1:2">
      <c r="A4" s="54"/>
      <c r="B4" s="55" t="s">
        <v>3784</v>
      </c>
    </row>
    <row r="5" spans="1:2">
      <c r="A5" s="54"/>
      <c r="B5" s="55" t="s">
        <v>3785</v>
      </c>
    </row>
    <row r="6" spans="1:2">
      <c r="A6" s="54"/>
      <c r="B6" s="55" t="s">
        <v>3786</v>
      </c>
    </row>
    <row r="7" spans="1:2">
      <c r="A7" s="54"/>
      <c r="B7" s="55" t="s">
        <v>3787</v>
      </c>
    </row>
    <row r="8" spans="1:2">
      <c r="A8" s="54"/>
      <c r="B8" s="55" t="s">
        <v>3788</v>
      </c>
    </row>
    <row r="9" spans="1:2">
      <c r="A9" s="54"/>
      <c r="B9" s="55" t="s">
        <v>3789</v>
      </c>
    </row>
    <row r="10" spans="1:2">
      <c r="A10" s="54"/>
      <c r="B10" s="55" t="s">
        <v>3790</v>
      </c>
    </row>
    <row r="11" spans="1:2">
      <c r="A11" s="54"/>
      <c r="B11" s="55" t="s">
        <v>3791</v>
      </c>
    </row>
    <row r="12" spans="1:2">
      <c r="A12" s="54"/>
      <c r="B12" s="55" t="s">
        <v>3792</v>
      </c>
    </row>
    <row r="13" spans="1:2">
      <c r="A13" s="54"/>
      <c r="B13" s="55" t="s">
        <v>3793</v>
      </c>
    </row>
    <row r="14" spans="1:2">
      <c r="A14" s="56" t="s">
        <v>3794</v>
      </c>
      <c r="B14" s="57"/>
    </row>
    <row r="15" spans="1:2">
      <c r="A15" s="54"/>
      <c r="B15" s="55" t="s">
        <v>3795</v>
      </c>
    </row>
    <row r="16" spans="1:2">
      <c r="A16" s="54"/>
      <c r="B16" s="55" t="s">
        <v>3796</v>
      </c>
    </row>
    <row r="17" spans="1:2">
      <c r="A17" s="54"/>
      <c r="B17" s="55" t="s">
        <v>3797</v>
      </c>
    </row>
    <row r="18" spans="1:2">
      <c r="A18" s="54"/>
      <c r="B18" s="55" t="s">
        <v>3798</v>
      </c>
    </row>
    <row r="19" spans="1:2">
      <c r="A19" s="56" t="s">
        <v>3799</v>
      </c>
      <c r="B19" s="57"/>
    </row>
    <row r="20" spans="1:2">
      <c r="A20" s="54"/>
      <c r="B20" s="55" t="s">
        <v>3308</v>
      </c>
    </row>
    <row r="21" spans="1:2">
      <c r="A21" s="54"/>
      <c r="B21" s="55" t="s">
        <v>3520</v>
      </c>
    </row>
    <row r="22" spans="1:2">
      <c r="A22" s="54"/>
      <c r="B22" s="55" t="s">
        <v>3312</v>
      </c>
    </row>
    <row r="23" spans="1:2">
      <c r="A23" s="54"/>
      <c r="B23" s="55" t="s">
        <v>3526</v>
      </c>
    </row>
    <row r="24" spans="1:2">
      <c r="A24" s="54"/>
      <c r="B24" s="55" t="s">
        <v>2289</v>
      </c>
    </row>
    <row r="25" spans="1:2">
      <c r="A25" s="54"/>
      <c r="B25" s="55" t="s">
        <v>3531</v>
      </c>
    </row>
    <row r="26" spans="1:2">
      <c r="A26" s="54"/>
      <c r="B26" s="55" t="s">
        <v>3533</v>
      </c>
    </row>
    <row r="27" spans="1:2">
      <c r="A27" s="54"/>
      <c r="B27" s="55" t="s">
        <v>3535</v>
      </c>
    </row>
    <row r="28" spans="1:2">
      <c r="A28" s="54"/>
      <c r="B28" s="55" t="s">
        <v>3538</v>
      </c>
    </row>
    <row r="29" spans="1:2">
      <c r="A29" s="54"/>
      <c r="B29" s="55" t="s">
        <v>3316</v>
      </c>
    </row>
    <row r="30" spans="1:2">
      <c r="A30" s="54" t="s">
        <v>4307</v>
      </c>
      <c r="B30" s="55"/>
    </row>
    <row r="31" spans="1:2">
      <c r="A31" s="54" t="s">
        <v>3800</v>
      </c>
      <c r="B31" s="5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tabColor rgb="FF4A2D75"/>
  </sheetPr>
  <dimension ref="A1:H23"/>
  <sheetViews>
    <sheetView showGridLines="0" workbookViewId="0">
      <selection sqref="A1:H1"/>
    </sheetView>
  </sheetViews>
  <sheetFormatPr defaultRowHeight="15"/>
  <cols>
    <col min="1" max="1" width="25" style="46" customWidth="1"/>
    <col min="2" max="2" width="24.875" style="46" customWidth="1"/>
    <col min="3" max="3" width="29.125" style="46" customWidth="1"/>
    <col min="4" max="8" width="17" style="46" customWidth="1"/>
    <col min="9" max="16384" width="9" style="46"/>
  </cols>
  <sheetData>
    <row r="1" spans="1:8" ht="39.950000000000003" customHeight="1">
      <c r="A1" s="276" t="s">
        <v>3801</v>
      </c>
      <c r="B1" s="276"/>
      <c r="C1" s="276"/>
      <c r="D1" s="276"/>
      <c r="E1" s="276"/>
      <c r="F1" s="276"/>
      <c r="G1" s="276"/>
      <c r="H1" s="276"/>
    </row>
    <row r="2" spans="1:8" ht="24.95" customHeight="1">
      <c r="A2" s="277" t="s">
        <v>4308</v>
      </c>
      <c r="B2" s="277"/>
      <c r="C2" s="277"/>
      <c r="D2" s="277"/>
      <c r="E2" s="277"/>
      <c r="F2" s="277"/>
      <c r="G2" s="277"/>
      <c r="H2" s="277"/>
    </row>
    <row r="3" spans="1:8">
      <c r="A3" s="47"/>
      <c r="B3" s="47"/>
      <c r="C3" s="47"/>
      <c r="D3" s="47"/>
      <c r="E3" s="47"/>
      <c r="F3" s="47"/>
      <c r="G3" s="47"/>
      <c r="H3" s="47"/>
    </row>
    <row r="4" spans="1:8">
      <c r="A4" s="48" t="s">
        <v>3802</v>
      </c>
      <c r="B4" s="48" t="s">
        <v>3803</v>
      </c>
      <c r="C4" s="47"/>
      <c r="D4" s="278" t="s">
        <v>3804</v>
      </c>
      <c r="E4" s="278"/>
      <c r="F4" s="278"/>
      <c r="G4" s="278"/>
      <c r="H4" s="278"/>
    </row>
    <row r="5" spans="1:8">
      <c r="A5" s="49" t="s">
        <v>3805</v>
      </c>
      <c r="B5" s="50">
        <f>COUNTA(RESOURCES!A3:A160)</f>
        <v>158</v>
      </c>
      <c r="C5" s="47"/>
      <c r="D5" s="279" t="s">
        <v>4309</v>
      </c>
      <c r="E5" s="279"/>
      <c r="F5" s="279"/>
      <c r="G5" s="279"/>
      <c r="H5" s="279"/>
    </row>
    <row r="6" spans="1:8">
      <c r="A6" s="49" t="s">
        <v>3806</v>
      </c>
      <c r="B6" s="50">
        <f>COUNTA(OUTPUT!A3:A110)</f>
        <v>108</v>
      </c>
      <c r="C6" s="47"/>
      <c r="D6" s="279"/>
      <c r="E6" s="279"/>
      <c r="F6" s="279"/>
      <c r="G6" s="279"/>
      <c r="H6" s="279"/>
    </row>
    <row r="7" spans="1:8">
      <c r="A7" s="49" t="s">
        <v>3807</v>
      </c>
      <c r="B7" s="50">
        <f>MIN(OUTPUT!A3:A110)</f>
        <v>2007</v>
      </c>
      <c r="C7" s="47"/>
      <c r="D7" s="279"/>
      <c r="E7" s="279"/>
      <c r="F7" s="279"/>
      <c r="G7" s="279"/>
      <c r="H7" s="279"/>
    </row>
    <row r="8" spans="1:8">
      <c r="A8" s="49" t="s">
        <v>3808</v>
      </c>
      <c r="B8" s="50">
        <f>MAX(OUTPUT!A3:A110)</f>
        <v>2024</v>
      </c>
      <c r="C8" s="47"/>
      <c r="D8" s="279"/>
      <c r="E8" s="279"/>
      <c r="F8" s="279"/>
      <c r="G8" s="279"/>
      <c r="H8" s="279"/>
    </row>
    <row r="9" spans="1:8">
      <c r="A9" s="49" t="s">
        <v>3809</v>
      </c>
      <c r="B9" s="50">
        <f ca="1">_xlfn.SHEETS()</f>
        <v>35</v>
      </c>
      <c r="C9" s="47"/>
      <c r="D9" s="279"/>
      <c r="E9" s="279"/>
      <c r="F9" s="279"/>
      <c r="G9" s="279"/>
      <c r="H9" s="279"/>
    </row>
    <row r="10" spans="1:8">
      <c r="A10" s="47"/>
      <c r="B10" s="47"/>
      <c r="C10" s="47"/>
      <c r="D10" s="47"/>
      <c r="E10" s="47"/>
      <c r="F10" s="47"/>
      <c r="G10" s="47"/>
      <c r="H10" s="47"/>
    </row>
    <row r="11" spans="1:8">
      <c r="A11" s="47"/>
      <c r="B11" s="47"/>
      <c r="C11" s="47"/>
      <c r="D11" s="47"/>
      <c r="E11" s="47"/>
      <c r="F11" s="47"/>
      <c r="G11" s="47"/>
      <c r="H11" s="47"/>
    </row>
    <row r="12" spans="1:8">
      <c r="A12" s="48" t="s">
        <v>3810</v>
      </c>
      <c r="B12" s="48" t="s">
        <v>3811</v>
      </c>
      <c r="C12" s="48" t="s">
        <v>3812</v>
      </c>
      <c r="D12" s="47"/>
      <c r="E12" s="278" t="s">
        <v>3813</v>
      </c>
      <c r="F12" s="278"/>
      <c r="G12" s="278"/>
      <c r="H12" s="278"/>
    </row>
    <row r="13" spans="1:8" ht="24" customHeight="1">
      <c r="A13" s="51" t="s">
        <v>3814</v>
      </c>
      <c r="B13" s="51" t="s">
        <v>3815</v>
      </c>
      <c r="C13" s="51" t="s">
        <v>3816</v>
      </c>
      <c r="D13" s="47"/>
      <c r="E13" s="273" t="s">
        <v>3817</v>
      </c>
      <c r="F13" s="273"/>
      <c r="G13" s="273"/>
      <c r="H13" s="273"/>
    </row>
    <row r="14" spans="1:8" ht="24" customHeight="1">
      <c r="A14" s="51" t="s">
        <v>4366</v>
      </c>
      <c r="B14" s="51" t="s">
        <v>3818</v>
      </c>
      <c r="C14" s="51" t="s">
        <v>3993</v>
      </c>
      <c r="D14" s="47"/>
      <c r="E14" s="273"/>
      <c r="F14" s="273"/>
      <c r="G14" s="273"/>
      <c r="H14" s="273"/>
    </row>
    <row r="15" spans="1:8" ht="24" customHeight="1">
      <c r="A15" s="51" t="s">
        <v>4365</v>
      </c>
      <c r="B15" s="51" t="s">
        <v>3819</v>
      </c>
      <c r="C15" s="51" t="s">
        <v>4538</v>
      </c>
      <c r="D15" s="47"/>
      <c r="E15" s="273"/>
      <c r="F15" s="273"/>
      <c r="G15" s="273"/>
      <c r="H15" s="273"/>
    </row>
    <row r="16" spans="1:8" ht="24" customHeight="1">
      <c r="A16" s="51" t="s">
        <v>4364</v>
      </c>
      <c r="B16" s="51" t="s">
        <v>3820</v>
      </c>
      <c r="C16" s="51" t="s">
        <v>3821</v>
      </c>
      <c r="D16" s="47"/>
      <c r="E16" s="273"/>
      <c r="F16" s="273"/>
      <c r="G16" s="273"/>
      <c r="H16" s="273"/>
    </row>
    <row r="17" spans="1:8" ht="24" customHeight="1">
      <c r="A17" s="47"/>
      <c r="B17" s="47"/>
      <c r="C17" s="47"/>
      <c r="D17" s="47"/>
      <c r="E17" s="273"/>
      <c r="F17" s="273"/>
      <c r="G17" s="273"/>
      <c r="H17" s="273"/>
    </row>
    <row r="18" spans="1:8">
      <c r="A18" s="47"/>
      <c r="B18" s="47"/>
      <c r="C18" s="47"/>
      <c r="D18" s="47"/>
      <c r="E18" s="47"/>
      <c r="F18" s="47"/>
      <c r="G18" s="47"/>
      <c r="H18" s="47"/>
    </row>
    <row r="19" spans="1:8">
      <c r="A19" s="274" t="s">
        <v>3822</v>
      </c>
      <c r="B19" s="274"/>
      <c r="C19" s="274"/>
      <c r="D19" s="274"/>
      <c r="E19" s="274"/>
      <c r="F19" s="274"/>
      <c r="G19" s="274"/>
      <c r="H19" s="274"/>
    </row>
    <row r="20" spans="1:8">
      <c r="A20" s="275" t="s">
        <v>4310</v>
      </c>
      <c r="B20" s="275"/>
      <c r="C20" s="275"/>
      <c r="D20" s="275"/>
      <c r="E20" s="275"/>
      <c r="F20" s="275"/>
      <c r="G20" s="275"/>
      <c r="H20" s="275"/>
    </row>
    <row r="21" spans="1:8">
      <c r="A21" s="275"/>
      <c r="B21" s="275"/>
      <c r="C21" s="275"/>
      <c r="D21" s="275"/>
      <c r="E21" s="275"/>
      <c r="F21" s="275"/>
      <c r="G21" s="275"/>
      <c r="H21" s="275"/>
    </row>
    <row r="22" spans="1:8">
      <c r="A22" s="275"/>
      <c r="B22" s="275"/>
      <c r="C22" s="275"/>
      <c r="D22" s="275"/>
      <c r="E22" s="275"/>
      <c r="F22" s="275"/>
      <c r="G22" s="275"/>
      <c r="H22" s="275"/>
    </row>
    <row r="23" spans="1:8">
      <c r="A23" s="275"/>
      <c r="B23" s="275"/>
      <c r="C23" s="275"/>
      <c r="D23" s="275"/>
      <c r="E23" s="275"/>
      <c r="F23" s="275"/>
      <c r="G23" s="275"/>
      <c r="H23" s="275"/>
    </row>
  </sheetData>
  <mergeCells count="8">
    <mergeCell ref="E13:H17"/>
    <mergeCell ref="A19:H19"/>
    <mergeCell ref="A20:H23"/>
    <mergeCell ref="A1:H1"/>
    <mergeCell ref="A2:H2"/>
    <mergeCell ref="D4:H4"/>
    <mergeCell ref="D5:H9"/>
    <mergeCell ref="E12: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EXECUTIVE SUMMARY</vt:lpstr>
      <vt:lpstr>GEOGRAPHICS REFERENCE</vt:lpstr>
      <vt:lpstr>PYTHON CODE for GEOGRAPHICS</vt:lpstr>
      <vt:lpstr>GEO-MAPPING</vt:lpstr>
      <vt:lpstr>RAW SHELTERED UNSHELTERED</vt:lpstr>
      <vt:lpstr>SQL SHELTERED UNSHELTERED</vt:lpstr>
      <vt:lpstr>RAW TOTAL BEDS</vt:lpstr>
      <vt:lpstr>SQL TOTAL BEDS</vt:lpstr>
      <vt:lpstr>OUTPUT</vt:lpstr>
      <vt:lpstr>RESOURCES</vt:lpstr>
      <vt:lpstr>SQL RESOURCES DEVELOPMENT</vt:lpstr>
      <vt:lpstr>RESOURCES VALIDATION &amp; QUALITY</vt:lpstr>
      <vt:lpstr>CDC OPIOID DISPENSING PER 100</vt:lpstr>
      <vt:lpstr>AMA TOTAL DISPENSED NALOXONE</vt:lpstr>
      <vt:lpstr>RAW CHRONIC KIDNEY DISEASE</vt:lpstr>
      <vt:lpstr>RAW CHRONIC LIVER DISEASE</vt:lpstr>
      <vt:lpstr>RAW DRUG MORTALITY</vt:lpstr>
      <vt:lpstr>RAW DIABETES UNDERLYING CAUSE</vt:lpstr>
      <vt:lpstr>RAW PYTHON BRFSS (Survey Data)</vt:lpstr>
      <vt:lpstr>HEALTH METRICS</vt:lpstr>
      <vt:lpstr>SQL HEALTH METRICS</vt:lpstr>
      <vt:lpstr>PYTHON COUNTY LEVEL HEALTH</vt:lpstr>
      <vt:lpstr>COUNTY LEVEL VALIDATION</vt:lpstr>
      <vt:lpstr>HEALTH METRICS VALIDATION LOG</vt:lpstr>
      <vt:lpstr>STATISTICAL_ANALYSIS</vt:lpstr>
      <vt:lpstr>PYTHON</vt:lpstr>
      <vt:lpstr>DAX</vt:lpstr>
      <vt:lpstr>POWER BI</vt:lpstr>
      <vt:lpstr>TABLEAU</vt:lpstr>
      <vt:lpstr>LITERATURE_LOG</vt:lpstr>
      <vt:lpstr>CLEAN UP</vt:lpstr>
      <vt:lpstr>DASHBOARD LAYOUT</vt:lpstr>
      <vt:lpstr>PROJECT STRUCTURE</vt:lpstr>
      <vt:lpstr>SCOPE</vt:lpstr>
      <vt:lpstr>PORTFOLIO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Steel_Analytics</dc:creator>
  <cp:lastModifiedBy>P G</cp:lastModifiedBy>
  <dcterms:created xsi:type="dcterms:W3CDTF">2026-10-03T21:26:38Z</dcterms:created>
  <dcterms:modified xsi:type="dcterms:W3CDTF">2026-10-09T18:29:45Z</dcterms:modified>
</cp:coreProperties>
</file>